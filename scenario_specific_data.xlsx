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xoi\GitHub\urbs-extension\"/>
    </mc:Choice>
  </mc:AlternateContent>
  <xr:revisionPtr revIDLastSave="0" documentId="13_ncr:1_{214930D9-C62F-4C29-88E9-B7A761B5F755}" xr6:coauthVersionLast="47" xr6:coauthVersionMax="47" xr10:uidLastSave="{00000000-0000-0000-0000-000000000000}"/>
  <bookViews>
    <workbookView xWindow="67080" yWindow="-1935" windowWidth="29040" windowHeight="17520" activeTab="1" xr2:uid="{135E7A19-983F-4672-B1BC-B86D20613CB6}"/>
  </bookViews>
  <sheets>
    <sheet name="import_prices" sheetId="1" r:id="rId1"/>
    <sheet name="manufacturing_prices" sheetId="5" r:id="rId2"/>
    <sheet name="piped_gas_prices" sheetId="2" r:id="rId3"/>
    <sheet name="lng_prices" sheetId="3" r:id="rId4"/>
    <sheet name="piped_gas_trajectory" sheetId="4" r:id="rId5"/>
    <sheet name="elec_demand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4" l="1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<sst xmlns="http://schemas.openxmlformats.org/spreadsheetml/2006/main" count="81" uniqueCount="74">
  <si>
    <t>Stf</t>
  </si>
  <si>
    <t>import_EU27_solarPV_2024</t>
  </si>
  <si>
    <t>import_EU27_solarPV_2029</t>
  </si>
  <si>
    <t>import_EU27_solarPV_2034</t>
  </si>
  <si>
    <t>import_EU27_solarPV_2039</t>
  </si>
  <si>
    <t>import_EU27_solarPV_2044</t>
  </si>
  <si>
    <t>import_EU27_solarPV_2049</t>
  </si>
  <si>
    <t>lng_2024</t>
  </si>
  <si>
    <t>lng_2029</t>
  </si>
  <si>
    <t>lng_2034</t>
  </si>
  <si>
    <t>lng_2039</t>
  </si>
  <si>
    <t>lng_2044</t>
  </si>
  <si>
    <t>lng_2049</t>
  </si>
  <si>
    <t>piped_gas_2024</t>
  </si>
  <si>
    <t>piped_gas_2029</t>
  </si>
  <si>
    <t>piped_gas_2034</t>
  </si>
  <si>
    <t>piped_gas_2039</t>
  </si>
  <si>
    <t>piped_gas_2044</t>
  </si>
  <si>
    <t>piped_gas_2049</t>
  </si>
  <si>
    <t>gas_dem_2024</t>
  </si>
  <si>
    <t>gas_dem_2029</t>
  </si>
  <si>
    <t>gas_dem_2034</t>
  </si>
  <si>
    <t>gas_dem_2039</t>
  </si>
  <si>
    <t>gas_dem_2044</t>
  </si>
  <si>
    <t>gas_dem_2049</t>
  </si>
  <si>
    <t>Resulting</t>
  </si>
  <si>
    <t>import_EU27_windon_2024</t>
  </si>
  <si>
    <t>import_EU27_windon_2029</t>
  </si>
  <si>
    <t>import_EU27_windon_2034</t>
  </si>
  <si>
    <t>import_EU27_windon_2039</t>
  </si>
  <si>
    <t>import_EU27_windon_2044</t>
  </si>
  <si>
    <t>import_EU27_windon_2049</t>
  </si>
  <si>
    <t>import_EU27_windoff_2024</t>
  </si>
  <si>
    <t>import_EU27_windoff_2029</t>
  </si>
  <si>
    <t>import_EU27_windoff_2034</t>
  </si>
  <si>
    <t>import_EU27_windoff_2039</t>
  </si>
  <si>
    <t>import_EU27_windoff_2044</t>
  </si>
  <si>
    <t>import_EU27_windoff_2049</t>
  </si>
  <si>
    <t>import_EU27_Batteries_2024</t>
  </si>
  <si>
    <t>import_EU27_Batteries_2029</t>
  </si>
  <si>
    <t>import_EU27_Batteries_2034</t>
  </si>
  <si>
    <t>import_EU27_Batteries_2039</t>
  </si>
  <si>
    <t>import_EU27_Batteries_2044</t>
  </si>
  <si>
    <t>import_EU27_Batteries_2049</t>
  </si>
  <si>
    <t>manufacturing_EU27_solarPV_2024</t>
  </si>
  <si>
    <t>manufacturing_EU27_solarPV_2029</t>
  </si>
  <si>
    <t>manufacturing_EU27_solarPV_2034</t>
  </si>
  <si>
    <t>manufacturing_EU27_solarPV_2039</t>
  </si>
  <si>
    <t>manufacturing_EU27_solarPV_2044</t>
  </si>
  <si>
    <t>manufacturing_EU27_solarPV_2049</t>
  </si>
  <si>
    <t>manufacturing_EU27_windon_2024</t>
  </si>
  <si>
    <t>manufacturing_EU27_windon_2029</t>
  </si>
  <si>
    <t>manufacturing_EU27_windon_2034</t>
  </si>
  <si>
    <t>manufacturing_EU27_windon_2039</t>
  </si>
  <si>
    <t>manufacturing_EU27_windon_2044</t>
  </si>
  <si>
    <t>manufacturing_EU27_windon_2049</t>
  </si>
  <si>
    <t>manufacturing_EU27_windoff_2024</t>
  </si>
  <si>
    <t>manufacturing_EU27_windoff_2029</t>
  </si>
  <si>
    <t>manufacturing_EU27_windoff_2034</t>
  </si>
  <si>
    <t>manufacturing_EU27_windoff_2039</t>
  </si>
  <si>
    <t>manufacturing_EU27_windoff_2044</t>
  </si>
  <si>
    <t>manufacturing_EU27_windoff_2049</t>
  </si>
  <si>
    <t>manufacturing_EU27_Batteries_2024</t>
  </si>
  <si>
    <t>manufacturing_EU27_Batteries_2029</t>
  </si>
  <si>
    <t>manufacturing_EU27_Batteries_2034</t>
  </si>
  <si>
    <t>manufacturing_EU27_Batteries_2039</t>
  </si>
  <si>
    <t>manufacturing_EU27_Batteries_2044</t>
  </si>
  <si>
    <t>manufacturing_EU27_Batteries_2049</t>
  </si>
  <si>
    <t>elec_dem_2024</t>
  </si>
  <si>
    <t>elec_dem_2029</t>
  </si>
  <si>
    <t>elec_dem_2034</t>
  </si>
  <si>
    <t>elec_dem_2039</t>
  </si>
  <si>
    <t>elec_dem_2044</t>
  </si>
  <si>
    <t>elec_dem_2049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</si>
</sst>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piped_gas_prices!$H$1</c:f>
              <c:strCache>
                <c:ptCount val="1"/>
                <c:pt idx="0">
                  <c:v>Resulting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piped_gas_prices!$A$2:$A$28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piped_gas_prices!$H$2:$H$28</c:f>
              <c:numCache>
                <c:formatCode>General</c:formatCode>
                <c:ptCount val="27"/>
                <c:pt idx="0">
                  <c:v>22.68</c:v>
                </c:pt>
                <c:pt idx="1">
                  <c:v>22.68</c:v>
                </c:pt>
                <c:pt idx="2">
                  <c:v>22.68</c:v>
                </c:pt>
                <c:pt idx="3">
                  <c:v>22.68</c:v>
                </c:pt>
                <c:pt idx="4">
                  <c:v>22.68</c:v>
                </c:pt>
                <c:pt idx="5">
                  <c:v>22.68</c:v>
                </c:pt>
                <c:pt idx="6">
                  <c:v>22.68</c:v>
                </c:pt>
                <c:pt idx="7">
                  <c:v>22.68</c:v>
                </c:pt>
                <c:pt idx="8">
                  <c:v>22.68</c:v>
                </c:pt>
                <c:pt idx="9">
                  <c:v>22.68</c:v>
                </c:pt>
                <c:pt idx="10">
                  <c:v>22.68</c:v>
                </c:pt>
                <c:pt idx="11">
                  <c:v>22.68</c:v>
                </c:pt>
                <c:pt idx="12">
                  <c:v>22.68</c:v>
                </c:pt>
                <c:pt idx="13">
                  <c:v>22.68</c:v>
                </c:pt>
                <c:pt idx="14">
                  <c:v>22.68</c:v>
                </c:pt>
                <c:pt idx="15">
                  <c:v>22.68</c:v>
                </c:pt>
                <c:pt idx="16">
                  <c:v>20.52</c:v>
                </c:pt>
                <c:pt idx="17">
                  <c:v>20.52</c:v>
                </c:pt>
                <c:pt idx="18">
                  <c:v>20.52</c:v>
                </c:pt>
                <c:pt idx="19">
                  <c:v>20.52</c:v>
                </c:pt>
                <c:pt idx="20">
                  <c:v>20.52</c:v>
                </c:pt>
                <c:pt idx="21">
                  <c:v>20.52</c:v>
                </c:pt>
                <c:pt idx="22">
                  <c:v>20.52</c:v>
                </c:pt>
                <c:pt idx="23">
                  <c:v>20.52</c:v>
                </c:pt>
                <c:pt idx="24">
                  <c:v>20.52</c:v>
                </c:pt>
                <c:pt idx="25">
                  <c:v>20.52</c:v>
                </c:pt>
                <c:pt idx="26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6C-4336-9288-6298CBAEE1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566175"/>
        <c:axId val="75566655"/>
      </c:lineChart>
      <c:catAx>
        <c:axId val="7556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75566655"/>
        <c:crosses val="autoZero"/>
        <c:auto val="1"/>
        <c:lblAlgn val="ctr"/>
        <c:lblOffset val="100"/>
        <c:noMultiLvlLbl val="0"/>
      </c:catAx>
      <c:valAx>
        <c:axId val="75566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7556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lng_prices!$H$1</c:f>
              <c:strCache>
                <c:ptCount val="1"/>
                <c:pt idx="0">
                  <c:v>Resulting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lng_prices!$A$2:$A$28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lng_prices!$H$2:$H$28</c:f>
              <c:numCache>
                <c:formatCode>General</c:formatCode>
                <c:ptCount val="27"/>
                <c:pt idx="0">
                  <c:v>23.62</c:v>
                </c:pt>
                <c:pt idx="1">
                  <c:v>23.62</c:v>
                </c:pt>
                <c:pt idx="2">
                  <c:v>23.62</c:v>
                </c:pt>
                <c:pt idx="3">
                  <c:v>23.62</c:v>
                </c:pt>
                <c:pt idx="4">
                  <c:v>23.62</c:v>
                </c:pt>
                <c:pt idx="5">
                  <c:v>23.62</c:v>
                </c:pt>
                <c:pt idx="6">
                  <c:v>29.94</c:v>
                </c:pt>
                <c:pt idx="7">
                  <c:v>29.94</c:v>
                </c:pt>
                <c:pt idx="8">
                  <c:v>29.94</c:v>
                </c:pt>
                <c:pt idx="9">
                  <c:v>29.94</c:v>
                </c:pt>
                <c:pt idx="10">
                  <c:v>29.94</c:v>
                </c:pt>
                <c:pt idx="11">
                  <c:v>29.94</c:v>
                </c:pt>
                <c:pt idx="12">
                  <c:v>29.94</c:v>
                </c:pt>
                <c:pt idx="13">
                  <c:v>29.94</c:v>
                </c:pt>
                <c:pt idx="14">
                  <c:v>29.94</c:v>
                </c:pt>
                <c:pt idx="15">
                  <c:v>29.94</c:v>
                </c:pt>
                <c:pt idx="16">
                  <c:v>36.54</c:v>
                </c:pt>
                <c:pt idx="17">
                  <c:v>36.54</c:v>
                </c:pt>
                <c:pt idx="18">
                  <c:v>36.54</c:v>
                </c:pt>
                <c:pt idx="19">
                  <c:v>36.54</c:v>
                </c:pt>
                <c:pt idx="20">
                  <c:v>36.54</c:v>
                </c:pt>
                <c:pt idx="21">
                  <c:v>36.54</c:v>
                </c:pt>
                <c:pt idx="22">
                  <c:v>36.54</c:v>
                </c:pt>
                <c:pt idx="23">
                  <c:v>36.54</c:v>
                </c:pt>
                <c:pt idx="24">
                  <c:v>36.54</c:v>
                </c:pt>
                <c:pt idx="25">
                  <c:v>36.54</c:v>
                </c:pt>
                <c:pt idx="26">
                  <c:v>36.54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8-4ED3-B07D-29FCC6D3E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4675759"/>
        <c:axId val="494679119"/>
      </c:lineChart>
      <c:catAx>
        <c:axId val="49467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94679119"/>
        <c:crosses val="autoZero"/>
        <c:auto val="1"/>
        <c:lblAlgn val="ctr"/>
        <c:lblOffset val="100"/>
        <c:noMultiLvlLbl val="0"/>
      </c:catAx>
      <c:valAx>
        <c:axId val="49467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94675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piped_gas_trajectory!$H$1</c:f>
              <c:strCache>
                <c:ptCount val="1"/>
                <c:pt idx="0">
                  <c:v>Resulting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piped_gas_trajectory!$A$2:$A$28</c:f>
              <c:numCache>
                <c:formatCode>General</c:formatCode>
                <c:ptCount val="2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  <c:pt idx="7">
                  <c:v>2031</c:v>
                </c:pt>
                <c:pt idx="8">
                  <c:v>2032</c:v>
                </c:pt>
                <c:pt idx="9">
                  <c:v>2033</c:v>
                </c:pt>
                <c:pt idx="10">
                  <c:v>2034</c:v>
                </c:pt>
                <c:pt idx="11">
                  <c:v>2035</c:v>
                </c:pt>
                <c:pt idx="12">
                  <c:v>2036</c:v>
                </c:pt>
                <c:pt idx="13">
                  <c:v>2037</c:v>
                </c:pt>
                <c:pt idx="14">
                  <c:v>2038</c:v>
                </c:pt>
                <c:pt idx="15">
                  <c:v>2039</c:v>
                </c:pt>
                <c:pt idx="16">
                  <c:v>2040</c:v>
                </c:pt>
                <c:pt idx="17">
                  <c:v>2041</c:v>
                </c:pt>
                <c:pt idx="18">
                  <c:v>2042</c:v>
                </c:pt>
                <c:pt idx="19">
                  <c:v>2043</c:v>
                </c:pt>
                <c:pt idx="20">
                  <c:v>2044</c:v>
                </c:pt>
                <c:pt idx="21">
                  <c:v>2045</c:v>
                </c:pt>
                <c:pt idx="22">
                  <c:v>2046</c:v>
                </c:pt>
                <c:pt idx="23">
                  <c:v>2047</c:v>
                </c:pt>
                <c:pt idx="24">
                  <c:v>2048</c:v>
                </c:pt>
                <c:pt idx="25">
                  <c:v>2049</c:v>
                </c:pt>
                <c:pt idx="26">
                  <c:v>2050</c:v>
                </c:pt>
              </c:numCache>
            </c:numRef>
          </c:cat>
          <c:val>
            <c:numRef>
              <c:f>piped_gas_trajectory!$H$2:$H$28</c:f>
              <c:numCache>
                <c:formatCode>General</c:formatCode>
                <c:ptCount val="27"/>
                <c:pt idx="0">
                  <c:v>319200000</c:v>
                </c:pt>
                <c:pt idx="1">
                  <c:v>319200000</c:v>
                </c:pt>
                <c:pt idx="2">
                  <c:v>319200000</c:v>
                </c:pt>
                <c:pt idx="3">
                  <c:v>319200000</c:v>
                </c:pt>
                <c:pt idx="4">
                  <c:v>319200000</c:v>
                </c:pt>
                <c:pt idx="5">
                  <c:v>319200000</c:v>
                </c:pt>
                <c:pt idx="6">
                  <c:v>319200000</c:v>
                </c:pt>
                <c:pt idx="7">
                  <c:v>319200000</c:v>
                </c:pt>
                <c:pt idx="8">
                  <c:v>319200000</c:v>
                </c:pt>
                <c:pt idx="9">
                  <c:v>319200000</c:v>
                </c:pt>
                <c:pt idx="10">
                  <c:v>319200000</c:v>
                </c:pt>
                <c:pt idx="11">
                  <c:v>319200000</c:v>
                </c:pt>
                <c:pt idx="12">
                  <c:v>319200000</c:v>
                </c:pt>
                <c:pt idx="13">
                  <c:v>319200000</c:v>
                </c:pt>
                <c:pt idx="14">
                  <c:v>319200000</c:v>
                </c:pt>
                <c:pt idx="15">
                  <c:v>319200000</c:v>
                </c:pt>
                <c:pt idx="16">
                  <c:v>319200000</c:v>
                </c:pt>
                <c:pt idx="17">
                  <c:v>319200000</c:v>
                </c:pt>
                <c:pt idx="18">
                  <c:v>319200000</c:v>
                </c:pt>
                <c:pt idx="19">
                  <c:v>319200000</c:v>
                </c:pt>
                <c:pt idx="20">
                  <c:v>319200000</c:v>
                </c:pt>
                <c:pt idx="21">
                  <c:v>319200000</c:v>
                </c:pt>
                <c:pt idx="22">
                  <c:v>319200000</c:v>
                </c:pt>
                <c:pt idx="23">
                  <c:v>319200000</c:v>
                </c:pt>
                <c:pt idx="24">
                  <c:v>319200000</c:v>
                </c:pt>
                <c:pt idx="25">
                  <c:v>319200000</c:v>
                </c:pt>
                <c:pt idx="26">
                  <c:v>319200000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8-422D-BAA2-64BA53023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080751"/>
        <c:axId val="418081711"/>
      </c:lineChart>
      <c:catAx>
        <c:axId val="418080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18081711"/>
        <c:crosses val="autoZero"/>
        <c:auto val="1"/>
        <c:lblAlgn val="ctr"/>
        <c:lblOffset val="100"/>
        <c:noMultiLvlLbl val="0"/>
      </c:catAx>
      <c:valAx>
        <c:axId val="41808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418080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361950</xdr:colOff>
      <xdr:row>6</xdr:row>
      <xdr:rowOff>159067</xdr:rowOff>
    </xdr:from>
    <xdr:to>
      <xdr:col>15</xdr:col>
      <xdr:colOff>186690</xdr:colOff>
      <xdr:row>22</xdr:row>
      <xdr:rowOff>2857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34810379-ABBD-DA10-FB94-6B4203D4A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8</xdr:row>
      <xdr:rowOff>130492</xdr:rowOff>
    </xdr:from>
    <xdr:to>
      <xdr:col>15</xdr:col>
      <xdr:colOff>5715</xdr:colOff>
      <xdr:row>23</xdr:row>
      <xdr:rowOff>155257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7E2525F-13C4-560D-E608-08603823B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8</xdr:row>
      <xdr:rowOff>149542</xdr:rowOff>
    </xdr:from>
    <xdr:to>
      <xdr:col>14</xdr:col>
      <xdr:colOff>710565</xdr:colOff>
      <xdr:row>23</xdr:row>
      <xdr:rowOff>174307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963597F-5271-2970-7EB7-C3A63E7935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904F-FA36-4CCF-BBD4-3C4BF0458D10}">
  <dimension ref="A1:Y28"/>
  <sheetViews>
    <sheetView topLeftCell="D1" workbookViewId="0">
      <selection activeCell="R36" sqref="R36"/>
    </sheetView>
  </sheetViews>
  <sheetFormatPr baseColWidth="10" defaultRowHeight="14.4" x14ac:dyDescent="0.3"/>
  <cols>
    <col min="7" max="7" width="15.441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</row>
    <row r="2" spans="1:25" x14ac:dyDescent="0.3">
      <c r="A2">
        <v>2024</v>
      </c>
      <c r="B2">
        <v>250240</v>
      </c>
      <c r="H2">
        <v>1052044.8400000001</v>
      </c>
      <c r="N2">
        <v>1775265.6417320003</v>
      </c>
      <c r="T2">
        <v>280439.83</v>
      </c>
    </row>
    <row r="3" spans="1:25" x14ac:dyDescent="0.3">
      <c r="A3">
        <v>2025</v>
      </c>
      <c r="B3">
        <v>246486.39999999999</v>
      </c>
      <c r="H3">
        <v>1042480.7960000001</v>
      </c>
      <c r="N3">
        <v>1722922.372057667</v>
      </c>
      <c r="T3">
        <v>274754.90999999997</v>
      </c>
    </row>
    <row r="4" spans="1:25" x14ac:dyDescent="0.3">
      <c r="A4">
        <v>2026</v>
      </c>
      <c r="B4">
        <v>242789.10399999999</v>
      </c>
      <c r="H4">
        <v>1032916.7520000001</v>
      </c>
      <c r="N4">
        <v>1670579.1023833335</v>
      </c>
      <c r="T4">
        <v>269179.44</v>
      </c>
    </row>
    <row r="5" spans="1:25" x14ac:dyDescent="0.3">
      <c r="A5">
        <v>2027</v>
      </c>
      <c r="B5">
        <v>239147.26740000001</v>
      </c>
      <c r="H5">
        <v>1023352.708</v>
      </c>
      <c r="N5">
        <v>1618235.832709</v>
      </c>
      <c r="T5">
        <v>263711.78000000003</v>
      </c>
    </row>
    <row r="6" spans="1:25" x14ac:dyDescent="0.3">
      <c r="A6">
        <v>2028</v>
      </c>
      <c r="B6">
        <v>235560.05840000001</v>
      </c>
      <c r="H6">
        <v>1013788.6639999999</v>
      </c>
      <c r="N6">
        <v>1565892.5630346665</v>
      </c>
      <c r="T6">
        <v>258350.32</v>
      </c>
    </row>
    <row r="7" spans="1:25" x14ac:dyDescent="0.3">
      <c r="A7">
        <v>2029</v>
      </c>
      <c r="B7">
        <v>232026.65760000001</v>
      </c>
      <c r="C7">
        <v>232026.65760000001</v>
      </c>
      <c r="H7">
        <v>1004224.62</v>
      </c>
      <c r="I7">
        <v>1004224.62</v>
      </c>
      <c r="N7">
        <v>1513549.293360333</v>
      </c>
      <c r="O7">
        <v>1513549.293360333</v>
      </c>
      <c r="T7">
        <v>253093.46</v>
      </c>
      <c r="U7">
        <v>253093.46</v>
      </c>
    </row>
    <row r="8" spans="1:25" x14ac:dyDescent="0.3">
      <c r="A8">
        <v>2030</v>
      </c>
      <c r="B8">
        <v>228546.25769999999</v>
      </c>
      <c r="C8">
        <v>278546.25770000002</v>
      </c>
      <c r="H8">
        <v>994660.57600000012</v>
      </c>
      <c r="I8">
        <v>1044660.576</v>
      </c>
      <c r="N8">
        <v>1461206.0236859999</v>
      </c>
      <c r="O8">
        <v>1511206.024</v>
      </c>
      <c r="T8">
        <v>247939.65</v>
      </c>
      <c r="U8">
        <v>297939.65000000002</v>
      </c>
    </row>
    <row r="9" spans="1:25" x14ac:dyDescent="0.3">
      <c r="A9">
        <v>2031</v>
      </c>
      <c r="B9">
        <v>225118.0638</v>
      </c>
      <c r="C9">
        <v>275118.0638</v>
      </c>
      <c r="H9">
        <v>992747.76720000012</v>
      </c>
      <c r="I9">
        <v>1042747.7672</v>
      </c>
      <c r="N9">
        <v>1444015.15599508</v>
      </c>
      <c r="O9">
        <v>1494015.156</v>
      </c>
      <c r="T9">
        <v>242887.37</v>
      </c>
      <c r="U9">
        <v>292887.37</v>
      </c>
    </row>
    <row r="10" spans="1:25" x14ac:dyDescent="0.3">
      <c r="A10">
        <v>2032</v>
      </c>
      <c r="B10">
        <v>221741.2929</v>
      </c>
      <c r="C10">
        <v>271741.2929</v>
      </c>
      <c r="H10">
        <v>990834.9584</v>
      </c>
      <c r="I10">
        <v>1040834.9584</v>
      </c>
      <c r="N10">
        <v>1426824.2883041599</v>
      </c>
      <c r="O10">
        <v>1476824.2879999999</v>
      </c>
      <c r="T10">
        <v>237935.1</v>
      </c>
      <c r="U10">
        <v>287935.09999999998</v>
      </c>
    </row>
    <row r="11" spans="1:25" x14ac:dyDescent="0.3">
      <c r="A11">
        <v>2033</v>
      </c>
      <c r="B11">
        <v>218415.1735</v>
      </c>
      <c r="C11">
        <v>268415.17349999998</v>
      </c>
      <c r="H11">
        <v>988922.1496</v>
      </c>
      <c r="I11">
        <v>1038922.1496</v>
      </c>
      <c r="N11">
        <v>1409633.42061324</v>
      </c>
      <c r="O11">
        <v>1459633.4210000001</v>
      </c>
      <c r="T11">
        <v>233081.4</v>
      </c>
      <c r="U11">
        <v>283081.40000000002</v>
      </c>
    </row>
    <row r="12" spans="1:25" x14ac:dyDescent="0.3">
      <c r="A12">
        <v>2034</v>
      </c>
      <c r="B12">
        <v>215138.94589999999</v>
      </c>
      <c r="C12">
        <v>265138.94589999999</v>
      </c>
      <c r="D12">
        <v>215138.94589999999</v>
      </c>
      <c r="H12">
        <v>987009.34079999989</v>
      </c>
      <c r="I12">
        <v>1037009.3408</v>
      </c>
      <c r="J12" s="4">
        <v>987009.34</v>
      </c>
      <c r="N12">
        <v>1392442.5529223196</v>
      </c>
      <c r="O12">
        <v>1442442.5530000001</v>
      </c>
      <c r="P12">
        <v>1392442.5529223196</v>
      </c>
      <c r="T12">
        <v>228324.82</v>
      </c>
      <c r="U12">
        <v>278324.82</v>
      </c>
      <c r="V12">
        <v>228324.82</v>
      </c>
    </row>
    <row r="13" spans="1:25" x14ac:dyDescent="0.3">
      <c r="A13">
        <v>2035</v>
      </c>
      <c r="B13">
        <v>211911.86170000001</v>
      </c>
      <c r="C13">
        <v>261911.86170000001</v>
      </c>
      <c r="D13">
        <v>317867.79255000001</v>
      </c>
      <c r="H13">
        <v>985096.53199999989</v>
      </c>
      <c r="I13">
        <v>1035096.532</v>
      </c>
      <c r="J13" s="4">
        <v>1477644.798</v>
      </c>
      <c r="N13">
        <v>1375251.6852313997</v>
      </c>
      <c r="O13">
        <v>1425251.6850000001</v>
      </c>
      <c r="P13">
        <v>2062877.5275000001</v>
      </c>
      <c r="T13">
        <v>223663.91</v>
      </c>
      <c r="U13">
        <v>273663.90999999997</v>
      </c>
      <c r="V13">
        <v>335495.86499999999</v>
      </c>
    </row>
    <row r="14" spans="1:25" x14ac:dyDescent="0.3">
      <c r="A14">
        <v>2036</v>
      </c>
      <c r="B14">
        <v>208733.1838</v>
      </c>
      <c r="C14">
        <v>258733.1838</v>
      </c>
      <c r="D14">
        <v>313099.7757</v>
      </c>
      <c r="H14">
        <v>983183.72319999977</v>
      </c>
      <c r="I14">
        <v>1033183.7232</v>
      </c>
      <c r="J14" s="4">
        <v>1474775.5848000001</v>
      </c>
      <c r="N14">
        <v>1358060.8175404796</v>
      </c>
      <c r="O14">
        <v>1408060.818</v>
      </c>
      <c r="P14">
        <v>2037091.227</v>
      </c>
      <c r="T14">
        <v>219097.32</v>
      </c>
      <c r="U14">
        <v>269097.32</v>
      </c>
      <c r="V14">
        <v>328645.98</v>
      </c>
    </row>
    <row r="15" spans="1:25" x14ac:dyDescent="0.3">
      <c r="A15">
        <v>2037</v>
      </c>
      <c r="B15">
        <v>205602.18599999999</v>
      </c>
      <c r="C15">
        <v>255602.18599999999</v>
      </c>
      <c r="D15">
        <v>308403.27899999998</v>
      </c>
      <c r="H15">
        <v>981270.91439999978</v>
      </c>
      <c r="I15">
        <v>1031270.9144</v>
      </c>
      <c r="J15" s="4">
        <v>1471906.3716</v>
      </c>
      <c r="N15">
        <v>1340869.9498495597</v>
      </c>
      <c r="O15">
        <v>1390869.95</v>
      </c>
      <c r="P15">
        <v>2011304.925</v>
      </c>
      <c r="T15">
        <v>214623.65</v>
      </c>
      <c r="U15">
        <v>264623.65000000002</v>
      </c>
      <c r="V15">
        <v>321935.47499999998</v>
      </c>
    </row>
    <row r="16" spans="1:25" x14ac:dyDescent="0.3">
      <c r="A16">
        <v>2038</v>
      </c>
      <c r="B16">
        <v>202518.1532</v>
      </c>
      <c r="C16">
        <v>252518.1532</v>
      </c>
      <c r="D16">
        <v>303777.22979999997</v>
      </c>
      <c r="H16">
        <v>979358.10559999966</v>
      </c>
      <c r="I16">
        <v>1029358.1056</v>
      </c>
      <c r="J16" s="4">
        <v>1469037.1584000001</v>
      </c>
      <c r="N16">
        <v>1323679.0821586396</v>
      </c>
      <c r="O16">
        <v>1373679.0819999999</v>
      </c>
      <c r="P16">
        <v>1985518.6229999999</v>
      </c>
      <c r="T16">
        <v>210241.6</v>
      </c>
      <c r="U16">
        <v>260241.6</v>
      </c>
      <c r="V16">
        <v>315362.40000000002</v>
      </c>
    </row>
    <row r="17" spans="1:25" x14ac:dyDescent="0.3">
      <c r="A17">
        <v>2039</v>
      </c>
      <c r="B17">
        <v>199480.38089999999</v>
      </c>
      <c r="C17">
        <v>249480.38089999999</v>
      </c>
      <c r="D17">
        <v>299220.57134999998</v>
      </c>
      <c r="E17">
        <v>299220.57134999998</v>
      </c>
      <c r="H17">
        <v>977445.29679999966</v>
      </c>
      <c r="I17">
        <v>1027445.2968</v>
      </c>
      <c r="J17" s="4">
        <v>1466167.9452</v>
      </c>
      <c r="K17" s="4">
        <v>1466167.9452</v>
      </c>
      <c r="N17">
        <v>1306488.2144677194</v>
      </c>
      <c r="O17">
        <v>1356488.2139999999</v>
      </c>
      <c r="P17">
        <v>1959732.321</v>
      </c>
      <c r="Q17">
        <v>1959732.321</v>
      </c>
      <c r="T17">
        <v>205949.84</v>
      </c>
      <c r="U17">
        <v>255949.84</v>
      </c>
      <c r="V17">
        <v>308924.76</v>
      </c>
      <c r="W17">
        <v>308924.76</v>
      </c>
    </row>
    <row r="18" spans="1:25" x14ac:dyDescent="0.3">
      <c r="A18">
        <v>2040</v>
      </c>
      <c r="B18">
        <v>196488.1752</v>
      </c>
      <c r="C18">
        <v>246488.1752</v>
      </c>
      <c r="D18">
        <v>294732.26280000003</v>
      </c>
      <c r="E18">
        <v>294732.26280000003</v>
      </c>
      <c r="H18">
        <v>975532.48799999955</v>
      </c>
      <c r="I18">
        <v>1025532.488</v>
      </c>
      <c r="J18" s="4">
        <v>1463298.7320000001</v>
      </c>
      <c r="K18" s="4">
        <v>1463298.7320000001</v>
      </c>
      <c r="N18">
        <v>1288027.7959324</v>
      </c>
      <c r="O18">
        <v>1338027.7960000001</v>
      </c>
      <c r="P18">
        <v>1932041.6939999999</v>
      </c>
      <c r="Q18">
        <v>1932041.6939999999</v>
      </c>
      <c r="T18">
        <v>201747.12</v>
      </c>
      <c r="U18">
        <v>251747.12</v>
      </c>
      <c r="V18">
        <v>302620.68</v>
      </c>
      <c r="W18">
        <v>302620.68</v>
      </c>
    </row>
    <row r="19" spans="1:25" x14ac:dyDescent="0.3">
      <c r="A19">
        <v>2041</v>
      </c>
      <c r="B19">
        <v>193540.85260000001</v>
      </c>
      <c r="C19">
        <v>243540.85260000001</v>
      </c>
      <c r="D19">
        <v>290311.27889999998</v>
      </c>
      <c r="E19">
        <v>290311.27889999998</v>
      </c>
      <c r="H19">
        <v>973619.67919999966</v>
      </c>
      <c r="I19">
        <v>1023619.6792</v>
      </c>
      <c r="J19" s="4">
        <v>1460429.52</v>
      </c>
      <c r="K19" s="4">
        <v>1460429.52</v>
      </c>
      <c r="N19">
        <v>1288154.7510168403</v>
      </c>
      <c r="O19">
        <v>1338154.7509999999</v>
      </c>
      <c r="P19">
        <v>1932232.1265</v>
      </c>
      <c r="Q19">
        <v>1932232.1265</v>
      </c>
      <c r="T19">
        <v>197632.19</v>
      </c>
      <c r="U19">
        <v>247632.19</v>
      </c>
      <c r="V19">
        <v>296448.28499999997</v>
      </c>
      <c r="W19">
        <v>296448.28499999997</v>
      </c>
    </row>
    <row r="20" spans="1:25" x14ac:dyDescent="0.3">
      <c r="A20">
        <v>2042</v>
      </c>
      <c r="B20">
        <v>190637.73980000001</v>
      </c>
      <c r="C20">
        <v>240637.73980000001</v>
      </c>
      <c r="D20">
        <v>285956.60969999997</v>
      </c>
      <c r="E20">
        <v>285956.60969999997</v>
      </c>
      <c r="H20">
        <v>971706.87039999955</v>
      </c>
      <c r="I20">
        <v>1021706.8704</v>
      </c>
      <c r="J20" s="4">
        <v>1457560.3056000001</v>
      </c>
      <c r="K20" s="4">
        <v>1457560.3056000001</v>
      </c>
      <c r="N20">
        <v>1288281.7061012802</v>
      </c>
      <c r="O20">
        <v>1338281.706</v>
      </c>
      <c r="P20">
        <v>1932422.5589999999</v>
      </c>
      <c r="Q20">
        <v>1932422.5589999999</v>
      </c>
      <c r="T20">
        <v>193603.83</v>
      </c>
      <c r="U20">
        <v>243603.83</v>
      </c>
      <c r="V20">
        <v>290405.745</v>
      </c>
      <c r="W20">
        <v>290405.745</v>
      </c>
    </row>
    <row r="21" spans="1:25" x14ac:dyDescent="0.3">
      <c r="A21">
        <v>2043</v>
      </c>
      <c r="B21">
        <v>187778.17370000001</v>
      </c>
      <c r="C21">
        <v>237778.17370000001</v>
      </c>
      <c r="D21">
        <v>281667.26055000001</v>
      </c>
      <c r="E21">
        <v>281667.26055000001</v>
      </c>
      <c r="H21">
        <v>969794.06159999955</v>
      </c>
      <c r="I21">
        <v>1019794.0616</v>
      </c>
      <c r="J21" s="4">
        <v>1454691.0924</v>
      </c>
      <c r="K21" s="4">
        <v>1454691.0924</v>
      </c>
      <c r="N21">
        <v>1288408.6611857202</v>
      </c>
      <c r="O21">
        <v>1338408.6610000001</v>
      </c>
      <c r="P21">
        <v>1932612.9915</v>
      </c>
      <c r="Q21">
        <v>1932612.9915</v>
      </c>
      <c r="T21">
        <v>189660.87</v>
      </c>
      <c r="U21">
        <v>239660.87</v>
      </c>
      <c r="V21">
        <v>284491.30499999999</v>
      </c>
      <c r="W21">
        <v>284491.30499999999</v>
      </c>
    </row>
    <row r="22" spans="1:25" x14ac:dyDescent="0.3">
      <c r="A22">
        <v>2044</v>
      </c>
      <c r="B22">
        <v>184961.50109999999</v>
      </c>
      <c r="C22">
        <v>234961.50109999999</v>
      </c>
      <c r="D22">
        <v>277442.25164999999</v>
      </c>
      <c r="E22">
        <v>277442.25164999999</v>
      </c>
      <c r="F22">
        <v>277442.25164999999</v>
      </c>
      <c r="H22">
        <v>967881.25279999943</v>
      </c>
      <c r="I22">
        <v>1017881.2528</v>
      </c>
      <c r="J22" s="4">
        <v>1451821.8792000001</v>
      </c>
      <c r="K22" s="4">
        <v>1451821.8792000001</v>
      </c>
      <c r="L22" s="4">
        <v>1451821.8792000001</v>
      </c>
      <c r="N22">
        <v>1288535.6162701603</v>
      </c>
      <c r="O22">
        <v>1338535.6159999999</v>
      </c>
      <c r="P22">
        <v>1932803.4240000001</v>
      </c>
      <c r="Q22">
        <v>1932803.4240000001</v>
      </c>
      <c r="R22">
        <v>1932803.4240000001</v>
      </c>
      <c r="T22">
        <v>185802.14</v>
      </c>
      <c r="U22">
        <v>235802.14</v>
      </c>
      <c r="V22">
        <v>278703.21000000002</v>
      </c>
      <c r="W22">
        <v>278703.21000000002</v>
      </c>
      <c r="X22">
        <v>278703.21000000002</v>
      </c>
    </row>
    <row r="23" spans="1:25" x14ac:dyDescent="0.3">
      <c r="A23">
        <v>2045</v>
      </c>
      <c r="B23">
        <v>182187.07860000001</v>
      </c>
      <c r="C23">
        <v>232187.07860000001</v>
      </c>
      <c r="D23">
        <v>273280.6189</v>
      </c>
      <c r="E23">
        <v>273280.6189</v>
      </c>
      <c r="F23">
        <v>273280.6189</v>
      </c>
      <c r="H23">
        <v>965968.44399999944</v>
      </c>
      <c r="I23">
        <v>1015968.444</v>
      </c>
      <c r="J23" s="4">
        <v>1448952.666</v>
      </c>
      <c r="K23" s="4">
        <v>1448952.666</v>
      </c>
      <c r="L23" s="4">
        <v>1448952.666</v>
      </c>
      <c r="N23">
        <v>1288662.5713546001</v>
      </c>
      <c r="O23">
        <v>1338662.571</v>
      </c>
      <c r="P23">
        <v>1932993.8565</v>
      </c>
      <c r="Q23">
        <v>1932993.8565</v>
      </c>
      <c r="R23">
        <v>1932993.8565</v>
      </c>
      <c r="T23">
        <v>182026.51</v>
      </c>
      <c r="U23">
        <v>232026.51</v>
      </c>
      <c r="V23">
        <v>273039.76500000001</v>
      </c>
      <c r="W23">
        <v>273039.76500000001</v>
      </c>
      <c r="X23">
        <v>273039.76500000001</v>
      </c>
    </row>
    <row r="24" spans="1:25" x14ac:dyDescent="0.3">
      <c r="A24">
        <v>2046</v>
      </c>
      <c r="B24">
        <v>179454.27239999999</v>
      </c>
      <c r="C24">
        <v>229454.27239999999</v>
      </c>
      <c r="D24">
        <v>269181.40860000002</v>
      </c>
      <c r="E24">
        <v>269181.40860000002</v>
      </c>
      <c r="F24">
        <v>269181.40860000002</v>
      </c>
      <c r="H24">
        <v>964055.63519999932</v>
      </c>
      <c r="I24">
        <v>1014055.6352</v>
      </c>
      <c r="J24" s="4">
        <v>1446083.4528000001</v>
      </c>
      <c r="K24" s="4">
        <v>1446083.4528000001</v>
      </c>
      <c r="L24" s="4">
        <v>1446083.4528000001</v>
      </c>
      <c r="N24">
        <v>1288789.5264390404</v>
      </c>
      <c r="O24">
        <v>1338789.5260000001</v>
      </c>
      <c r="P24">
        <v>1933184.2890000001</v>
      </c>
      <c r="Q24">
        <v>1933184.2890000001</v>
      </c>
      <c r="R24">
        <v>1933184.2890000001</v>
      </c>
      <c r="T24">
        <v>178332.87</v>
      </c>
      <c r="U24">
        <v>228332.87</v>
      </c>
      <c r="V24">
        <v>267499.30499999999</v>
      </c>
      <c r="W24">
        <v>267499.30499999999</v>
      </c>
      <c r="X24">
        <v>267499.30499999999</v>
      </c>
    </row>
    <row r="25" spans="1:25" x14ac:dyDescent="0.3">
      <c r="A25">
        <v>2047</v>
      </c>
      <c r="B25">
        <v>176762.4583</v>
      </c>
      <c r="C25">
        <v>226762.4583</v>
      </c>
      <c r="D25">
        <v>265143.68745000003</v>
      </c>
      <c r="E25">
        <v>265143.68745000003</v>
      </c>
      <c r="F25">
        <v>265143.68745000003</v>
      </c>
      <c r="H25">
        <v>962142.82639999932</v>
      </c>
      <c r="I25">
        <v>1012142.8264</v>
      </c>
      <c r="J25" s="4">
        <v>1443214.2396</v>
      </c>
      <c r="K25" s="4">
        <v>1443214.2396</v>
      </c>
      <c r="L25" s="4">
        <v>1443214.2396</v>
      </c>
      <c r="N25">
        <v>1288916.4815234803</v>
      </c>
      <c r="O25">
        <v>1338916.4820000001</v>
      </c>
      <c r="P25">
        <v>1933374.723</v>
      </c>
      <c r="Q25">
        <v>1933374.723</v>
      </c>
      <c r="R25">
        <v>1933374.723</v>
      </c>
      <c r="T25">
        <v>174720.11</v>
      </c>
      <c r="U25">
        <v>224720.11</v>
      </c>
      <c r="V25">
        <v>262080.16500000001</v>
      </c>
      <c r="W25">
        <v>262080.16500000001</v>
      </c>
      <c r="X25">
        <v>262080.16500000001</v>
      </c>
    </row>
    <row r="26" spans="1:25" x14ac:dyDescent="0.3">
      <c r="A26">
        <v>2048</v>
      </c>
      <c r="B26">
        <v>174111.0214</v>
      </c>
      <c r="C26">
        <v>224111.0214</v>
      </c>
      <c r="D26">
        <v>261166.53210000001</v>
      </c>
      <c r="E26">
        <v>261166.53210000001</v>
      </c>
      <c r="F26">
        <v>261166.53210000001</v>
      </c>
      <c r="H26">
        <v>960230.01759999921</v>
      </c>
      <c r="I26">
        <v>1010230.0176</v>
      </c>
      <c r="J26" s="4">
        <v>1440345.0264000001</v>
      </c>
      <c r="K26" s="4">
        <v>1440345.0264000001</v>
      </c>
      <c r="L26" s="4">
        <v>1440345.0264000001</v>
      </c>
      <c r="N26">
        <v>1289043.4366079206</v>
      </c>
      <c r="O26">
        <v>1339043.4369999999</v>
      </c>
      <c r="P26">
        <v>1933565.1555000001</v>
      </c>
      <c r="Q26">
        <v>1933565.1555000001</v>
      </c>
      <c r="R26">
        <v>1933565.1555000001</v>
      </c>
      <c r="T26">
        <v>171187.17</v>
      </c>
      <c r="U26">
        <v>221187.17</v>
      </c>
      <c r="V26">
        <v>256780.755</v>
      </c>
      <c r="W26">
        <v>256780.755</v>
      </c>
      <c r="X26">
        <v>256780.755</v>
      </c>
    </row>
    <row r="27" spans="1:25" x14ac:dyDescent="0.3">
      <c r="A27">
        <v>2049</v>
      </c>
      <c r="B27">
        <v>171499.3561</v>
      </c>
      <c r="C27">
        <v>221499.3561</v>
      </c>
      <c r="D27">
        <v>257249.03414999999</v>
      </c>
      <c r="E27">
        <v>257249.03414999999</v>
      </c>
      <c r="F27">
        <v>257249.03414999999</v>
      </c>
      <c r="G27">
        <v>257249.03414999999</v>
      </c>
      <c r="H27">
        <v>958317.20879999921</v>
      </c>
      <c r="I27">
        <v>1008317.2088</v>
      </c>
      <c r="J27" s="4">
        <v>1437475.8132</v>
      </c>
      <c r="K27" s="4">
        <v>1437475.8132</v>
      </c>
      <c r="L27" s="4">
        <v>1437475.8132</v>
      </c>
      <c r="M27" s="4">
        <v>1437475.8132</v>
      </c>
      <c r="N27">
        <v>1289170.3916923604</v>
      </c>
      <c r="O27">
        <v>1339170.392</v>
      </c>
      <c r="P27">
        <v>1933755.588</v>
      </c>
      <c r="Q27">
        <v>1933755.588</v>
      </c>
      <c r="R27">
        <v>1933755.588</v>
      </c>
      <c r="S27">
        <v>1933755.588</v>
      </c>
      <c r="T27">
        <v>167732.98000000001</v>
      </c>
      <c r="U27">
        <v>217732.98</v>
      </c>
      <c r="V27">
        <v>251599.47</v>
      </c>
      <c r="W27">
        <v>251599.47</v>
      </c>
      <c r="X27">
        <v>251599.47</v>
      </c>
      <c r="Y27">
        <v>251599.47</v>
      </c>
    </row>
    <row r="28" spans="1:25" x14ac:dyDescent="0.3">
      <c r="A28">
        <v>2050</v>
      </c>
      <c r="B28">
        <v>168926.8658</v>
      </c>
      <c r="C28">
        <v>218926.8658</v>
      </c>
      <c r="D28">
        <v>253390.29870000001</v>
      </c>
      <c r="E28">
        <v>253390.29870000001</v>
      </c>
      <c r="F28">
        <v>253390.29870000001</v>
      </c>
      <c r="G28">
        <v>253390.29870000001</v>
      </c>
      <c r="H28">
        <v>956404.40000000026</v>
      </c>
      <c r="I28">
        <v>1006404.4</v>
      </c>
      <c r="J28" s="4">
        <v>1434606.6</v>
      </c>
      <c r="K28" s="4">
        <v>1434606.6</v>
      </c>
      <c r="L28" s="4">
        <v>1434606.6</v>
      </c>
      <c r="M28" s="4">
        <v>1434606.6</v>
      </c>
      <c r="N28">
        <v>1289297.3467768</v>
      </c>
      <c r="O28">
        <v>1339297.3470000001</v>
      </c>
      <c r="P28">
        <v>1933946.0205000001</v>
      </c>
      <c r="Q28">
        <v>1933946.0205000001</v>
      </c>
      <c r="R28">
        <v>1933946.0205000001</v>
      </c>
      <c r="S28">
        <v>1933946.0205000001</v>
      </c>
      <c r="T28">
        <v>164356.51999999999</v>
      </c>
      <c r="U28">
        <v>214356.52</v>
      </c>
      <c r="V28">
        <v>246534.78</v>
      </c>
      <c r="W28">
        <v>246534.78</v>
      </c>
      <c r="X28">
        <v>246534.78</v>
      </c>
      <c r="Y28">
        <v>246534.78</v>
      </c>
    </row>
  </sheetData>
  <sortState xmlns:xlrd2="http://schemas.microsoft.com/office/spreadsheetml/2017/richdata2" ref="K23:K38">
    <sortCondition ref="K23:K38"/>
  </sortState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94D60-577C-43F3-97BF-857EEFCA39B5}">
  <dimension ref="A1:Y28"/>
  <sheetViews>
    <sheetView tabSelected="1" topLeftCell="D1" workbookViewId="0">
      <selection activeCell="V30" sqref="V30"/>
    </sheetView>
  </sheetViews>
  <sheetFormatPr baseColWidth="10" defaultRowHeight="14.4" x14ac:dyDescent="0.3"/>
  <sheetData>
    <row r="1" spans="1:25" x14ac:dyDescent="0.3">
      <c r="A1" s="3" t="s">
        <v>0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  <c r="H1" s="3" t="s">
        <v>50</v>
      </c>
      <c r="I1" s="3" t="s">
        <v>51</v>
      </c>
      <c r="J1" s="3" t="s">
        <v>52</v>
      </c>
      <c r="K1" s="3" t="s">
        <v>53</v>
      </c>
      <c r="L1" s="3" t="s">
        <v>54</v>
      </c>
      <c r="M1" s="3" t="s">
        <v>55</v>
      </c>
      <c r="N1" s="3" t="s">
        <v>56</v>
      </c>
      <c r="O1" s="3" t="s">
        <v>57</v>
      </c>
      <c r="P1" s="3" t="s">
        <v>58</v>
      </c>
      <c r="Q1" s="3" t="s">
        <v>59</v>
      </c>
      <c r="R1" s="3" t="s">
        <v>60</v>
      </c>
      <c r="S1" s="3" t="s">
        <v>61</v>
      </c>
      <c r="T1" s="3" t="s">
        <v>62</v>
      </c>
      <c r="U1" s="3" t="s">
        <v>63</v>
      </c>
      <c r="V1" s="3" t="s">
        <v>64</v>
      </c>
      <c r="W1" s="3" t="s">
        <v>65</v>
      </c>
      <c r="X1" s="3" t="s">
        <v>66</v>
      </c>
      <c r="Y1" s="3" t="s">
        <v>67</v>
      </c>
    </row>
    <row r="2" spans="1:25" x14ac:dyDescent="0.3">
      <c r="A2">
        <v>2024</v>
      </c>
      <c r="B2">
        <v>303600</v>
      </c>
      <c r="H2">
        <v>1673707.7</v>
      </c>
      <c r="N2">
        <v>2337972.5216000001</v>
      </c>
      <c r="T2">
        <v>527469.86</v>
      </c>
    </row>
    <row r="3" spans="1:25" x14ac:dyDescent="0.3">
      <c r="A3">
        <v>2025</v>
      </c>
      <c r="B3">
        <v>299045.40000000002</v>
      </c>
      <c r="H3">
        <v>1660955.6413333334</v>
      </c>
      <c r="N3">
        <v>2318026.381866667</v>
      </c>
      <c r="T3">
        <v>516785.56</v>
      </c>
    </row>
    <row r="4" spans="1:25" x14ac:dyDescent="0.3">
      <c r="A4">
        <v>2026</v>
      </c>
      <c r="B4">
        <v>294559.71899999998</v>
      </c>
      <c r="H4">
        <v>1648203.5826666667</v>
      </c>
      <c r="N4">
        <v>2298080.2421333333</v>
      </c>
      <c r="T4">
        <v>506302.5</v>
      </c>
    </row>
    <row r="5" spans="1:25" x14ac:dyDescent="0.3">
      <c r="A5">
        <v>2027</v>
      </c>
      <c r="B5">
        <v>290141.32319999998</v>
      </c>
      <c r="H5">
        <v>1635451.524</v>
      </c>
      <c r="N5">
        <v>2278134.1023999997</v>
      </c>
      <c r="T5">
        <v>496017.89</v>
      </c>
    </row>
    <row r="6" spans="1:25" x14ac:dyDescent="0.3">
      <c r="A6">
        <v>2028</v>
      </c>
      <c r="B6">
        <v>285788.2034</v>
      </c>
      <c r="H6">
        <v>1622699.4653333335</v>
      </c>
      <c r="N6">
        <v>2258187.9626666661</v>
      </c>
      <c r="T6">
        <v>485929.01</v>
      </c>
    </row>
    <row r="7" spans="1:25" x14ac:dyDescent="0.3">
      <c r="A7">
        <v>2029</v>
      </c>
      <c r="B7">
        <v>281498.4804</v>
      </c>
      <c r="C7">
        <v>281498.4804</v>
      </c>
      <c r="H7">
        <v>1609947.4066666667</v>
      </c>
      <c r="I7">
        <v>1609947.4066666667</v>
      </c>
      <c r="N7">
        <v>2238241.8229333302</v>
      </c>
      <c r="O7">
        <v>2238241.8229333302</v>
      </c>
      <c r="T7">
        <v>476033.18</v>
      </c>
      <c r="U7">
        <v>476033.18</v>
      </c>
    </row>
    <row r="8" spans="1:25" x14ac:dyDescent="0.3">
      <c r="A8">
        <v>2030</v>
      </c>
      <c r="B8">
        <v>277270.34419999999</v>
      </c>
      <c r="C8">
        <v>207952.75815000001</v>
      </c>
      <c r="H8">
        <v>1597195.3480000002</v>
      </c>
      <c r="I8">
        <v>1197896.5109999999</v>
      </c>
      <c r="N8">
        <v>2218295.6831999999</v>
      </c>
      <c r="O8">
        <v>1663721.7622499999</v>
      </c>
      <c r="T8">
        <v>466327.8</v>
      </c>
      <c r="U8">
        <v>349745.85</v>
      </c>
    </row>
    <row r="9" spans="1:25" x14ac:dyDescent="0.3">
      <c r="A9">
        <v>2031</v>
      </c>
      <c r="B9">
        <v>273102.28909999999</v>
      </c>
      <c r="C9">
        <v>204826.71682500001</v>
      </c>
      <c r="H9">
        <v>1594326.1348000003</v>
      </c>
      <c r="I9">
        <v>1195744.6012500001</v>
      </c>
      <c r="N9">
        <v>2205259.4561600001</v>
      </c>
      <c r="O9">
        <v>1653944.5919999999</v>
      </c>
      <c r="T9">
        <v>456810.3</v>
      </c>
      <c r="U9">
        <v>342607.72499999998</v>
      </c>
    </row>
    <row r="10" spans="1:25" x14ac:dyDescent="0.3">
      <c r="A10">
        <v>2032</v>
      </c>
      <c r="B10">
        <v>268993.2548</v>
      </c>
      <c r="C10">
        <v>201744.9411</v>
      </c>
      <c r="H10">
        <v>1591456.9216000002</v>
      </c>
      <c r="I10">
        <v>1193592.6915</v>
      </c>
      <c r="N10">
        <v>2192223.2291199998</v>
      </c>
      <c r="O10">
        <v>1644167.42175</v>
      </c>
      <c r="T10">
        <v>447478.16</v>
      </c>
      <c r="U10">
        <v>335608.62</v>
      </c>
    </row>
    <row r="11" spans="1:25" x14ac:dyDescent="0.3">
      <c r="A11">
        <v>2033</v>
      </c>
      <c r="B11">
        <v>264942.41499999998</v>
      </c>
      <c r="C11">
        <v>198706.81125</v>
      </c>
      <c r="H11">
        <v>1588587.7084000004</v>
      </c>
      <c r="I11">
        <v>1191440.781</v>
      </c>
      <c r="N11">
        <v>2179187.0020799995</v>
      </c>
      <c r="O11">
        <v>1634390.2515</v>
      </c>
      <c r="T11">
        <v>438328.91</v>
      </c>
      <c r="U11">
        <v>328746.6825</v>
      </c>
    </row>
    <row r="12" spans="1:25" x14ac:dyDescent="0.3">
      <c r="A12">
        <v>2034</v>
      </c>
      <c r="B12">
        <v>260948.7948</v>
      </c>
      <c r="C12">
        <v>195711.5961</v>
      </c>
      <c r="D12">
        <v>195711.5961</v>
      </c>
      <c r="H12">
        <v>1585718.4952000002</v>
      </c>
      <c r="I12">
        <v>1189288.87075</v>
      </c>
      <c r="J12">
        <v>1189288.87075</v>
      </c>
      <c r="N12">
        <v>2166150.7750399997</v>
      </c>
      <c r="O12">
        <v>1624613.08125</v>
      </c>
      <c r="P12">
        <v>1624613.08125</v>
      </c>
      <c r="T12">
        <v>429360.14</v>
      </c>
      <c r="U12">
        <v>322020.10499999998</v>
      </c>
      <c r="V12">
        <v>322020.10499999998</v>
      </c>
    </row>
    <row r="13" spans="1:25" x14ac:dyDescent="0.3">
      <c r="A13">
        <v>2035</v>
      </c>
      <c r="B13">
        <v>257011.4613</v>
      </c>
      <c r="C13">
        <v>192758.595975</v>
      </c>
      <c r="D13">
        <v>289137.89399999997</v>
      </c>
      <c r="H13">
        <v>1582849.2820000004</v>
      </c>
      <c r="I13">
        <v>1187136.9605</v>
      </c>
      <c r="J13">
        <v>1780705.4415</v>
      </c>
      <c r="N13">
        <v>2153114.5479999995</v>
      </c>
      <c r="O13">
        <v>1614835.9110000001</v>
      </c>
      <c r="P13">
        <v>2422253.8665</v>
      </c>
      <c r="T13">
        <v>420569.49</v>
      </c>
      <c r="U13">
        <v>473140.67625000002</v>
      </c>
      <c r="V13">
        <v>709711.01445000002</v>
      </c>
    </row>
    <row r="14" spans="1:25" x14ac:dyDescent="0.3">
      <c r="A14">
        <v>2036</v>
      </c>
      <c r="B14">
        <v>253129.39139999999</v>
      </c>
      <c r="C14">
        <v>189847.04355</v>
      </c>
      <c r="D14">
        <v>284770.56540000002</v>
      </c>
      <c r="H14">
        <v>1579980.0688000005</v>
      </c>
      <c r="I14">
        <v>1184985.0507499999</v>
      </c>
      <c r="J14">
        <v>1777477.5765</v>
      </c>
      <c r="N14">
        <v>2140078.3209599997</v>
      </c>
      <c r="O14">
        <v>1605058.7407500001</v>
      </c>
      <c r="P14">
        <v>2407588.1115000001</v>
      </c>
      <c r="T14">
        <v>411954.65</v>
      </c>
      <c r="U14">
        <v>463450.48125000001</v>
      </c>
      <c r="V14">
        <v>695175.72195000004</v>
      </c>
    </row>
    <row r="15" spans="1:25" x14ac:dyDescent="0.3">
      <c r="A15">
        <v>2037</v>
      </c>
      <c r="B15">
        <v>249301.63759999999</v>
      </c>
      <c r="C15">
        <v>186976.22820000001</v>
      </c>
      <c r="D15">
        <v>280464.34230000002</v>
      </c>
      <c r="H15">
        <v>1577110.8556000004</v>
      </c>
      <c r="I15">
        <v>1182833.14075</v>
      </c>
      <c r="J15">
        <v>1774250.7115</v>
      </c>
      <c r="N15">
        <v>2127042.0939199994</v>
      </c>
      <c r="O15">
        <v>1595281.5704999999</v>
      </c>
      <c r="P15">
        <v>2392922.3565000002</v>
      </c>
      <c r="T15">
        <v>403513.36</v>
      </c>
      <c r="U15">
        <v>453952.53</v>
      </c>
      <c r="V15">
        <v>680928.79500000004</v>
      </c>
    </row>
    <row r="16" spans="1:25" x14ac:dyDescent="0.3">
      <c r="A16">
        <v>2038</v>
      </c>
      <c r="B16">
        <v>245527.30809999999</v>
      </c>
      <c r="C16">
        <v>184145.48107499999</v>
      </c>
      <c r="D16">
        <v>276218.22169999999</v>
      </c>
      <c r="H16">
        <v>1574241.6424000005</v>
      </c>
      <c r="I16">
        <v>1180681.2315</v>
      </c>
      <c r="J16">
        <v>1771023.848</v>
      </c>
      <c r="N16">
        <v>2114005.8668799992</v>
      </c>
      <c r="O16">
        <v>1585504.4002499999</v>
      </c>
      <c r="P16">
        <v>2378256.6</v>
      </c>
      <c r="T16">
        <v>395243.39</v>
      </c>
      <c r="U16">
        <v>444648.81374999997</v>
      </c>
      <c r="V16">
        <v>666973.22069999995</v>
      </c>
    </row>
    <row r="17" spans="1:25" x14ac:dyDescent="0.3">
      <c r="A17">
        <v>2039</v>
      </c>
      <c r="B17">
        <v>241805.39859999999</v>
      </c>
      <c r="C17">
        <v>181354.04934999999</v>
      </c>
      <c r="D17">
        <v>272031.07410000003</v>
      </c>
      <c r="E17">
        <v>272031.07410000003</v>
      </c>
      <c r="H17">
        <v>1571372.4292000004</v>
      </c>
      <c r="I17">
        <v>1178529.3217499999</v>
      </c>
      <c r="J17">
        <v>1767796.983</v>
      </c>
      <c r="K17">
        <v>1767796.983</v>
      </c>
      <c r="N17">
        <v>2100969.6398399994</v>
      </c>
      <c r="O17">
        <v>1575727.23</v>
      </c>
      <c r="P17">
        <v>2363590.8450000002</v>
      </c>
      <c r="Q17">
        <v>2363590.8450000002</v>
      </c>
      <c r="T17">
        <v>387142.59</v>
      </c>
      <c r="U17">
        <v>435535.41375000001</v>
      </c>
      <c r="V17">
        <v>653303.12069999997</v>
      </c>
      <c r="W17">
        <v>653303.12069999997</v>
      </c>
    </row>
    <row r="18" spans="1:25" x14ac:dyDescent="0.3">
      <c r="A18">
        <v>2040</v>
      </c>
      <c r="B18">
        <v>238134.9901</v>
      </c>
      <c r="C18">
        <v>178601.24257500001</v>
      </c>
      <c r="D18">
        <v>267901.864</v>
      </c>
      <c r="E18">
        <v>267901.864</v>
      </c>
      <c r="H18">
        <v>1568503.2160000005</v>
      </c>
      <c r="I18">
        <v>1176377.412</v>
      </c>
      <c r="J18">
        <v>1764570.118</v>
      </c>
      <c r="K18">
        <v>1764570.118</v>
      </c>
      <c r="N18">
        <v>2087933.4128</v>
      </c>
      <c r="O18">
        <v>1565949.05975</v>
      </c>
      <c r="P18">
        <v>2348925.09</v>
      </c>
      <c r="Q18">
        <v>2348925.09</v>
      </c>
      <c r="T18">
        <v>379208.83</v>
      </c>
      <c r="U18">
        <v>426609.93375000003</v>
      </c>
      <c r="V18">
        <v>639914.9007</v>
      </c>
      <c r="W18">
        <v>639914.9007</v>
      </c>
    </row>
    <row r="19" spans="1:25" x14ac:dyDescent="0.3">
      <c r="A19">
        <v>2041</v>
      </c>
      <c r="B19">
        <v>234515.065</v>
      </c>
      <c r="C19">
        <v>175886.29874999999</v>
      </c>
      <c r="D19">
        <v>263829.44819999998</v>
      </c>
      <c r="E19">
        <v>263829.44819999998</v>
      </c>
      <c r="H19">
        <v>1565634.0028000006</v>
      </c>
      <c r="I19">
        <v>1174225.5022499999</v>
      </c>
      <c r="J19">
        <v>1761343.253</v>
      </c>
      <c r="K19">
        <v>1761343.253</v>
      </c>
      <c r="N19">
        <v>2076927.41784</v>
      </c>
      <c r="O19">
        <v>1557695.5634999999</v>
      </c>
      <c r="P19">
        <v>2336543.3459999999</v>
      </c>
      <c r="Q19">
        <v>2336543.3459999999</v>
      </c>
      <c r="T19">
        <v>371440.05</v>
      </c>
      <c r="U19">
        <v>417868.55625000002</v>
      </c>
      <c r="V19">
        <v>626802.83444999997</v>
      </c>
      <c r="W19">
        <v>626802.83444999997</v>
      </c>
    </row>
    <row r="20" spans="1:25" x14ac:dyDescent="0.3">
      <c r="A20">
        <v>2042</v>
      </c>
      <c r="B20">
        <v>230944.68799999999</v>
      </c>
      <c r="C20">
        <v>173208.516</v>
      </c>
      <c r="D20">
        <v>259812.774</v>
      </c>
      <c r="E20">
        <v>259812.774</v>
      </c>
      <c r="H20">
        <v>1562764.7896000005</v>
      </c>
      <c r="I20">
        <v>1172073.5925</v>
      </c>
      <c r="J20">
        <v>1758116.3895</v>
      </c>
      <c r="K20">
        <v>1758116.3895</v>
      </c>
      <c r="N20">
        <v>2065921.4228800002</v>
      </c>
      <c r="O20">
        <v>1549442.0672500001</v>
      </c>
      <c r="P20">
        <v>2324163.1005000002</v>
      </c>
      <c r="Q20">
        <v>2324163.1005000002</v>
      </c>
      <c r="T20">
        <v>363834.24</v>
      </c>
      <c r="U20">
        <v>409307.52</v>
      </c>
      <c r="V20">
        <v>613961.28</v>
      </c>
      <c r="W20">
        <v>613961.28</v>
      </c>
    </row>
    <row r="21" spans="1:25" x14ac:dyDescent="0.3">
      <c r="A21">
        <v>2043</v>
      </c>
      <c r="B21">
        <v>227422.96530000001</v>
      </c>
      <c r="C21">
        <v>170567.223975</v>
      </c>
      <c r="D21">
        <v>255850.83600000001</v>
      </c>
      <c r="E21">
        <v>255850.83600000001</v>
      </c>
      <c r="H21">
        <v>1559895.5764000006</v>
      </c>
      <c r="I21">
        <v>1169921.682</v>
      </c>
      <c r="J21">
        <v>1754889.523</v>
      </c>
      <c r="K21">
        <v>1754889.523</v>
      </c>
      <c r="N21">
        <v>2054915.4279200002</v>
      </c>
      <c r="O21">
        <v>1541188.571</v>
      </c>
      <c r="P21">
        <v>2311782.8565000002</v>
      </c>
      <c r="Q21">
        <v>2311782.8565000002</v>
      </c>
      <c r="T21">
        <v>356389.41</v>
      </c>
      <c r="U21">
        <v>400923.08624999999</v>
      </c>
      <c r="V21">
        <v>601384.62945000001</v>
      </c>
      <c r="W21">
        <v>601384.62945000001</v>
      </c>
    </row>
    <row r="22" spans="1:25" x14ac:dyDescent="0.3">
      <c r="A22">
        <v>2044</v>
      </c>
      <c r="B22">
        <v>223948.88099999999</v>
      </c>
      <c r="C22">
        <v>167961.66075000001</v>
      </c>
      <c r="D22">
        <v>251942.49119999999</v>
      </c>
      <c r="E22">
        <v>251942.49119999999</v>
      </c>
      <c r="F22">
        <v>251942.49119999999</v>
      </c>
      <c r="H22">
        <v>1557026.3632000005</v>
      </c>
      <c r="I22">
        <v>1167769.7722499999</v>
      </c>
      <c r="J22">
        <v>1751662.6580000001</v>
      </c>
      <c r="K22">
        <v>1751662.6580000001</v>
      </c>
      <c r="L22">
        <v>1751662.6580000001</v>
      </c>
      <c r="N22">
        <v>2043909.4329600004</v>
      </c>
      <c r="O22">
        <v>1532935.0747499999</v>
      </c>
      <c r="P22">
        <v>2299402.6124999998</v>
      </c>
      <c r="Q22">
        <v>2299402.6124999998</v>
      </c>
      <c r="R22">
        <v>2299402.6124999998</v>
      </c>
      <c r="T22">
        <v>349103.66</v>
      </c>
      <c r="U22">
        <v>392711.61749999999</v>
      </c>
      <c r="V22">
        <v>589067.42625000002</v>
      </c>
      <c r="W22">
        <v>589067.42625000002</v>
      </c>
      <c r="X22">
        <v>589067.42625000002</v>
      </c>
    </row>
    <row r="23" spans="1:25" x14ac:dyDescent="0.3">
      <c r="A23">
        <v>2045</v>
      </c>
      <c r="B23">
        <v>220521.46350000001</v>
      </c>
      <c r="C23">
        <v>165391.09770000001</v>
      </c>
      <c r="D23">
        <v>248086.64655</v>
      </c>
      <c r="E23">
        <v>248086.64655</v>
      </c>
      <c r="F23">
        <v>248086.64655</v>
      </c>
      <c r="H23">
        <v>1554157.1500000006</v>
      </c>
      <c r="I23">
        <v>1165617.8625</v>
      </c>
      <c r="J23">
        <v>1748435.7945000001</v>
      </c>
      <c r="K23">
        <v>1748435.7945000001</v>
      </c>
      <c r="L23">
        <v>1748435.7945000001</v>
      </c>
      <c r="N23">
        <v>2032903.4380000005</v>
      </c>
      <c r="O23">
        <v>1524681.5785000001</v>
      </c>
      <c r="P23">
        <v>2287022.3684999999</v>
      </c>
      <c r="Q23">
        <v>2287022.3684999999</v>
      </c>
      <c r="R23">
        <v>2287022.3684999999</v>
      </c>
      <c r="T23">
        <v>341975.1</v>
      </c>
      <c r="U23">
        <v>384669.48749999999</v>
      </c>
      <c r="V23">
        <v>577004.23124999995</v>
      </c>
      <c r="W23">
        <v>577004.23124999995</v>
      </c>
      <c r="X23">
        <v>577004.23124999995</v>
      </c>
    </row>
    <row r="24" spans="1:25" x14ac:dyDescent="0.3">
      <c r="A24">
        <v>2046</v>
      </c>
      <c r="B24">
        <v>217139.74350000001</v>
      </c>
      <c r="C24">
        <v>162854.80762499999</v>
      </c>
      <c r="D24">
        <v>244282.2114</v>
      </c>
      <c r="E24">
        <v>244282.2114</v>
      </c>
      <c r="F24">
        <v>244282.2114</v>
      </c>
      <c r="H24">
        <v>1551287.9368000007</v>
      </c>
      <c r="I24">
        <v>1163465.9527499999</v>
      </c>
      <c r="J24">
        <v>1745208.9295000001</v>
      </c>
      <c r="K24">
        <v>1745208.9295000001</v>
      </c>
      <c r="L24">
        <v>1745208.9295000001</v>
      </c>
      <c r="N24">
        <v>2021897.4430400007</v>
      </c>
      <c r="O24">
        <v>1516428.08225</v>
      </c>
      <c r="P24">
        <v>2274642.1230000001</v>
      </c>
      <c r="Q24">
        <v>2274642.1230000001</v>
      </c>
      <c r="R24">
        <v>2274642.1230000001</v>
      </c>
      <c r="T24">
        <v>334991.90000000002</v>
      </c>
      <c r="U24">
        <v>376793.88750000001</v>
      </c>
      <c r="V24">
        <v>565190.83125000005</v>
      </c>
      <c r="W24">
        <v>565190.83125000005</v>
      </c>
      <c r="X24">
        <v>565190.83125000005</v>
      </c>
    </row>
    <row r="25" spans="1:25" x14ac:dyDescent="0.3">
      <c r="A25">
        <v>2047</v>
      </c>
      <c r="B25">
        <v>213802.75769999999</v>
      </c>
      <c r="C25">
        <v>160352.06817499999</v>
      </c>
      <c r="D25">
        <v>240528.1023</v>
      </c>
      <c r="E25">
        <v>240528.1023</v>
      </c>
      <c r="F25">
        <v>240528.1023</v>
      </c>
      <c r="H25">
        <v>1548418.7236000006</v>
      </c>
      <c r="I25">
        <v>1161314.0430000001</v>
      </c>
      <c r="J25">
        <v>1741982.0645000001</v>
      </c>
      <c r="K25">
        <v>1741982.0645000001</v>
      </c>
      <c r="L25">
        <v>1741982.0645000001</v>
      </c>
      <c r="N25">
        <v>2010891.4480800009</v>
      </c>
      <c r="O25">
        <v>1508174.5859999999</v>
      </c>
      <c r="P25">
        <v>2262261.8790000002</v>
      </c>
      <c r="Q25">
        <v>2262261.8790000002</v>
      </c>
      <c r="R25">
        <v>2262261.8790000002</v>
      </c>
      <c r="T25">
        <v>328152.28999999998</v>
      </c>
      <c r="U25">
        <v>369081.32624999998</v>
      </c>
      <c r="V25">
        <v>553621.98944999999</v>
      </c>
      <c r="W25">
        <v>553621.98944999999</v>
      </c>
      <c r="X25">
        <v>553621.98944999999</v>
      </c>
    </row>
    <row r="26" spans="1:25" x14ac:dyDescent="0.3">
      <c r="A26">
        <v>2048</v>
      </c>
      <c r="B26">
        <v>210509.61679999999</v>
      </c>
      <c r="C26">
        <v>157882.2126</v>
      </c>
      <c r="D26">
        <v>236823.31899999999</v>
      </c>
      <c r="E26">
        <v>236823.31899999999</v>
      </c>
      <c r="F26">
        <v>236823.31899999999</v>
      </c>
      <c r="H26">
        <v>1545549.5104000007</v>
      </c>
      <c r="I26">
        <v>1159162.1329999999</v>
      </c>
      <c r="J26">
        <v>1738755.1995000001</v>
      </c>
      <c r="K26">
        <v>1738755.1995000001</v>
      </c>
      <c r="L26">
        <v>1738755.1995000001</v>
      </c>
      <c r="N26">
        <v>1999885.4531200009</v>
      </c>
      <c r="O26">
        <v>1499921.08975</v>
      </c>
      <c r="P26">
        <v>2249881.6349999998</v>
      </c>
      <c r="Q26">
        <v>2249881.6349999998</v>
      </c>
      <c r="R26">
        <v>2249881.6349999998</v>
      </c>
      <c r="T26">
        <v>321454.53999999998</v>
      </c>
      <c r="U26">
        <v>361528.65749999997</v>
      </c>
      <c r="V26">
        <v>542292.98624999996</v>
      </c>
      <c r="W26">
        <v>542292.98624999996</v>
      </c>
      <c r="X26">
        <v>542292.98624999996</v>
      </c>
    </row>
    <row r="27" spans="1:25" x14ac:dyDescent="0.3">
      <c r="A27">
        <v>2049</v>
      </c>
      <c r="B27">
        <v>207259.3126</v>
      </c>
      <c r="C27">
        <v>155444.48444999999</v>
      </c>
      <c r="D27">
        <v>233166.72675</v>
      </c>
      <c r="E27">
        <v>233166.72675</v>
      </c>
      <c r="F27">
        <v>233166.72675</v>
      </c>
      <c r="G27">
        <v>233166.72675</v>
      </c>
      <c r="H27">
        <v>1542680.2972000006</v>
      </c>
      <c r="I27">
        <v>1157010.223</v>
      </c>
      <c r="J27">
        <v>1735528.3345000001</v>
      </c>
      <c r="K27">
        <v>1735528.3345000001</v>
      </c>
      <c r="L27">
        <v>1735528.3345000001</v>
      </c>
      <c r="M27">
        <v>1735528.3345000001</v>
      </c>
      <c r="N27">
        <v>1988879.4581600011</v>
      </c>
      <c r="O27">
        <v>1491667.5935</v>
      </c>
      <c r="P27">
        <v>2237501.3909999998</v>
      </c>
      <c r="Q27">
        <v>2237501.3909999998</v>
      </c>
      <c r="R27">
        <v>2237501.3909999998</v>
      </c>
      <c r="S27">
        <v>2237501.3909999998</v>
      </c>
      <c r="T27">
        <v>314897</v>
      </c>
      <c r="U27">
        <v>354132.33750000002</v>
      </c>
      <c r="V27">
        <v>531198.50624999998</v>
      </c>
      <c r="W27">
        <v>531198.50624999998</v>
      </c>
      <c r="X27">
        <v>531198.50624999998</v>
      </c>
      <c r="Y27">
        <v>531198.50624999998</v>
      </c>
    </row>
    <row r="28" spans="1:25" x14ac:dyDescent="0.3">
      <c r="A28">
        <v>2050</v>
      </c>
      <c r="B28">
        <v>204050.9535</v>
      </c>
      <c r="C28">
        <v>153038.21512499999</v>
      </c>
      <c r="D28">
        <v>229557.32264999999</v>
      </c>
      <c r="E28">
        <v>229557.32264999999</v>
      </c>
      <c r="F28">
        <v>229557.32264999999</v>
      </c>
      <c r="G28">
        <v>229557.32264999999</v>
      </c>
      <c r="H28">
        <v>1539811.0840000003</v>
      </c>
      <c r="I28">
        <v>1154858.3130000001</v>
      </c>
      <c r="J28">
        <v>1732301.4694999999</v>
      </c>
      <c r="K28">
        <v>1732301.4694999999</v>
      </c>
      <c r="L28">
        <v>1732301.4694999999</v>
      </c>
      <c r="M28">
        <v>1732301.4694999999</v>
      </c>
      <c r="N28">
        <v>1977873.4631999999</v>
      </c>
      <c r="O28">
        <v>1483414.0972500001</v>
      </c>
      <c r="P28">
        <v>2225121.145</v>
      </c>
      <c r="Q28">
        <v>2225121.145</v>
      </c>
      <c r="R28">
        <v>2225121.145</v>
      </c>
      <c r="S28">
        <v>2225121.145</v>
      </c>
      <c r="T28">
        <v>308477.99</v>
      </c>
      <c r="U28">
        <v>346737.73875000002</v>
      </c>
      <c r="V28">
        <v>520106.60820000002</v>
      </c>
      <c r="W28">
        <v>520106.60820000002</v>
      </c>
      <c r="X28">
        <v>520106.60820000002</v>
      </c>
      <c r="Y28">
        <v>520106.60820000002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0297B-B8C6-4229-B09A-A1848D4D7BAF}">
  <dimension ref="A1:H28"/>
  <sheetViews>
    <sheetView workbookViewId="0">
      <selection activeCell="K29" sqref="K29"/>
    </sheetView>
  </sheetViews>
  <sheetFormatPr baseColWidth="10" defaultRowHeight="14.4" x14ac:dyDescent="0.3"/>
  <sheetData>
    <row r="1" spans="1:8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25</v>
      </c>
    </row>
    <row r="2" spans="1:8" x14ac:dyDescent="0.3">
      <c r="A2">
        <v>2024</v>
      </c>
      <c r="B2">
        <v>22.68</v>
      </c>
      <c r="C2" s="2"/>
      <c r="D2" s="2"/>
      <c r="E2" s="2"/>
      <c r="F2" s="2"/>
      <c r="G2" s="2"/>
      <c r="H2">
        <f>B2</f>
        <v>22.68</v>
      </c>
    </row>
    <row r="3" spans="1:8" x14ac:dyDescent="0.3">
      <c r="A3">
        <v>2025</v>
      </c>
      <c r="B3">
        <v>22.68</v>
      </c>
      <c r="C3" s="2"/>
      <c r="D3" s="2"/>
      <c r="E3" s="2"/>
      <c r="F3" s="2"/>
      <c r="G3" s="2"/>
      <c r="H3">
        <f t="shared" ref="H3:H5" si="0">B3</f>
        <v>22.68</v>
      </c>
    </row>
    <row r="4" spans="1:8" x14ac:dyDescent="0.3">
      <c r="A4">
        <v>2026</v>
      </c>
      <c r="B4">
        <v>22.68</v>
      </c>
      <c r="C4" s="2"/>
      <c r="D4" s="2"/>
      <c r="E4" s="2"/>
      <c r="F4" s="2"/>
      <c r="G4" s="2"/>
      <c r="H4">
        <f t="shared" si="0"/>
        <v>22.68</v>
      </c>
    </row>
    <row r="5" spans="1:8" x14ac:dyDescent="0.3">
      <c r="A5">
        <v>2027</v>
      </c>
      <c r="B5">
        <v>22.68</v>
      </c>
      <c r="C5" s="2"/>
      <c r="D5" s="2"/>
      <c r="E5" s="2"/>
      <c r="F5" s="2"/>
      <c r="G5" s="2"/>
      <c r="H5">
        <f t="shared" si="0"/>
        <v>22.68</v>
      </c>
    </row>
    <row r="6" spans="1:8" x14ac:dyDescent="0.3">
      <c r="A6">
        <v>2028</v>
      </c>
      <c r="B6">
        <v>22.68</v>
      </c>
      <c r="C6" s="2"/>
      <c r="D6" s="2"/>
      <c r="E6" s="2"/>
      <c r="F6" s="2"/>
      <c r="G6" s="2"/>
      <c r="H6">
        <f>B6</f>
        <v>22.68</v>
      </c>
    </row>
    <row r="7" spans="1:8" x14ac:dyDescent="0.3">
      <c r="A7">
        <v>2029</v>
      </c>
      <c r="B7">
        <v>22.68</v>
      </c>
      <c r="C7">
        <v>22.68</v>
      </c>
      <c r="D7" s="2"/>
      <c r="E7" s="2"/>
      <c r="F7" s="2"/>
      <c r="G7" s="2"/>
      <c r="H7">
        <f>C7</f>
        <v>22.68</v>
      </c>
    </row>
    <row r="8" spans="1:8" x14ac:dyDescent="0.3">
      <c r="A8">
        <v>2030</v>
      </c>
      <c r="B8">
        <v>22.68</v>
      </c>
      <c r="C8">
        <v>22.68</v>
      </c>
      <c r="D8" s="2"/>
      <c r="E8" s="2"/>
      <c r="F8" s="2"/>
      <c r="G8" s="2"/>
      <c r="H8">
        <f t="shared" ref="H8:H10" si="1">C8</f>
        <v>22.68</v>
      </c>
    </row>
    <row r="9" spans="1:8" x14ac:dyDescent="0.3">
      <c r="A9">
        <v>2031</v>
      </c>
      <c r="B9">
        <v>22.68</v>
      </c>
      <c r="C9">
        <v>22.68</v>
      </c>
      <c r="D9" s="2"/>
      <c r="E9" s="2"/>
      <c r="F9" s="2"/>
      <c r="G9" s="2"/>
      <c r="H9">
        <f t="shared" si="1"/>
        <v>22.68</v>
      </c>
    </row>
    <row r="10" spans="1:8" x14ac:dyDescent="0.3">
      <c r="A10">
        <v>2032</v>
      </c>
      <c r="B10">
        <v>22.68</v>
      </c>
      <c r="C10">
        <v>22.68</v>
      </c>
      <c r="D10" s="2"/>
      <c r="E10" s="2"/>
      <c r="F10" s="2"/>
      <c r="G10" s="2"/>
      <c r="H10">
        <f t="shared" si="1"/>
        <v>22.68</v>
      </c>
    </row>
    <row r="11" spans="1:8" x14ac:dyDescent="0.3">
      <c r="A11">
        <v>2033</v>
      </c>
      <c r="B11">
        <v>22.68</v>
      </c>
      <c r="C11">
        <v>22.68</v>
      </c>
      <c r="D11" s="2"/>
      <c r="E11" s="2"/>
      <c r="F11" s="2"/>
      <c r="G11" s="2"/>
      <c r="H11">
        <f>C11</f>
        <v>22.68</v>
      </c>
    </row>
    <row r="12" spans="1:8" x14ac:dyDescent="0.3">
      <c r="A12">
        <v>2034</v>
      </c>
      <c r="B12">
        <v>22.68</v>
      </c>
      <c r="C12">
        <v>22.68</v>
      </c>
      <c r="D12">
        <v>22.68</v>
      </c>
      <c r="E12" s="2"/>
      <c r="F12" s="2"/>
      <c r="G12" s="2"/>
      <c r="H12">
        <f>D12</f>
        <v>22.68</v>
      </c>
    </row>
    <row r="13" spans="1:8" x14ac:dyDescent="0.3">
      <c r="A13">
        <v>2035</v>
      </c>
      <c r="B13">
        <v>22.68</v>
      </c>
      <c r="C13">
        <v>22.68</v>
      </c>
      <c r="D13">
        <v>22.68</v>
      </c>
      <c r="E13" s="2"/>
      <c r="F13" s="2"/>
      <c r="G13" s="2"/>
      <c r="H13">
        <f t="shared" ref="H13:H16" si="2">D13</f>
        <v>22.68</v>
      </c>
    </row>
    <row r="14" spans="1:8" x14ac:dyDescent="0.3">
      <c r="A14">
        <v>2036</v>
      </c>
      <c r="B14">
        <v>22.68</v>
      </c>
      <c r="C14">
        <v>22.68</v>
      </c>
      <c r="D14">
        <v>22.68</v>
      </c>
      <c r="E14" s="2"/>
      <c r="F14" s="2"/>
      <c r="G14" s="2"/>
      <c r="H14">
        <f t="shared" si="2"/>
        <v>22.68</v>
      </c>
    </row>
    <row r="15" spans="1:8" x14ac:dyDescent="0.3">
      <c r="A15">
        <v>2037</v>
      </c>
      <c r="B15">
        <v>22.68</v>
      </c>
      <c r="C15">
        <v>22.68</v>
      </c>
      <c r="D15">
        <v>22.68</v>
      </c>
      <c r="E15" s="2"/>
      <c r="F15" s="2"/>
      <c r="G15" s="2"/>
      <c r="H15">
        <f t="shared" si="2"/>
        <v>22.68</v>
      </c>
    </row>
    <row r="16" spans="1:8" x14ac:dyDescent="0.3">
      <c r="A16">
        <v>2038</v>
      </c>
      <c r="B16">
        <v>22.68</v>
      </c>
      <c r="C16">
        <v>22.68</v>
      </c>
      <c r="D16">
        <v>22.68</v>
      </c>
      <c r="E16" s="2"/>
      <c r="F16" s="2"/>
      <c r="G16" s="2"/>
      <c r="H16">
        <f t="shared" si="2"/>
        <v>22.68</v>
      </c>
    </row>
    <row r="17" spans="1:8" x14ac:dyDescent="0.3">
      <c r="A17">
        <v>2039</v>
      </c>
      <c r="B17">
        <v>22.68</v>
      </c>
      <c r="C17">
        <v>22.68</v>
      </c>
      <c r="D17">
        <v>22.68</v>
      </c>
      <c r="E17">
        <v>22.68</v>
      </c>
      <c r="F17" s="2"/>
      <c r="G17" s="2"/>
      <c r="H17">
        <f>E17</f>
        <v>22.68</v>
      </c>
    </row>
    <row r="18" spans="1:8" x14ac:dyDescent="0.3">
      <c r="A18">
        <v>2040</v>
      </c>
      <c r="B18">
        <v>20.52</v>
      </c>
      <c r="C18">
        <v>20.52</v>
      </c>
      <c r="D18">
        <v>20.52</v>
      </c>
      <c r="E18">
        <v>20.52</v>
      </c>
      <c r="F18" s="2"/>
      <c r="G18" s="2"/>
      <c r="H18">
        <f t="shared" ref="H18:H21" si="3">E18</f>
        <v>20.52</v>
      </c>
    </row>
    <row r="19" spans="1:8" x14ac:dyDescent="0.3">
      <c r="A19">
        <v>2041</v>
      </c>
      <c r="B19">
        <v>20.52</v>
      </c>
      <c r="C19">
        <v>20.52</v>
      </c>
      <c r="D19">
        <v>20.52</v>
      </c>
      <c r="E19">
        <v>20.52</v>
      </c>
      <c r="F19" s="2"/>
      <c r="G19" s="2"/>
      <c r="H19">
        <f t="shared" si="3"/>
        <v>20.52</v>
      </c>
    </row>
    <row r="20" spans="1:8" x14ac:dyDescent="0.3">
      <c r="A20">
        <v>2042</v>
      </c>
      <c r="B20">
        <v>20.52</v>
      </c>
      <c r="C20">
        <v>20.52</v>
      </c>
      <c r="D20">
        <v>20.52</v>
      </c>
      <c r="E20">
        <v>20.52</v>
      </c>
      <c r="F20" s="2"/>
      <c r="G20" s="2"/>
      <c r="H20">
        <f t="shared" si="3"/>
        <v>20.52</v>
      </c>
    </row>
    <row r="21" spans="1:8" x14ac:dyDescent="0.3">
      <c r="A21">
        <v>2043</v>
      </c>
      <c r="B21">
        <v>20.52</v>
      </c>
      <c r="C21">
        <v>20.52</v>
      </c>
      <c r="D21">
        <v>20.52</v>
      </c>
      <c r="E21">
        <v>20.52</v>
      </c>
      <c r="F21" s="2"/>
      <c r="G21" s="2"/>
      <c r="H21">
        <f t="shared" si="3"/>
        <v>20.52</v>
      </c>
    </row>
    <row r="22" spans="1:8" x14ac:dyDescent="0.3">
      <c r="A22">
        <v>2044</v>
      </c>
      <c r="B22">
        <v>20.52</v>
      </c>
      <c r="C22">
        <v>20.52</v>
      </c>
      <c r="D22">
        <v>20.52</v>
      </c>
      <c r="E22">
        <v>20.52</v>
      </c>
      <c r="F22">
        <v>20.52</v>
      </c>
      <c r="G22" s="2"/>
      <c r="H22">
        <f>F22</f>
        <v>20.52</v>
      </c>
    </row>
    <row r="23" spans="1:8" x14ac:dyDescent="0.3">
      <c r="A23">
        <v>2045</v>
      </c>
      <c r="B23">
        <v>20.52</v>
      </c>
      <c r="C23">
        <v>20.52</v>
      </c>
      <c r="D23">
        <v>20.52</v>
      </c>
      <c r="E23">
        <v>20.52</v>
      </c>
      <c r="F23">
        <v>20.52</v>
      </c>
      <c r="G23" s="2"/>
      <c r="H23">
        <f t="shared" ref="H23:H26" si="4">F23</f>
        <v>20.52</v>
      </c>
    </row>
    <row r="24" spans="1:8" x14ac:dyDescent="0.3">
      <c r="A24">
        <v>2046</v>
      </c>
      <c r="B24">
        <v>20.52</v>
      </c>
      <c r="C24">
        <v>20.52</v>
      </c>
      <c r="D24">
        <v>20.52</v>
      </c>
      <c r="E24">
        <v>20.52</v>
      </c>
      <c r="F24">
        <v>20.52</v>
      </c>
      <c r="G24" s="2"/>
      <c r="H24">
        <f t="shared" si="4"/>
        <v>20.52</v>
      </c>
    </row>
    <row r="25" spans="1:8" x14ac:dyDescent="0.3">
      <c r="A25">
        <v>2047</v>
      </c>
      <c r="B25">
        <v>20.52</v>
      </c>
      <c r="C25">
        <v>20.52</v>
      </c>
      <c r="D25">
        <v>20.52</v>
      </c>
      <c r="E25">
        <v>20.52</v>
      </c>
      <c r="F25">
        <v>20.52</v>
      </c>
      <c r="G25" s="2"/>
      <c r="H25">
        <f t="shared" si="4"/>
        <v>20.52</v>
      </c>
    </row>
    <row r="26" spans="1:8" x14ac:dyDescent="0.3">
      <c r="A26">
        <v>2048</v>
      </c>
      <c r="B26">
        <v>20.52</v>
      </c>
      <c r="C26">
        <v>20.52</v>
      </c>
      <c r="D26">
        <v>20.52</v>
      </c>
      <c r="E26">
        <v>20.52</v>
      </c>
      <c r="F26">
        <v>20.52</v>
      </c>
      <c r="G26" s="2"/>
      <c r="H26">
        <f t="shared" si="4"/>
        <v>20.52</v>
      </c>
    </row>
    <row r="27" spans="1:8" x14ac:dyDescent="0.3">
      <c r="A27">
        <v>2049</v>
      </c>
      <c r="B27">
        <v>20.52</v>
      </c>
      <c r="C27">
        <v>20.52</v>
      </c>
      <c r="D27">
        <v>20.52</v>
      </c>
      <c r="E27">
        <v>20.52</v>
      </c>
      <c r="F27">
        <v>20.52</v>
      </c>
      <c r="G27">
        <v>20.52</v>
      </c>
      <c r="H27">
        <f>G27</f>
        <v>20.52</v>
      </c>
    </row>
    <row r="28" spans="1:8" x14ac:dyDescent="0.3">
      <c r="A28">
        <v>2050</v>
      </c>
      <c r="B28">
        <v>18</v>
      </c>
      <c r="C28">
        <v>18</v>
      </c>
      <c r="D28">
        <v>18</v>
      </c>
      <c r="E28">
        <v>18</v>
      </c>
      <c r="F28">
        <v>18</v>
      </c>
      <c r="G28">
        <v>18</v>
      </c>
      <c r="H28">
        <f>G28</f>
        <v>18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2E9F6-210C-4B51-BC39-95E792B1A10E}">
  <dimension ref="A1:H28"/>
  <sheetViews>
    <sheetView workbookViewId="0">
      <selection activeCell="L32" sqref="L32"/>
    </sheetView>
  </sheetViews>
  <sheetFormatPr baseColWidth="10" defaultRowHeight="14.4" x14ac:dyDescent="0.3"/>
  <sheetData>
    <row r="1" spans="1:8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25</v>
      </c>
    </row>
    <row r="2" spans="1:8" x14ac:dyDescent="0.3">
      <c r="A2">
        <v>2024</v>
      </c>
      <c r="B2" s="1">
        <v>23.62</v>
      </c>
      <c r="C2" s="2"/>
      <c r="D2" s="2"/>
      <c r="E2" s="2"/>
      <c r="F2" s="2"/>
      <c r="G2" s="2"/>
      <c r="H2">
        <f>B2</f>
        <v>23.62</v>
      </c>
    </row>
    <row r="3" spans="1:8" x14ac:dyDescent="0.3">
      <c r="A3">
        <v>2025</v>
      </c>
      <c r="B3" s="1">
        <v>23.62</v>
      </c>
      <c r="C3" s="2"/>
      <c r="D3" s="2"/>
      <c r="E3" s="2"/>
      <c r="F3" s="2"/>
      <c r="G3" s="2"/>
      <c r="H3">
        <f t="shared" ref="H3:H5" si="0">B3</f>
        <v>23.62</v>
      </c>
    </row>
    <row r="4" spans="1:8" x14ac:dyDescent="0.3">
      <c r="A4">
        <v>2026</v>
      </c>
      <c r="B4" s="1">
        <v>23.62</v>
      </c>
      <c r="C4" s="2"/>
      <c r="D4" s="2"/>
      <c r="E4" s="2"/>
      <c r="F4" s="2"/>
      <c r="G4" s="2"/>
      <c r="H4">
        <f t="shared" si="0"/>
        <v>23.62</v>
      </c>
    </row>
    <row r="5" spans="1:8" x14ac:dyDescent="0.3">
      <c r="A5">
        <v>2027</v>
      </c>
      <c r="B5" s="1">
        <v>23.62</v>
      </c>
      <c r="C5" s="2"/>
      <c r="D5" s="2"/>
      <c r="E5" s="2"/>
      <c r="F5" s="2"/>
      <c r="G5" s="2"/>
      <c r="H5">
        <f t="shared" si="0"/>
        <v>23.62</v>
      </c>
    </row>
    <row r="6" spans="1:8" x14ac:dyDescent="0.3">
      <c r="A6">
        <v>2028</v>
      </c>
      <c r="B6" s="1">
        <v>23.62</v>
      </c>
      <c r="C6" s="2"/>
      <c r="D6" s="2"/>
      <c r="E6" s="2"/>
      <c r="F6" s="2"/>
      <c r="G6" s="2"/>
      <c r="H6">
        <f>B6</f>
        <v>23.62</v>
      </c>
    </row>
    <row r="7" spans="1:8" x14ac:dyDescent="0.3">
      <c r="A7">
        <v>2029</v>
      </c>
      <c r="B7" s="1">
        <v>23.62</v>
      </c>
      <c r="C7" s="1">
        <v>23.62</v>
      </c>
      <c r="D7" s="2"/>
      <c r="E7" s="2"/>
      <c r="F7" s="2"/>
      <c r="G7" s="2"/>
      <c r="H7">
        <f>C7</f>
        <v>23.62</v>
      </c>
    </row>
    <row r="8" spans="1:8" x14ac:dyDescent="0.3">
      <c r="A8">
        <v>2030</v>
      </c>
      <c r="B8" s="1">
        <v>29.94</v>
      </c>
      <c r="C8" s="1">
        <v>29.94</v>
      </c>
      <c r="D8" s="2"/>
      <c r="E8" s="2"/>
      <c r="F8" s="2"/>
      <c r="G8" s="2"/>
      <c r="H8">
        <f t="shared" ref="H8:H10" si="1">C8</f>
        <v>29.94</v>
      </c>
    </row>
    <row r="9" spans="1:8" x14ac:dyDescent="0.3">
      <c r="A9">
        <v>2031</v>
      </c>
      <c r="B9" s="1">
        <v>29.94</v>
      </c>
      <c r="C9" s="1">
        <v>29.94</v>
      </c>
      <c r="D9" s="2"/>
      <c r="E9" s="2"/>
      <c r="F9" s="2"/>
      <c r="G9" s="2"/>
      <c r="H9">
        <f t="shared" si="1"/>
        <v>29.94</v>
      </c>
    </row>
    <row r="10" spans="1:8" x14ac:dyDescent="0.3">
      <c r="A10">
        <v>2032</v>
      </c>
      <c r="B10" s="1">
        <v>29.94</v>
      </c>
      <c r="C10" s="1">
        <v>29.94</v>
      </c>
      <c r="D10" s="2"/>
      <c r="E10" s="2"/>
      <c r="F10" s="2"/>
      <c r="G10" s="2"/>
      <c r="H10">
        <f t="shared" si="1"/>
        <v>29.94</v>
      </c>
    </row>
    <row r="11" spans="1:8" x14ac:dyDescent="0.3">
      <c r="A11">
        <v>2033</v>
      </c>
      <c r="B11" s="1">
        <v>29.94</v>
      </c>
      <c r="C11" s="1">
        <v>29.94</v>
      </c>
      <c r="D11" s="2"/>
      <c r="E11" s="2"/>
      <c r="F11" s="2"/>
      <c r="G11" s="2"/>
      <c r="H11">
        <f>C11</f>
        <v>29.94</v>
      </c>
    </row>
    <row r="12" spans="1:8" x14ac:dyDescent="0.3">
      <c r="A12">
        <v>2034</v>
      </c>
      <c r="B12" s="1">
        <v>29.94</v>
      </c>
      <c r="C12" s="1">
        <v>29.94</v>
      </c>
      <c r="D12" s="1">
        <v>29.94</v>
      </c>
      <c r="E12" s="2"/>
      <c r="F12" s="2"/>
      <c r="G12" s="2"/>
      <c r="H12">
        <f>D12</f>
        <v>29.94</v>
      </c>
    </row>
    <row r="13" spans="1:8" x14ac:dyDescent="0.3">
      <c r="A13">
        <v>2035</v>
      </c>
      <c r="B13" s="1">
        <v>29.94</v>
      </c>
      <c r="C13" s="1">
        <v>29.94</v>
      </c>
      <c r="D13" s="1">
        <v>29.94</v>
      </c>
      <c r="E13" s="2"/>
      <c r="F13" s="2"/>
      <c r="G13" s="2"/>
      <c r="H13">
        <f t="shared" ref="H13:H16" si="2">D13</f>
        <v>29.94</v>
      </c>
    </row>
    <row r="14" spans="1:8" x14ac:dyDescent="0.3">
      <c r="A14">
        <v>2036</v>
      </c>
      <c r="B14" s="1">
        <v>29.94</v>
      </c>
      <c r="C14" s="1">
        <v>29.94</v>
      </c>
      <c r="D14" s="1">
        <v>29.94</v>
      </c>
      <c r="E14" s="2"/>
      <c r="F14" s="2"/>
      <c r="G14" s="2"/>
      <c r="H14">
        <f t="shared" si="2"/>
        <v>29.94</v>
      </c>
    </row>
    <row r="15" spans="1:8" x14ac:dyDescent="0.3">
      <c r="A15">
        <v>2037</v>
      </c>
      <c r="B15" s="1">
        <v>29.94</v>
      </c>
      <c r="C15" s="1">
        <v>29.94</v>
      </c>
      <c r="D15" s="1">
        <v>29.94</v>
      </c>
      <c r="E15" s="2"/>
      <c r="F15" s="2"/>
      <c r="G15" s="2"/>
      <c r="H15">
        <f t="shared" si="2"/>
        <v>29.94</v>
      </c>
    </row>
    <row r="16" spans="1:8" x14ac:dyDescent="0.3">
      <c r="A16">
        <v>2038</v>
      </c>
      <c r="B16" s="1">
        <v>29.94</v>
      </c>
      <c r="C16" s="1">
        <v>29.94</v>
      </c>
      <c r="D16" s="1">
        <v>29.94</v>
      </c>
      <c r="E16" s="2"/>
      <c r="F16" s="2"/>
      <c r="G16" s="2"/>
      <c r="H16">
        <f t="shared" si="2"/>
        <v>29.94</v>
      </c>
    </row>
    <row r="17" spans="1:8" x14ac:dyDescent="0.3">
      <c r="A17">
        <v>2039</v>
      </c>
      <c r="B17" s="1">
        <v>29.94</v>
      </c>
      <c r="C17" s="1">
        <v>29.94</v>
      </c>
      <c r="D17" s="1">
        <v>29.94</v>
      </c>
      <c r="E17" s="1">
        <v>29.94</v>
      </c>
      <c r="F17" s="2"/>
      <c r="G17" s="2"/>
      <c r="H17">
        <f>E17</f>
        <v>29.94</v>
      </c>
    </row>
    <row r="18" spans="1:8" x14ac:dyDescent="0.3">
      <c r="A18">
        <v>2040</v>
      </c>
      <c r="B18" s="1">
        <v>36.54</v>
      </c>
      <c r="C18" s="1">
        <v>36.54</v>
      </c>
      <c r="D18" s="1">
        <v>36.54</v>
      </c>
      <c r="E18" s="1">
        <v>36.54</v>
      </c>
      <c r="F18" s="2"/>
      <c r="G18" s="2"/>
      <c r="H18">
        <f t="shared" ref="H18:H21" si="3">E18</f>
        <v>36.54</v>
      </c>
    </row>
    <row r="19" spans="1:8" x14ac:dyDescent="0.3">
      <c r="A19">
        <v>2041</v>
      </c>
      <c r="B19" s="1">
        <v>36.54</v>
      </c>
      <c r="C19" s="1">
        <v>36.54</v>
      </c>
      <c r="D19" s="1">
        <v>36.54</v>
      </c>
      <c r="E19" s="1">
        <v>36.54</v>
      </c>
      <c r="F19" s="2"/>
      <c r="G19" s="2"/>
      <c r="H19">
        <f t="shared" si="3"/>
        <v>36.54</v>
      </c>
    </row>
    <row r="20" spans="1:8" x14ac:dyDescent="0.3">
      <c r="A20">
        <v>2042</v>
      </c>
      <c r="B20" s="1">
        <v>36.54</v>
      </c>
      <c r="C20" s="1">
        <v>36.54</v>
      </c>
      <c r="D20" s="1">
        <v>36.54</v>
      </c>
      <c r="E20" s="1">
        <v>36.54</v>
      </c>
      <c r="F20" s="2"/>
      <c r="G20" s="2"/>
      <c r="H20">
        <f t="shared" si="3"/>
        <v>36.54</v>
      </c>
    </row>
    <row r="21" spans="1:8" x14ac:dyDescent="0.3">
      <c r="A21">
        <v>2043</v>
      </c>
      <c r="B21" s="1">
        <v>36.54</v>
      </c>
      <c r="C21" s="1">
        <v>36.54</v>
      </c>
      <c r="D21" s="1">
        <v>36.54</v>
      </c>
      <c r="E21" s="1">
        <v>36.54</v>
      </c>
      <c r="F21" s="2"/>
      <c r="G21" s="2"/>
      <c r="H21">
        <f t="shared" si="3"/>
        <v>36.54</v>
      </c>
    </row>
    <row r="22" spans="1:8" x14ac:dyDescent="0.3">
      <c r="A22">
        <v>2044</v>
      </c>
      <c r="B22" s="1">
        <v>36.54</v>
      </c>
      <c r="C22" s="1">
        <v>36.54</v>
      </c>
      <c r="D22" s="1">
        <v>36.54</v>
      </c>
      <c r="E22" s="1">
        <v>36.54</v>
      </c>
      <c r="F22" s="1">
        <v>36.54</v>
      </c>
      <c r="G22" s="2"/>
      <c r="H22">
        <f>F22</f>
        <v>36.54</v>
      </c>
    </row>
    <row r="23" spans="1:8" x14ac:dyDescent="0.3">
      <c r="A23">
        <v>2045</v>
      </c>
      <c r="B23" s="1">
        <v>36.54</v>
      </c>
      <c r="C23" s="1">
        <v>36.54</v>
      </c>
      <c r="D23" s="1">
        <v>36.54</v>
      </c>
      <c r="E23" s="1">
        <v>36.54</v>
      </c>
      <c r="F23" s="1">
        <v>36.54</v>
      </c>
      <c r="G23" s="2"/>
      <c r="H23">
        <f t="shared" ref="H23:H26" si="4">F23</f>
        <v>36.54</v>
      </c>
    </row>
    <row r="24" spans="1:8" x14ac:dyDescent="0.3">
      <c r="A24">
        <v>2046</v>
      </c>
      <c r="B24" s="1">
        <v>36.54</v>
      </c>
      <c r="C24" s="1">
        <v>36.54</v>
      </c>
      <c r="D24" s="1">
        <v>36.54</v>
      </c>
      <c r="E24" s="1">
        <v>36.54</v>
      </c>
      <c r="F24" s="1">
        <v>36.54</v>
      </c>
      <c r="G24" s="2"/>
      <c r="H24">
        <f t="shared" si="4"/>
        <v>36.54</v>
      </c>
    </row>
    <row r="25" spans="1:8" x14ac:dyDescent="0.3">
      <c r="A25">
        <v>2047</v>
      </c>
      <c r="B25" s="1">
        <v>36.54</v>
      </c>
      <c r="C25" s="1">
        <v>36.54</v>
      </c>
      <c r="D25" s="1">
        <v>36.54</v>
      </c>
      <c r="E25" s="1">
        <v>36.54</v>
      </c>
      <c r="F25" s="1">
        <v>36.54</v>
      </c>
      <c r="G25" s="2"/>
      <c r="H25">
        <f t="shared" si="4"/>
        <v>36.54</v>
      </c>
    </row>
    <row r="26" spans="1:8" x14ac:dyDescent="0.3">
      <c r="A26">
        <v>2048</v>
      </c>
      <c r="B26" s="1">
        <v>36.54</v>
      </c>
      <c r="C26" s="1">
        <v>36.54</v>
      </c>
      <c r="D26" s="1">
        <v>36.54</v>
      </c>
      <c r="E26" s="1">
        <v>36.54</v>
      </c>
      <c r="F26" s="1">
        <v>36.54</v>
      </c>
      <c r="G26" s="2"/>
      <c r="H26">
        <f t="shared" si="4"/>
        <v>36.54</v>
      </c>
    </row>
    <row r="27" spans="1:8" x14ac:dyDescent="0.3">
      <c r="A27">
        <v>2049</v>
      </c>
      <c r="B27" s="1">
        <v>36.54</v>
      </c>
      <c r="C27" s="1">
        <v>36.54</v>
      </c>
      <c r="D27" s="1">
        <v>36.54</v>
      </c>
      <c r="E27" s="1">
        <v>36.54</v>
      </c>
      <c r="F27" s="1">
        <v>36.54</v>
      </c>
      <c r="G27" s="1">
        <v>36.54</v>
      </c>
      <c r="H27">
        <f>G27</f>
        <v>36.54</v>
      </c>
    </row>
    <row r="28" spans="1:8" x14ac:dyDescent="0.3">
      <c r="A28">
        <v>2050</v>
      </c>
      <c r="B28" s="1">
        <v>36.54</v>
      </c>
      <c r="C28" s="1">
        <v>36.54</v>
      </c>
      <c r="D28" s="1">
        <v>36.54</v>
      </c>
      <c r="E28" s="1">
        <v>36.54</v>
      </c>
      <c r="F28" s="1">
        <v>36.54</v>
      </c>
      <c r="G28" s="1">
        <v>36.54</v>
      </c>
      <c r="H28">
        <f>G28</f>
        <v>36.54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4AA74-F6E7-4E96-8A8A-2DCFA03A93AC}">
  <dimension ref="A1:H28"/>
  <sheetViews>
    <sheetView workbookViewId="0">
      <selection sqref="A1:G28"/>
    </sheetView>
  </sheetViews>
  <sheetFormatPr baseColWidth="10" defaultRowHeight="14.4" x14ac:dyDescent="0.3"/>
  <sheetData>
    <row r="1" spans="1:8" x14ac:dyDescent="0.3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3">
      <c r="A2">
        <v>2024</v>
      </c>
      <c r="B2">
        <v>319200000</v>
      </c>
      <c r="C2" s="2"/>
      <c r="D2" s="2"/>
      <c r="E2" s="2"/>
      <c r="F2" s="2"/>
      <c r="G2" s="2"/>
      <c r="H2">
        <f>B2</f>
        <v>319200000</v>
      </c>
    </row>
    <row r="3" spans="1:8" x14ac:dyDescent="0.3">
      <c r="A3">
        <v>2025</v>
      </c>
      <c r="B3">
        <v>319200000</v>
      </c>
      <c r="C3" s="2"/>
      <c r="D3" s="2"/>
      <c r="E3" s="2"/>
      <c r="F3" s="2"/>
      <c r="G3" s="2"/>
      <c r="H3">
        <f t="shared" ref="H3:H5" si="0">B3</f>
        <v>319200000</v>
      </c>
    </row>
    <row r="4" spans="1:8" x14ac:dyDescent="0.3">
      <c r="A4">
        <v>2026</v>
      </c>
      <c r="B4">
        <v>319200000</v>
      </c>
      <c r="C4" s="2"/>
      <c r="D4" s="2"/>
      <c r="E4" s="2"/>
      <c r="F4" s="2"/>
      <c r="G4" s="2"/>
      <c r="H4">
        <f t="shared" si="0"/>
        <v>319200000</v>
      </c>
    </row>
    <row r="5" spans="1:8" x14ac:dyDescent="0.3">
      <c r="A5">
        <v>2027</v>
      </c>
      <c r="B5">
        <v>319200000</v>
      </c>
      <c r="C5" s="2"/>
      <c r="D5" s="2"/>
      <c r="E5" s="2"/>
      <c r="F5" s="2"/>
      <c r="G5" s="2"/>
      <c r="H5">
        <f t="shared" si="0"/>
        <v>319200000</v>
      </c>
    </row>
    <row r="6" spans="1:8" x14ac:dyDescent="0.3">
      <c r="A6">
        <v>2028</v>
      </c>
      <c r="B6">
        <v>319200000</v>
      </c>
      <c r="C6" s="2"/>
      <c r="D6" s="2"/>
      <c r="E6" s="2"/>
      <c r="F6" s="2"/>
      <c r="G6" s="2"/>
      <c r="H6">
        <f>B6</f>
        <v>319200000</v>
      </c>
    </row>
    <row r="7" spans="1:8" x14ac:dyDescent="0.3">
      <c r="A7">
        <v>2029</v>
      </c>
      <c r="B7">
        <v>319200000</v>
      </c>
      <c r="C7">
        <v>319200000</v>
      </c>
      <c r="D7" s="2"/>
      <c r="E7" s="2"/>
      <c r="F7" s="2"/>
      <c r="G7" s="2"/>
      <c r="H7">
        <f>C7</f>
        <v>319200000</v>
      </c>
    </row>
    <row r="8" spans="1:8" x14ac:dyDescent="0.3">
      <c r="A8">
        <v>2030</v>
      </c>
      <c r="B8">
        <v>319200000</v>
      </c>
      <c r="C8">
        <v>319200000</v>
      </c>
      <c r="D8" s="2"/>
      <c r="E8" s="2"/>
      <c r="F8" s="2"/>
      <c r="G8" s="2"/>
      <c r="H8">
        <f t="shared" ref="H8:H10" si="1">C8</f>
        <v>319200000</v>
      </c>
    </row>
    <row r="9" spans="1:8" x14ac:dyDescent="0.3">
      <c r="A9">
        <v>2031</v>
      </c>
      <c r="B9">
        <v>319200000</v>
      </c>
      <c r="C9">
        <v>319200000</v>
      </c>
      <c r="D9" s="2"/>
      <c r="E9" s="2"/>
      <c r="F9" s="2"/>
      <c r="G9" s="2"/>
      <c r="H9">
        <f t="shared" si="1"/>
        <v>319200000</v>
      </c>
    </row>
    <row r="10" spans="1:8" x14ac:dyDescent="0.3">
      <c r="A10">
        <v>2032</v>
      </c>
      <c r="B10">
        <v>319200000</v>
      </c>
      <c r="C10">
        <v>319200000</v>
      </c>
      <c r="D10" s="2"/>
      <c r="E10" s="2"/>
      <c r="F10" s="2"/>
      <c r="G10" s="2"/>
      <c r="H10">
        <f t="shared" si="1"/>
        <v>319200000</v>
      </c>
    </row>
    <row r="11" spans="1:8" x14ac:dyDescent="0.3">
      <c r="A11">
        <v>2033</v>
      </c>
      <c r="B11">
        <v>319200000</v>
      </c>
      <c r="C11">
        <v>319200000</v>
      </c>
      <c r="D11" s="2"/>
      <c r="E11" s="2"/>
      <c r="F11" s="2"/>
      <c r="G11" s="2"/>
      <c r="H11">
        <f>C11</f>
        <v>319200000</v>
      </c>
    </row>
    <row r="12" spans="1:8" x14ac:dyDescent="0.3">
      <c r="A12">
        <v>2034</v>
      </c>
      <c r="B12">
        <v>319200000</v>
      </c>
      <c r="C12">
        <v>319200000</v>
      </c>
      <c r="D12">
        <v>319200000</v>
      </c>
      <c r="E12" s="2"/>
      <c r="F12" s="2"/>
      <c r="G12" s="2"/>
      <c r="H12">
        <f>D12</f>
        <v>319200000</v>
      </c>
    </row>
    <row r="13" spans="1:8" x14ac:dyDescent="0.3">
      <c r="A13">
        <v>2035</v>
      </c>
      <c r="B13">
        <v>319200000</v>
      </c>
      <c r="C13">
        <v>319200000</v>
      </c>
      <c r="D13">
        <v>319200000</v>
      </c>
      <c r="E13" s="2"/>
      <c r="F13" s="2"/>
      <c r="G13" s="2"/>
      <c r="H13">
        <f t="shared" ref="H13:H16" si="2">D13</f>
        <v>319200000</v>
      </c>
    </row>
    <row r="14" spans="1:8" x14ac:dyDescent="0.3">
      <c r="A14">
        <v>2036</v>
      </c>
      <c r="B14">
        <v>319200000</v>
      </c>
      <c r="C14">
        <v>319200000</v>
      </c>
      <c r="D14">
        <v>319200000</v>
      </c>
      <c r="E14" s="2"/>
      <c r="F14" s="2"/>
      <c r="G14" s="2"/>
      <c r="H14">
        <f t="shared" si="2"/>
        <v>319200000</v>
      </c>
    </row>
    <row r="15" spans="1:8" x14ac:dyDescent="0.3">
      <c r="A15">
        <v>2037</v>
      </c>
      <c r="B15">
        <v>319200000</v>
      </c>
      <c r="C15">
        <v>319200000</v>
      </c>
      <c r="D15">
        <v>319200000</v>
      </c>
      <c r="E15" s="2"/>
      <c r="F15" s="2"/>
      <c r="G15" s="2"/>
      <c r="H15">
        <f t="shared" si="2"/>
        <v>319200000</v>
      </c>
    </row>
    <row r="16" spans="1:8" x14ac:dyDescent="0.3">
      <c r="A16">
        <v>2038</v>
      </c>
      <c r="B16">
        <v>319200000</v>
      </c>
      <c r="C16">
        <v>319200000</v>
      </c>
      <c r="D16">
        <v>319200000</v>
      </c>
      <c r="E16" s="2"/>
      <c r="F16" s="2"/>
      <c r="G16" s="2"/>
      <c r="H16">
        <f t="shared" si="2"/>
        <v>319200000</v>
      </c>
    </row>
    <row r="17" spans="1:8" x14ac:dyDescent="0.3">
      <c r="A17">
        <v>2039</v>
      </c>
      <c r="B17">
        <v>319200000</v>
      </c>
      <c r="C17">
        <v>319200000</v>
      </c>
      <c r="D17">
        <v>319200000</v>
      </c>
      <c r="E17">
        <v>319200000</v>
      </c>
      <c r="F17" s="2"/>
      <c r="G17" s="2"/>
      <c r="H17">
        <f>E17</f>
        <v>319200000</v>
      </c>
    </row>
    <row r="18" spans="1:8" x14ac:dyDescent="0.3">
      <c r="A18">
        <v>2040</v>
      </c>
      <c r="B18">
        <v>319200000</v>
      </c>
      <c r="C18">
        <v>319200000</v>
      </c>
      <c r="D18">
        <v>319200000</v>
      </c>
      <c r="E18">
        <v>319200000</v>
      </c>
      <c r="F18" s="2"/>
      <c r="G18" s="2"/>
      <c r="H18">
        <f t="shared" ref="H18:H21" si="3">E18</f>
        <v>319200000</v>
      </c>
    </row>
    <row r="19" spans="1:8" x14ac:dyDescent="0.3">
      <c r="A19">
        <v>2041</v>
      </c>
      <c r="B19">
        <v>319200000</v>
      </c>
      <c r="C19">
        <v>319200000</v>
      </c>
      <c r="D19">
        <v>319200000</v>
      </c>
      <c r="E19">
        <v>319200000</v>
      </c>
      <c r="F19" s="2"/>
      <c r="G19" s="2"/>
      <c r="H19">
        <f t="shared" si="3"/>
        <v>319200000</v>
      </c>
    </row>
    <row r="20" spans="1:8" x14ac:dyDescent="0.3">
      <c r="A20">
        <v>2042</v>
      </c>
      <c r="B20">
        <v>319200000</v>
      </c>
      <c r="C20">
        <v>319200000</v>
      </c>
      <c r="D20">
        <v>319200000</v>
      </c>
      <c r="E20">
        <v>319200000</v>
      </c>
      <c r="F20" s="2"/>
      <c r="G20" s="2"/>
      <c r="H20">
        <f t="shared" si="3"/>
        <v>319200000</v>
      </c>
    </row>
    <row r="21" spans="1:8" x14ac:dyDescent="0.3">
      <c r="A21">
        <v>2043</v>
      </c>
      <c r="B21">
        <v>319200000</v>
      </c>
      <c r="C21">
        <v>319200000</v>
      </c>
      <c r="D21">
        <v>319200000</v>
      </c>
      <c r="E21">
        <v>319200000</v>
      </c>
      <c r="F21" s="2"/>
      <c r="G21" s="2"/>
      <c r="H21">
        <f t="shared" si="3"/>
        <v>319200000</v>
      </c>
    </row>
    <row r="22" spans="1:8" x14ac:dyDescent="0.3">
      <c r="A22">
        <v>2044</v>
      </c>
      <c r="B22">
        <v>319200000</v>
      </c>
      <c r="C22">
        <v>319200000</v>
      </c>
      <c r="D22">
        <v>319200000</v>
      </c>
      <c r="E22">
        <v>319200000</v>
      </c>
      <c r="F22">
        <v>319200000</v>
      </c>
      <c r="G22" s="2"/>
      <c r="H22">
        <f>F22</f>
        <v>319200000</v>
      </c>
    </row>
    <row r="23" spans="1:8" x14ac:dyDescent="0.3">
      <c r="A23">
        <v>2045</v>
      </c>
      <c r="B23">
        <v>319200000</v>
      </c>
      <c r="C23">
        <v>319200000</v>
      </c>
      <c r="D23">
        <v>319200000</v>
      </c>
      <c r="E23">
        <v>319200000</v>
      </c>
      <c r="F23">
        <v>319200000</v>
      </c>
      <c r="G23" s="2"/>
      <c r="H23">
        <f t="shared" ref="H23:H26" si="4">F23</f>
        <v>319200000</v>
      </c>
    </row>
    <row r="24" spans="1:8" x14ac:dyDescent="0.3">
      <c r="A24">
        <v>2046</v>
      </c>
      <c r="B24">
        <v>319200000</v>
      </c>
      <c r="C24">
        <v>319200000</v>
      </c>
      <c r="D24">
        <v>319200000</v>
      </c>
      <c r="E24">
        <v>319200000</v>
      </c>
      <c r="F24">
        <v>319200000</v>
      </c>
      <c r="G24" s="2"/>
      <c r="H24">
        <f t="shared" si="4"/>
        <v>319200000</v>
      </c>
    </row>
    <row r="25" spans="1:8" x14ac:dyDescent="0.3">
      <c r="A25">
        <v>2047</v>
      </c>
      <c r="B25">
        <v>319200000</v>
      </c>
      <c r="C25">
        <v>319200000</v>
      </c>
      <c r="D25">
        <v>319200000</v>
      </c>
      <c r="E25">
        <v>319200000</v>
      </c>
      <c r="F25">
        <v>319200000</v>
      </c>
      <c r="G25" s="2"/>
      <c r="H25">
        <f t="shared" si="4"/>
        <v>319200000</v>
      </c>
    </row>
    <row r="26" spans="1:8" x14ac:dyDescent="0.3">
      <c r="A26">
        <v>2048</v>
      </c>
      <c r="B26">
        <v>319200000</v>
      </c>
      <c r="C26">
        <v>319200000</v>
      </c>
      <c r="D26">
        <v>319200000</v>
      </c>
      <c r="E26">
        <v>319200000</v>
      </c>
      <c r="F26">
        <v>319200000</v>
      </c>
      <c r="G26" s="2"/>
      <c r="H26">
        <f t="shared" si="4"/>
        <v>319200000</v>
      </c>
    </row>
    <row r="27" spans="1:8" x14ac:dyDescent="0.3">
      <c r="A27">
        <v>2049</v>
      </c>
      <c r="B27">
        <v>319200000</v>
      </c>
      <c r="C27">
        <v>319200000</v>
      </c>
      <c r="D27">
        <v>319200000</v>
      </c>
      <c r="E27">
        <v>319200000</v>
      </c>
      <c r="F27">
        <v>319200000</v>
      </c>
      <c r="G27">
        <v>319200000</v>
      </c>
      <c r="H27">
        <f>G27</f>
        <v>319200000</v>
      </c>
    </row>
    <row r="28" spans="1:8" x14ac:dyDescent="0.3">
      <c r="A28">
        <v>2050</v>
      </c>
      <c r="B28">
        <v>319200000</v>
      </c>
      <c r="C28">
        <v>319200000</v>
      </c>
      <c r="D28">
        <v>319200000</v>
      </c>
      <c r="E28">
        <v>319200000</v>
      </c>
      <c r="F28">
        <v>319200000</v>
      </c>
      <c r="G28">
        <v>319200000</v>
      </c>
      <c r="H28">
        <f>G28</f>
        <v>319200000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0D7FF-52FE-4E9C-8C92-EE039FC68DFA}">
  <dimension ref="A1:G28"/>
  <sheetViews>
    <sheetView workbookViewId="0">
      <selection activeCell="N25" sqref="N25"/>
    </sheetView>
  </sheetViews>
  <sheetFormatPr baseColWidth="10" defaultRowHeight="14.4" x14ac:dyDescent="0.3"/>
  <sheetData>
    <row r="1" spans="1:7" x14ac:dyDescent="0.3">
      <c r="A1" t="s">
        <v>0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</row>
    <row r="2" spans="1:7" x14ac:dyDescent="0.3">
      <c r="A2">
        <v>2024</v>
      </c>
      <c r="C2" s="2"/>
      <c r="D2" s="2"/>
      <c r="E2" s="2"/>
      <c r="F2" s="2"/>
      <c r="G2" s="2"/>
    </row>
    <row r="3" spans="1:7" x14ac:dyDescent="0.3">
      <c r="A3">
        <v>2025</v>
      </c>
      <c r="C3" s="2"/>
      <c r="D3" s="2"/>
      <c r="E3" s="2"/>
      <c r="F3" s="2"/>
      <c r="G3" s="2"/>
    </row>
    <row r="4" spans="1:7" x14ac:dyDescent="0.3">
      <c r="A4">
        <v>2026</v>
      </c>
      <c r="C4" s="2"/>
      <c r="D4" s="2"/>
      <c r="E4" s="2"/>
      <c r="F4" s="2"/>
      <c r="G4" s="2"/>
    </row>
    <row r="5" spans="1:7" x14ac:dyDescent="0.3">
      <c r="A5">
        <v>2027</v>
      </c>
      <c r="C5" s="2"/>
      <c r="D5" s="2"/>
      <c r="E5" s="2"/>
      <c r="F5" s="2"/>
      <c r="G5" s="2"/>
    </row>
    <row r="6" spans="1:7" x14ac:dyDescent="0.3">
      <c r="A6">
        <v>2028</v>
      </c>
      <c r="C6" s="2"/>
      <c r="D6" s="2"/>
      <c r="E6" s="2"/>
      <c r="F6" s="2"/>
      <c r="G6" s="2"/>
    </row>
    <row r="7" spans="1:7" x14ac:dyDescent="0.3">
      <c r="A7">
        <v>2029</v>
      </c>
      <c r="D7" s="2"/>
      <c r="E7" s="2"/>
      <c r="F7" s="2"/>
      <c r="G7" s="2"/>
    </row>
    <row r="8" spans="1:7" x14ac:dyDescent="0.3">
      <c r="A8">
        <v>2030</v>
      </c>
      <c r="D8" s="2"/>
      <c r="E8" s="2"/>
      <c r="F8" s="2"/>
      <c r="G8" s="2"/>
    </row>
    <row r="9" spans="1:7" x14ac:dyDescent="0.3">
      <c r="A9">
        <v>2031</v>
      </c>
      <c r="D9" s="2"/>
      <c r="E9" s="2"/>
      <c r="F9" s="2"/>
      <c r="G9" s="2"/>
    </row>
    <row r="10" spans="1:7" x14ac:dyDescent="0.3">
      <c r="A10">
        <v>2032</v>
      </c>
      <c r="D10" s="2"/>
      <c r="E10" s="2"/>
      <c r="F10" s="2"/>
      <c r="G10" s="2"/>
    </row>
    <row r="11" spans="1:7" x14ac:dyDescent="0.3">
      <c r="A11">
        <v>2033</v>
      </c>
      <c r="D11" s="2"/>
      <c r="E11" s="2"/>
      <c r="F11" s="2"/>
      <c r="G11" s="2"/>
    </row>
    <row r="12" spans="1:7" x14ac:dyDescent="0.3">
      <c r="A12">
        <v>2034</v>
      </c>
      <c r="E12" s="2"/>
      <c r="F12" s="2"/>
      <c r="G12" s="2"/>
    </row>
    <row r="13" spans="1:7" x14ac:dyDescent="0.3">
      <c r="A13">
        <v>2035</v>
      </c>
      <c r="E13" s="2"/>
      <c r="F13" s="2"/>
      <c r="G13" s="2"/>
    </row>
    <row r="14" spans="1:7" x14ac:dyDescent="0.3">
      <c r="A14">
        <v>2036</v>
      </c>
      <c r="E14" s="2"/>
      <c r="F14" s="2"/>
      <c r="G14" s="2"/>
    </row>
    <row r="15" spans="1:7" x14ac:dyDescent="0.3">
      <c r="A15">
        <v>2037</v>
      </c>
      <c r="E15" s="2"/>
      <c r="F15" s="2"/>
      <c r="G15" s="2"/>
    </row>
    <row r="16" spans="1:7" x14ac:dyDescent="0.3">
      <c r="A16">
        <v>2038</v>
      </c>
      <c r="E16" s="2"/>
      <c r="F16" s="2"/>
      <c r="G16" s="2"/>
    </row>
    <row r="17" spans="1:7" x14ac:dyDescent="0.3">
      <c r="A17">
        <v>2039</v>
      </c>
      <c r="F17" s="2"/>
      <c r="G17" s="2"/>
    </row>
    <row r="18" spans="1:7" x14ac:dyDescent="0.3">
      <c r="A18">
        <v>2040</v>
      </c>
      <c r="F18" s="2"/>
      <c r="G18" s="2"/>
    </row>
    <row r="19" spans="1:7" x14ac:dyDescent="0.3">
      <c r="A19">
        <v>2041</v>
      </c>
      <c r="F19" s="2"/>
      <c r="G19" s="2"/>
    </row>
    <row r="20" spans="1:7" x14ac:dyDescent="0.3">
      <c r="A20">
        <v>2042</v>
      </c>
      <c r="F20" s="2"/>
      <c r="G20" s="2"/>
    </row>
    <row r="21" spans="1:7" x14ac:dyDescent="0.3">
      <c r="A21">
        <v>2043</v>
      </c>
      <c r="F21" s="2"/>
      <c r="G21" s="2"/>
    </row>
    <row r="22" spans="1:7" x14ac:dyDescent="0.3">
      <c r="A22">
        <v>2044</v>
      </c>
      <c r="G22" s="2"/>
    </row>
    <row r="23" spans="1:7" x14ac:dyDescent="0.3">
      <c r="A23">
        <v>2045</v>
      </c>
      <c r="G23" s="2"/>
    </row>
    <row r="24" spans="1:7" x14ac:dyDescent="0.3">
      <c r="A24">
        <v>2046</v>
      </c>
      <c r="G24" s="2"/>
    </row>
    <row r="25" spans="1:7" x14ac:dyDescent="0.3">
      <c r="A25">
        <v>2047</v>
      </c>
      <c r="G25" s="2"/>
    </row>
    <row r="26" spans="1:7" x14ac:dyDescent="0.3">
      <c r="A26">
        <v>2048</v>
      </c>
      <c r="G26" s="2"/>
    </row>
    <row r="27" spans="1:7" x14ac:dyDescent="0.3">
      <c r="A27">
        <v>2049</v>
      </c>
    </row>
    <row r="28" spans="1:7" x14ac:dyDescent="0.3">
      <c r="A28">
        <v>2050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import_prices</vt:lpstr>
      <vt:lpstr>manufacturing_prices</vt:lpstr>
      <vt:lpstr>piped_gas_prices</vt:lpstr>
      <vt:lpstr>lng_prices</vt:lpstr>
      <vt:lpstr>piped_gas_trajectory</vt:lpstr>
      <vt:lpstr>elec_demand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Oitzinger</dc:creator>
  <cp:lastModifiedBy>Max Oitzinger</cp:lastModifiedBy>
  <dcterms:created xsi:type="dcterms:W3CDTF">2025-06-11T08:02:53Z</dcterms:created>
  <dcterms:modified xsi:type="dcterms:W3CDTF">2025-07-23T12:31:56Z</dcterms:modified>
</cp:coreProperties>
</file>