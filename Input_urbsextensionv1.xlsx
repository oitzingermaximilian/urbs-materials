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406" documentId="13_ncr:1_{A1CEE875-B6E7-4616-ADB8-CAA4FD821F6B}" xr6:coauthVersionLast="47" xr6:coauthVersionMax="47" xr10:uidLastSave="{230FFE9F-9032-403C-AC99-0E29FFC9A661}"/>
  <bookViews>
    <workbookView xWindow="14295" yWindow="0" windowWidth="14610" windowHeight="17385" firstSheet="1" activeTab="4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ecommissioning" sheetId="26" r:id="rId6"/>
    <sheet name="dcr" sheetId="6" r:id="rId7"/>
    <sheet name="stocklvl" sheetId="7" r:id="rId8"/>
    <sheet name="installable_capacity" sheetId="3" r:id="rId9"/>
    <sheet name="gas_block" sheetId="13" r:id="rId10"/>
    <sheet name="Tech_Stage_Specs" sheetId="14" r:id="rId11"/>
    <sheet name="Material_Intensity" sheetId="15" r:id="rId12"/>
    <sheet name="Recycling_Costs" sheetId="27" r:id="rId13"/>
    <sheet name="material_blocks" sheetId="25" r:id="rId14"/>
    <sheet name="mining_limit" sheetId="20" r:id="rId15"/>
    <sheet name="mining_cost" sheetId="21" r:id="rId16"/>
    <sheet name="import_cost_mining" sheetId="22" r:id="rId17"/>
    <sheet name="energy_transition_factor" sheetId="23" r:id="rId18"/>
    <sheet name="ore_metal_factor" sheetId="24" r:id="rId19"/>
    <sheet name="Component_Map" sheetId="18" r:id="rId20"/>
    <sheet name="Cost_Data" sheetId="16" r:id="rId21"/>
    <sheet name="Import_Cost_Stage" sheetId="19" r:id="rId22"/>
  </sheets>
  <definedNames>
    <definedName name="_xlnm._FilterDatabase" localSheetId="9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5" l="1"/>
  <c r="I3" i="25" s="1"/>
  <c r="H4" i="25"/>
  <c r="I4" i="25"/>
  <c r="H5" i="25"/>
  <c r="I5" i="25"/>
  <c r="H6" i="25"/>
  <c r="I6" i="25"/>
  <c r="H7" i="25"/>
  <c r="I7" i="25"/>
  <c r="H8" i="25"/>
  <c r="I8" i="25"/>
  <c r="H9" i="25"/>
  <c r="I9" i="25"/>
  <c r="H10" i="25"/>
  <c r="I10" i="25"/>
  <c r="H11" i="25"/>
  <c r="I11" i="25"/>
  <c r="H12" i="25"/>
  <c r="I12" i="25" s="1"/>
  <c r="H13" i="25"/>
  <c r="I13" i="25"/>
  <c r="H14" i="25"/>
  <c r="I14" i="25"/>
  <c r="H15" i="25"/>
  <c r="I15" i="25"/>
  <c r="H16" i="25"/>
  <c r="I16" i="25"/>
  <c r="H17" i="25"/>
  <c r="I17" i="25"/>
  <c r="H18" i="25"/>
  <c r="I18" i="25"/>
  <c r="H19" i="25"/>
  <c r="I19" i="25"/>
  <c r="H20" i="25"/>
  <c r="I20" i="25"/>
  <c r="H21" i="25"/>
  <c r="I21" i="25"/>
  <c r="H22" i="25"/>
  <c r="I22" i="25"/>
  <c r="H23" i="25"/>
  <c r="I23" i="25"/>
  <c r="H24" i="25"/>
  <c r="I24" i="25"/>
  <c r="H25" i="25"/>
  <c r="I25" i="25"/>
  <c r="H26" i="25"/>
  <c r="I26" i="25"/>
  <c r="I2" i="25"/>
  <c r="H2" i="25"/>
  <c r="C9" i="13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<sst xmlns="http://schemas.openxmlformats.org/spreadsheetml/2006/main" count="730" uniqueCount="199">
  <si>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</si>
  <si>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</si>
  <si>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</si>
  <si>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</si>
  <si>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</si>
  <si>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</si>
  <si>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</si>
  <si>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</si>
  <si>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</si>
  <si>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</si>
  <si>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</si>
  <si>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</si>
  <si>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</si>
  <si>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</si>
  <si>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</si>
  <si>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</si>
  <si>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</si>
  <si>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</si>
  <si>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</si>
  <si>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</si>
  <si>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</si>
  <si>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</si>
  <si>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</si>
  <si>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</si>
  <si>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</si>
  <si>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</si>
  <si>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</si>
  <si>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</si>
  <si>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</si>
  <si>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</si>
  <si>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</si>
  <si>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</si>
  <si>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</si>
  <si>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</si>
  <si>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</si>
  <si>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</si>
  <si>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</si>
  <si>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</si>
  <si>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</si>
  <si>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</si>
  <si>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</si>
  <si>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</si>
  <si>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</si>
  <si>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</si>
  <si>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</si>
  <si>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</si>
  <si>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</si>
  <si>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</si>
  <si>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</si>
  <si>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</si>
  <si>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</si>
  <si>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</si>
  <si>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</si>
  <si>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</si>
  <si>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</si>
  <si>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</si>
  <si>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</si>
  <si>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</si>
  <si>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</si>
  <si>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</si>
  <si>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</si>
  <si>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</si>
  <si>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</si>
  <si>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</si>
  <si>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</si>
  <si>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</si>
  <si>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</si>
  <si>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</si>
  <si>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</si>
  <si>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</si>
  <si>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</si>
  <si>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</si>
  <si>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</si>
  <si>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</si>
  <si>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</si>
  <si>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</si>
  <si>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</si>
  <si>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</si>
  <si>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</si>
  <si>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</si>
  <si>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</si>
  <si>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</si>
  <si>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</si>
  <si>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</si>
  <si>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</si>
  <si>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</si>
  <si>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</si>
  <si>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</si>
  <si>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</si>
  <si>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</si>
  <si>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</si>
  <si>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</si>
  <si>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</si>
  <si>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</si>
  <si>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</si>
  <si>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</si>
  <si>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</si>
  <si>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</si>
  <si>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</si>
  <si>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</si>
  <si>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</si>
  <si>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</si>
  <si>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</si>
  <si>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</si>
  <si>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</si>
  <si>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</si>
  <si>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</si>
  <si>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</si>
  <si>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</si>
  <si>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</si>
  <si>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</si>
  <si>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</si>
  <si>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</si>
  <si>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</si>
  <si>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</si>
  <si>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</si>
  <si>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</si>
  <si>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</si>
  <si>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</si>
  <si>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</si>
  <si>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</si>
  <si>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</si>
  <si>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</si>
  <si>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</si>
  <si>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</si>
  <si>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</si>
  <si>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</si>
  <si>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</si>
  <si>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</si>
  <si>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</si>
  <si>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</si>
  <si>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</si>
  <si>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</si>
  <si>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</si>
  <si>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</si>
  <si>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</si>
  <si>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</si>
  <si>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</si>
  <si>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</si>
  <si>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</si>
  <si>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</si>
  <si>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</si>
  <si>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</si>
  <si>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</si>
  <si>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</si>
  <si>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</si>
  <si>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</si>
  <si>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</si>
  <si>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</si>
  <si>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</si>
  <si>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</si>
  <si>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</si>
  <si>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</si>
  <si>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</si>
  <si>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</si>
  <si>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</si>
  <si>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</si>
  <si>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</si>
  <si>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</si>
  <si>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</si>
  <si>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</si>
  <si>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</si>
  <si>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</si>
  <si>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</si>
  <si>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</si>
  <si>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</si>
  <si>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</si>
  <si>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</si>
  <si>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</si>
  <si>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</si>
  <si>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</si>
  <si>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</si>
  <si>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</si>
  <si>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</si>
  <si>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</si>
  <si>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</si>
  <si>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</si>
  <si>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</si>
  <si>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</si>
  <si>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</si>
  <si>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</si>
  <si>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</si>
  <si>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</si>
  <si>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</si>
  <si>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</si>
  <si>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</si>
  <si>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</si>
  <si>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</si>
  <si>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</si>
  <si>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</si>
  <si>
    <t>Installed wind energy capacity</t>
  </si>
  <si>
    <t>capex_magnet</t>
  </si>
  <si>
    <t>capex_bulk</t>
  </si>
  <si>
    <t>capex</t>
  </si>
  <si>
    <t>opex_var</t>
  </si>
  <si>
    <t>opex_fixed_magnet</t>
  </si>
  <si>
    <t>opex_var_magnet</t>
  </si>
  <si>
    <t>opex_fixed_bulk</t>
  </si>
  <si>
    <t>opex_var_bulk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</si>
</sst>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sz val="10.5"/>
      <color theme="1"/>
      <name val="Times New Roman"/>
      <family val="1"/>
    </font>
    <font>
      <u/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  <xf numFmtId="0" fontId="9" fillId="11" borderId="5">
      <alignment horizontal="right" vertical="center"/>
    </xf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10" fillId="0" borderId="0" xfId="11"/>
    <xf numFmtId="0" fontId="1" fillId="0" borderId="3" xfId="0" applyFont="1" applyBorder="1" applyAlignment="1">
      <alignment horizontal="center" vertical="top"/>
    </xf>
  </cellXfs>
  <cellStyles count="12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Link" xfId="11" builtinId="8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  <cellStyle name="Tabelle allgemein" xfId="10" xr:uid="{23500D89-14AD-4025-B76C-4803D9910A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ourworldindata.org/grapher/cumulative-installed-wind-energy-capacity-gigawatts?time=earliest..2024&amp;country=~OWID_EU27&amp;tableFilter=countries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workbookViewId="0">
      <selection activeCell="T34" sqref="T34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1</v>
      </c>
      <c r="S2" s="8">
        <v>1</v>
      </c>
      <c r="T2">
        <v>1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1</v>
      </c>
      <c r="S3" s="8">
        <v>1</v>
      </c>
      <c r="T3">
        <v>1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1</v>
      </c>
      <c r="S4" s="8">
        <v>1</v>
      </c>
      <c r="T4">
        <v>1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1</v>
      </c>
      <c r="S5" s="8">
        <v>1</v>
      </c>
      <c r="T5">
        <v>1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1</v>
      </c>
      <c r="S6" s="8">
        <v>1</v>
      </c>
      <c r="T6">
        <v>1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1</v>
      </c>
      <c r="S7" s="8">
        <v>1</v>
      </c>
      <c r="T7">
        <v>1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1</v>
      </c>
      <c r="S8" s="8">
        <v>1</v>
      </c>
      <c r="T8">
        <v>1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1</v>
      </c>
      <c r="S9" s="8">
        <v>1</v>
      </c>
      <c r="T9">
        <v>1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1</v>
      </c>
      <c r="S10" s="8">
        <v>1</v>
      </c>
      <c r="T10">
        <v>1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1</v>
      </c>
      <c r="S11" s="8">
        <v>1</v>
      </c>
      <c r="T11">
        <v>1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1</v>
      </c>
      <c r="S12" s="8">
        <v>1</v>
      </c>
      <c r="T12">
        <v>1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1</v>
      </c>
      <c r="S13" s="8">
        <v>1</v>
      </c>
      <c r="T13">
        <v>1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1</v>
      </c>
      <c r="S14" s="8">
        <v>1</v>
      </c>
      <c r="T14">
        <v>1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1</v>
      </c>
      <c r="S15" s="8">
        <v>1</v>
      </c>
      <c r="T15">
        <v>1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1</v>
      </c>
      <c r="S16" s="8">
        <v>1</v>
      </c>
      <c r="T16">
        <v>1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1</v>
      </c>
      <c r="S17" s="8">
        <v>1</v>
      </c>
      <c r="T17">
        <v>1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1</v>
      </c>
      <c r="S18" s="8">
        <v>1</v>
      </c>
      <c r="T18">
        <v>1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1</v>
      </c>
      <c r="S19" s="8">
        <v>1</v>
      </c>
      <c r="T19">
        <v>1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1</v>
      </c>
      <c r="S20" s="8">
        <v>1</v>
      </c>
      <c r="T20">
        <v>1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1</v>
      </c>
      <c r="S21" s="8">
        <v>1</v>
      </c>
      <c r="T21">
        <v>1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1</v>
      </c>
      <c r="S22" s="8">
        <v>1</v>
      </c>
      <c r="T22">
        <v>1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1</v>
      </c>
      <c r="S23" s="8">
        <v>1</v>
      </c>
      <c r="T23">
        <v>1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1</v>
      </c>
      <c r="S24" s="8">
        <v>1</v>
      </c>
      <c r="T24">
        <v>1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1</v>
      </c>
      <c r="S25" s="8">
        <v>1</v>
      </c>
      <c r="T25">
        <v>1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1</v>
      </c>
      <c r="S26" s="8">
        <v>1</v>
      </c>
      <c r="T26">
        <v>1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1</v>
      </c>
      <c r="S27" s="8">
        <v>1</v>
      </c>
      <c r="T27">
        <v>1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1</v>
      </c>
      <c r="S28" s="8">
        <v>1</v>
      </c>
      <c r="T28">
        <v>1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E1" sqref="E1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abSelected="1" topLeftCell="J1" workbookViewId="0">
      <selection activeCell="P9" sqref="P9"/>
    </sheetView>
  </sheetViews>
  <sheetFormatPr baseColWidth="10" defaultRowHeight="15" x14ac:dyDescent="0.25"/>
  <cols>
    <col min="1" max="1" width="17.7109375" customWidth="1"/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68.997493000000006</v>
      </c>
      <c r="Q2" s="6">
        <v>68.997493000000006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284.42904900000002</v>
      </c>
      <c r="Q3" s="6">
        <v>284.42904900000002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201.002072</v>
      </c>
      <c r="Q4" s="6">
        <v>201.002072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037-FB6F-4527-A823-BAF75500CD20}">
  <dimension ref="A1:H28"/>
  <sheetViews>
    <sheetView workbookViewId="0">
      <selection activeCell="O11" sqref="O11"/>
    </sheetView>
  </sheetViews>
  <sheetFormatPr baseColWidth="10" defaultRowHeight="15" x14ac:dyDescent="0.25"/>
  <sheetData>
    <row r="1" spans="1:8" x14ac:dyDescent="0.25">
      <c r="A1" t="s">
        <v>89</v>
      </c>
      <c r="B1" t="s">
        <v>75</v>
      </c>
      <c r="C1" t="s">
        <v>76</v>
      </c>
      <c r="D1" t="s">
        <v>77</v>
      </c>
      <c r="H1" s="23" t="s">
        <v>190</v>
      </c>
    </row>
    <row r="2" spans="1:8" x14ac:dyDescent="0.25">
      <c r="A2">
        <v>2024</v>
      </c>
      <c r="B2">
        <v>978.38199802600002</v>
      </c>
      <c r="C2">
        <v>5800</v>
      </c>
      <c r="D2">
        <v>100</v>
      </c>
    </row>
    <row r="3" spans="1:8" x14ac:dyDescent="0.25">
      <c r="A3">
        <v>2025</v>
      </c>
      <c r="B3">
        <v>1299.8852022440001</v>
      </c>
      <c r="C3">
        <v>5510</v>
      </c>
      <c r="D3">
        <v>100</v>
      </c>
    </row>
    <row r="4" spans="1:8" x14ac:dyDescent="0.25">
      <c r="A4">
        <v>2026</v>
      </c>
      <c r="B4">
        <v>2471.3838082560001</v>
      </c>
      <c r="C4">
        <v>6730</v>
      </c>
      <c r="D4">
        <v>100</v>
      </c>
    </row>
    <row r="5" spans="1:8" x14ac:dyDescent="0.25">
      <c r="A5">
        <v>2027</v>
      </c>
      <c r="B5">
        <v>6469.0806045790023</v>
      </c>
      <c r="C5">
        <v>7630</v>
      </c>
      <c r="D5">
        <v>200</v>
      </c>
    </row>
    <row r="6" spans="1:8" x14ac:dyDescent="0.25">
      <c r="A6">
        <v>2028</v>
      </c>
      <c r="B6">
        <v>7645.5876054499995</v>
      </c>
      <c r="C6">
        <v>6440</v>
      </c>
      <c r="D6">
        <v>250</v>
      </c>
    </row>
    <row r="7" spans="1:8" x14ac:dyDescent="0.25">
      <c r="A7">
        <v>2029</v>
      </c>
      <c r="B7">
        <v>15830.974031720001</v>
      </c>
      <c r="C7">
        <v>10440</v>
      </c>
      <c r="D7">
        <v>300</v>
      </c>
    </row>
    <row r="8" spans="1:8" x14ac:dyDescent="0.25">
      <c r="A8">
        <v>2030</v>
      </c>
      <c r="B8">
        <v>24666.213935274995</v>
      </c>
      <c r="C8">
        <v>7830</v>
      </c>
      <c r="D8">
        <v>250</v>
      </c>
    </row>
    <row r="9" spans="1:8" x14ac:dyDescent="0.25">
      <c r="A9">
        <v>2031</v>
      </c>
      <c r="B9">
        <v>20049.640317609988</v>
      </c>
      <c r="C9">
        <v>7970</v>
      </c>
      <c r="D9">
        <v>500</v>
      </c>
    </row>
    <row r="10" spans="1:8" x14ac:dyDescent="0.25">
      <c r="A10">
        <v>2032</v>
      </c>
      <c r="B10">
        <v>13100.926757220004</v>
      </c>
      <c r="C10">
        <v>9150</v>
      </c>
      <c r="D10">
        <v>600</v>
      </c>
    </row>
    <row r="11" spans="1:8" x14ac:dyDescent="0.25">
      <c r="A11">
        <v>2033</v>
      </c>
      <c r="B11">
        <v>7005.0387908199973</v>
      </c>
      <c r="C11">
        <v>7780</v>
      </c>
      <c r="D11">
        <v>700</v>
      </c>
    </row>
    <row r="12" spans="1:8" x14ac:dyDescent="0.25">
      <c r="A12">
        <v>2034</v>
      </c>
      <c r="B12">
        <v>7489.4451970200025</v>
      </c>
      <c r="C12">
        <v>9090</v>
      </c>
      <c r="D12">
        <v>900</v>
      </c>
    </row>
    <row r="13" spans="1:8" x14ac:dyDescent="0.25">
      <c r="A13">
        <v>2035</v>
      </c>
      <c r="B13">
        <v>10467.742521019998</v>
      </c>
      <c r="C13">
        <v>10150</v>
      </c>
      <c r="D13">
        <v>1400</v>
      </c>
    </row>
    <row r="14" spans="1:8" x14ac:dyDescent="0.25">
      <c r="A14">
        <v>2036</v>
      </c>
      <c r="B14">
        <v>8872.0429990199973</v>
      </c>
      <c r="C14">
        <v>9600</v>
      </c>
      <c r="D14">
        <v>1200</v>
      </c>
    </row>
    <row r="15" spans="1:8" x14ac:dyDescent="0.25">
      <c r="A15">
        <v>2037</v>
      </c>
      <c r="B15">
        <v>12362.187249020002</v>
      </c>
      <c r="C15">
        <v>9440</v>
      </c>
      <c r="D15">
        <v>1500</v>
      </c>
    </row>
    <row r="16" spans="1:8" x14ac:dyDescent="0.25">
      <c r="A16">
        <v>2038</v>
      </c>
      <c r="B16">
        <v>24865.882410220001</v>
      </c>
      <c r="C16">
        <v>6900</v>
      </c>
      <c r="D16">
        <v>1400</v>
      </c>
    </row>
    <row r="17" spans="1:4" x14ac:dyDescent="0.25">
      <c r="A17">
        <v>2039</v>
      </c>
      <c r="B17">
        <v>23840.876000519998</v>
      </c>
      <c r="C17">
        <v>7830</v>
      </c>
      <c r="D17">
        <v>2100</v>
      </c>
    </row>
    <row r="18" spans="1:4" x14ac:dyDescent="0.25">
      <c r="A18">
        <v>2040</v>
      </c>
      <c r="B18">
        <v>29360</v>
      </c>
      <c r="C18">
        <v>7230</v>
      </c>
      <c r="D18">
        <v>2700</v>
      </c>
    </row>
    <row r="19" spans="1:4" x14ac:dyDescent="0.25">
      <c r="A19">
        <v>2041</v>
      </c>
      <c r="B19">
        <v>34880</v>
      </c>
      <c r="C19">
        <v>9860</v>
      </c>
      <c r="D19">
        <v>1000</v>
      </c>
    </row>
    <row r="20" spans="1:4" x14ac:dyDescent="0.25">
      <c r="A20">
        <v>2042</v>
      </c>
      <c r="B20">
        <v>40400</v>
      </c>
      <c r="C20">
        <v>14890</v>
      </c>
      <c r="D20">
        <v>800</v>
      </c>
    </row>
    <row r="21" spans="1:4" x14ac:dyDescent="0.25">
      <c r="A21">
        <v>2043</v>
      </c>
      <c r="B21">
        <v>45920</v>
      </c>
      <c r="C21">
        <v>13340</v>
      </c>
      <c r="D21">
        <v>1900</v>
      </c>
    </row>
    <row r="22" spans="1:4" x14ac:dyDescent="0.25">
      <c r="A22">
        <v>2044</v>
      </c>
      <c r="B22">
        <v>51440</v>
      </c>
      <c r="C22" s="7">
        <v>11210</v>
      </c>
      <c r="D22" s="7">
        <v>1200</v>
      </c>
    </row>
    <row r="23" spans="1:4" x14ac:dyDescent="0.25">
      <c r="A23">
        <v>2045</v>
      </c>
      <c r="B23">
        <v>56960</v>
      </c>
      <c r="C23">
        <v>0</v>
      </c>
      <c r="D23">
        <v>0</v>
      </c>
    </row>
    <row r="24" spans="1:4" x14ac:dyDescent="0.25">
      <c r="A24">
        <v>2046</v>
      </c>
      <c r="B24">
        <v>62480</v>
      </c>
      <c r="C24">
        <v>0</v>
      </c>
      <c r="D24">
        <v>0</v>
      </c>
    </row>
    <row r="25" spans="1:4" x14ac:dyDescent="0.25">
      <c r="A25">
        <v>2047</v>
      </c>
      <c r="B25">
        <v>68000</v>
      </c>
      <c r="C25">
        <v>0</v>
      </c>
      <c r="D25">
        <v>0</v>
      </c>
    </row>
    <row r="26" spans="1:4" x14ac:dyDescent="0.25">
      <c r="A26">
        <v>2048</v>
      </c>
      <c r="B26">
        <v>0</v>
      </c>
      <c r="C26">
        <v>0</v>
      </c>
      <c r="D26">
        <v>0</v>
      </c>
    </row>
    <row r="27" spans="1:4" x14ac:dyDescent="0.25">
      <c r="A27">
        <v>2049</v>
      </c>
      <c r="B27">
        <v>0</v>
      </c>
      <c r="C27">
        <v>0</v>
      </c>
      <c r="D27">
        <v>0</v>
      </c>
    </row>
    <row r="28" spans="1:4" x14ac:dyDescent="0.25">
      <c r="A28">
        <v>2050</v>
      </c>
      <c r="B28">
        <v>0</v>
      </c>
      <c r="C28">
        <v>0</v>
      </c>
      <c r="D28">
        <v>0</v>
      </c>
    </row>
  </sheetData>
  <hyperlinks>
    <hyperlink ref="H1" r:id="rId1" display="https://ourworldindata.org/grapher/cumulative-installed-wind-energy-capacity-gigawatts?time=earliest..2024&amp;country=~OWID_EU27&amp;tableFilter=countries" xr:uid="{EB3998CC-1E8C-4650-ACE6-5B76E514F038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39" sqref="I39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4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4"/>
      <c r="B3" s="11" t="s">
        <v>70</v>
      </c>
      <c r="C3" s="2">
        <v>1047284444</v>
      </c>
      <c r="D3">
        <v>42.69</v>
      </c>
      <c r="E3" s="2"/>
    </row>
    <row r="4" spans="1:5" x14ac:dyDescent="0.25">
      <c r="A4" s="24"/>
      <c r="B4" s="11" t="s">
        <v>71</v>
      </c>
      <c r="C4" s="2">
        <v>2930833333</v>
      </c>
      <c r="D4">
        <v>150</v>
      </c>
    </row>
    <row r="5" spans="1:5" x14ac:dyDescent="0.25">
      <c r="A5" s="24"/>
      <c r="B5" s="11" t="s">
        <v>68</v>
      </c>
      <c r="C5" s="2">
        <v>484006334</v>
      </c>
      <c r="D5">
        <v>22.68</v>
      </c>
    </row>
    <row r="6" spans="1:5" x14ac:dyDescent="0.25">
      <c r="A6" s="24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4"/>
      <c r="B7" s="11" t="s">
        <v>70</v>
      </c>
      <c r="C7" s="2">
        <v>1047284444</v>
      </c>
      <c r="D7">
        <v>42.69</v>
      </c>
    </row>
    <row r="8" spans="1:5" x14ac:dyDescent="0.25">
      <c r="A8" s="24"/>
      <c r="B8" s="11" t="s">
        <v>71</v>
      </c>
      <c r="C8" s="2">
        <v>2930833333</v>
      </c>
      <c r="D8">
        <v>150</v>
      </c>
    </row>
    <row r="9" spans="1:5" x14ac:dyDescent="0.25">
      <c r="A9" s="24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4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4"/>
      <c r="B11" s="11" t="s">
        <v>70</v>
      </c>
      <c r="C11" s="2">
        <v>1047284444</v>
      </c>
      <c r="D11">
        <v>42.69</v>
      </c>
    </row>
    <row r="12" spans="1:5" x14ac:dyDescent="0.25">
      <c r="A12" s="24"/>
      <c r="B12" s="11" t="s">
        <v>71</v>
      </c>
      <c r="C12" s="2">
        <v>2930833333</v>
      </c>
      <c r="D12">
        <v>150</v>
      </c>
    </row>
    <row r="13" spans="1:5" x14ac:dyDescent="0.25">
      <c r="A13" s="24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4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4"/>
      <c r="B15" s="11" t="s">
        <v>70</v>
      </c>
      <c r="C15" s="2">
        <v>1047284444</v>
      </c>
      <c r="D15">
        <v>42.69</v>
      </c>
    </row>
    <row r="16" spans="1:5" x14ac:dyDescent="0.25">
      <c r="A16" s="24"/>
      <c r="B16" s="11" t="s">
        <v>71</v>
      </c>
      <c r="C16" s="2">
        <v>2930833333</v>
      </c>
      <c r="D16">
        <v>150</v>
      </c>
    </row>
    <row r="17" spans="1:4" x14ac:dyDescent="0.25">
      <c r="A17" s="24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4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4"/>
      <c r="B19" s="11" t="s">
        <v>70</v>
      </c>
      <c r="C19" s="2">
        <v>1047284444</v>
      </c>
      <c r="D19">
        <v>42.69</v>
      </c>
    </row>
    <row r="20" spans="1:4" x14ac:dyDescent="0.25">
      <c r="A20" s="24"/>
      <c r="B20" s="11" t="s">
        <v>71</v>
      </c>
      <c r="C20" s="2">
        <v>2930833333</v>
      </c>
      <c r="D20">
        <v>150</v>
      </c>
    </row>
    <row r="21" spans="1:4" x14ac:dyDescent="0.25">
      <c r="A21" s="24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4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4"/>
      <c r="B23" s="11" t="s">
        <v>70</v>
      </c>
      <c r="C23" s="2">
        <v>1047284444</v>
      </c>
      <c r="D23">
        <v>42.69</v>
      </c>
    </row>
    <row r="24" spans="1:4" x14ac:dyDescent="0.25">
      <c r="A24" s="24"/>
      <c r="B24" s="11" t="s">
        <v>71</v>
      </c>
      <c r="C24" s="2">
        <v>2930833333</v>
      </c>
      <c r="D24">
        <v>150</v>
      </c>
    </row>
    <row r="25" spans="1:4" x14ac:dyDescent="0.25">
      <c r="A25" s="24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4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4"/>
      <c r="B27" s="11" t="s">
        <v>70</v>
      </c>
      <c r="C27" s="2">
        <v>1047284444</v>
      </c>
      <c r="D27">
        <v>42.69</v>
      </c>
    </row>
    <row r="28" spans="1:4" x14ac:dyDescent="0.25">
      <c r="A28" s="24"/>
      <c r="B28" s="11" t="s">
        <v>71</v>
      </c>
      <c r="C28" s="2">
        <v>2930833333</v>
      </c>
      <c r="D28">
        <v>150</v>
      </c>
    </row>
    <row r="29" spans="1:4" x14ac:dyDescent="0.25">
      <c r="A29" s="24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4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4"/>
      <c r="B31" s="11" t="s">
        <v>70</v>
      </c>
      <c r="C31" s="2">
        <v>1047284444</v>
      </c>
      <c r="D31">
        <v>42.69</v>
      </c>
    </row>
    <row r="32" spans="1:4" x14ac:dyDescent="0.25">
      <c r="A32" s="24"/>
      <c r="B32" s="11" t="s">
        <v>71</v>
      </c>
      <c r="C32" s="2">
        <v>2930833333</v>
      </c>
      <c r="D32">
        <v>150</v>
      </c>
    </row>
    <row r="33" spans="1:4" x14ac:dyDescent="0.25">
      <c r="A33" s="24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4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4"/>
      <c r="B35" s="11" t="s">
        <v>70</v>
      </c>
      <c r="C35" s="2">
        <v>1047284444</v>
      </c>
      <c r="D35">
        <v>42.69</v>
      </c>
    </row>
    <row r="36" spans="1:4" x14ac:dyDescent="0.25">
      <c r="A36" s="24"/>
      <c r="B36" s="11" t="s">
        <v>71</v>
      </c>
      <c r="C36" s="2">
        <v>2930833333</v>
      </c>
      <c r="D36">
        <v>150</v>
      </c>
    </row>
    <row r="37" spans="1:4" x14ac:dyDescent="0.25">
      <c r="A37" s="24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4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4"/>
      <c r="B39" s="11" t="s">
        <v>70</v>
      </c>
      <c r="C39" s="2">
        <v>1047284444</v>
      </c>
      <c r="D39">
        <v>42.69</v>
      </c>
    </row>
    <row r="40" spans="1:4" x14ac:dyDescent="0.25">
      <c r="A40" s="24"/>
      <c r="B40" s="11" t="s">
        <v>71</v>
      </c>
      <c r="C40" s="2">
        <v>2930833333</v>
      </c>
      <c r="D40">
        <v>150</v>
      </c>
    </row>
    <row r="41" spans="1:4" x14ac:dyDescent="0.25">
      <c r="A41" s="24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4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4"/>
      <c r="B43" s="11" t="s">
        <v>70</v>
      </c>
      <c r="C43" s="2">
        <v>1047284444</v>
      </c>
      <c r="D43">
        <v>42.69</v>
      </c>
    </row>
    <row r="44" spans="1:4" x14ac:dyDescent="0.25">
      <c r="A44" s="24"/>
      <c r="B44" s="11" t="s">
        <v>71</v>
      </c>
      <c r="C44" s="2">
        <v>2930833333</v>
      </c>
      <c r="D44">
        <v>150</v>
      </c>
    </row>
    <row r="45" spans="1:4" x14ac:dyDescent="0.25">
      <c r="A45" s="24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4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4"/>
      <c r="B47" s="11" t="s">
        <v>70</v>
      </c>
      <c r="C47" s="2">
        <v>1047284444</v>
      </c>
      <c r="D47">
        <v>42.69</v>
      </c>
    </row>
    <row r="48" spans="1:4" x14ac:dyDescent="0.25">
      <c r="A48" s="24"/>
      <c r="B48" s="11" t="s">
        <v>71</v>
      </c>
      <c r="C48" s="2">
        <v>2930833333</v>
      </c>
      <c r="D48">
        <v>150</v>
      </c>
    </row>
    <row r="49" spans="1:4" x14ac:dyDescent="0.25">
      <c r="A49" s="24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4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4"/>
      <c r="B51" s="11" t="s">
        <v>70</v>
      </c>
      <c r="C51" s="2">
        <v>1047284444</v>
      </c>
      <c r="D51">
        <v>42.69</v>
      </c>
    </row>
    <row r="52" spans="1:4" x14ac:dyDescent="0.25">
      <c r="A52" s="24"/>
      <c r="B52" s="11" t="s">
        <v>71</v>
      </c>
      <c r="C52" s="2">
        <v>2930833333</v>
      </c>
      <c r="D52">
        <v>150</v>
      </c>
    </row>
    <row r="53" spans="1:4" x14ac:dyDescent="0.25">
      <c r="A53" s="24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4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4"/>
      <c r="B55" s="11" t="s">
        <v>70</v>
      </c>
      <c r="C55" s="2">
        <v>1047284444</v>
      </c>
      <c r="D55">
        <v>42.69</v>
      </c>
    </row>
    <row r="56" spans="1:4" x14ac:dyDescent="0.25">
      <c r="A56" s="24"/>
      <c r="B56" s="11" t="s">
        <v>71</v>
      </c>
      <c r="C56" s="2">
        <v>2930833333</v>
      </c>
      <c r="D56">
        <v>150</v>
      </c>
    </row>
    <row r="57" spans="1:4" x14ac:dyDescent="0.25">
      <c r="A57" s="24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4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4"/>
      <c r="B59" s="11" t="s">
        <v>70</v>
      </c>
      <c r="C59" s="2">
        <v>1047284444</v>
      </c>
      <c r="D59">
        <v>42.69</v>
      </c>
    </row>
    <row r="60" spans="1:4" x14ac:dyDescent="0.25">
      <c r="A60" s="24"/>
      <c r="B60" s="11" t="s">
        <v>71</v>
      </c>
      <c r="C60" s="2">
        <v>2930833333</v>
      </c>
      <c r="D60">
        <v>150</v>
      </c>
    </row>
    <row r="61" spans="1:4" x14ac:dyDescent="0.25">
      <c r="A61" s="24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4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4"/>
      <c r="B63" s="11" t="s">
        <v>70</v>
      </c>
      <c r="C63" s="2">
        <v>1047284444</v>
      </c>
      <c r="D63">
        <v>42.69</v>
      </c>
    </row>
    <row r="64" spans="1:4" x14ac:dyDescent="0.25">
      <c r="A64" s="24"/>
      <c r="B64" s="11" t="s">
        <v>71</v>
      </c>
      <c r="C64" s="2">
        <v>2930833333</v>
      </c>
      <c r="D64">
        <v>150</v>
      </c>
    </row>
    <row r="65" spans="1:4" x14ac:dyDescent="0.25">
      <c r="A65" s="24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4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4"/>
      <c r="B67" s="11" t="s">
        <v>70</v>
      </c>
      <c r="C67" s="2">
        <v>1047284444</v>
      </c>
      <c r="D67">
        <v>42.69</v>
      </c>
    </row>
    <row r="68" spans="1:4" x14ac:dyDescent="0.25">
      <c r="A68" s="24"/>
      <c r="B68" s="11" t="s">
        <v>71</v>
      </c>
      <c r="C68" s="2">
        <v>2930833333</v>
      </c>
      <c r="D68">
        <v>150</v>
      </c>
    </row>
    <row r="69" spans="1:4" x14ac:dyDescent="0.25">
      <c r="A69" s="24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4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4"/>
      <c r="B71" s="11" t="s">
        <v>70</v>
      </c>
      <c r="C71" s="2">
        <v>1047284444</v>
      </c>
      <c r="D71">
        <v>42.69</v>
      </c>
    </row>
    <row r="72" spans="1:4" x14ac:dyDescent="0.25">
      <c r="A72" s="24"/>
      <c r="B72" s="11" t="s">
        <v>71</v>
      </c>
      <c r="C72" s="2">
        <v>2930833333</v>
      </c>
      <c r="D72">
        <v>150</v>
      </c>
    </row>
    <row r="73" spans="1:4" x14ac:dyDescent="0.25">
      <c r="A73" s="24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4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4"/>
      <c r="B75" s="11" t="s">
        <v>70</v>
      </c>
      <c r="C75" s="2">
        <v>1047284444</v>
      </c>
      <c r="D75">
        <v>42.69</v>
      </c>
    </row>
    <row r="76" spans="1:4" x14ac:dyDescent="0.25">
      <c r="A76" s="24"/>
      <c r="B76" s="11" t="s">
        <v>71</v>
      </c>
      <c r="C76" s="2">
        <v>2930833333</v>
      </c>
      <c r="D76">
        <v>150</v>
      </c>
    </row>
    <row r="77" spans="1:4" x14ac:dyDescent="0.25">
      <c r="A77" s="24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4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4"/>
      <c r="B79" s="11" t="s">
        <v>70</v>
      </c>
      <c r="C79" s="2">
        <v>1047284444</v>
      </c>
      <c r="D79">
        <v>42.69</v>
      </c>
    </row>
    <row r="80" spans="1:4" x14ac:dyDescent="0.25">
      <c r="A80" s="24"/>
      <c r="B80" s="11" t="s">
        <v>71</v>
      </c>
      <c r="C80" s="2">
        <v>2930833333</v>
      </c>
      <c r="D80">
        <v>150</v>
      </c>
    </row>
    <row r="81" spans="1:4" x14ac:dyDescent="0.25">
      <c r="A81" s="24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4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4"/>
      <c r="B83" s="11" t="s">
        <v>70</v>
      </c>
      <c r="C83" s="2">
        <v>1047284444</v>
      </c>
      <c r="D83">
        <v>42.69</v>
      </c>
    </row>
    <row r="84" spans="1:4" x14ac:dyDescent="0.25">
      <c r="A84" s="24"/>
      <c r="B84" s="11" t="s">
        <v>71</v>
      </c>
      <c r="C84" s="2">
        <v>2930833333</v>
      </c>
      <c r="D84">
        <v>150</v>
      </c>
    </row>
    <row r="85" spans="1:4" x14ac:dyDescent="0.25">
      <c r="A85" s="24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4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4"/>
      <c r="B87" s="11" t="s">
        <v>70</v>
      </c>
      <c r="C87" s="2">
        <v>1047284444</v>
      </c>
      <c r="D87">
        <v>42.69</v>
      </c>
    </row>
    <row r="88" spans="1:4" x14ac:dyDescent="0.25">
      <c r="A88" s="24"/>
      <c r="B88" s="11" t="s">
        <v>71</v>
      </c>
      <c r="C88" s="2">
        <v>2930833333</v>
      </c>
      <c r="D88">
        <v>150</v>
      </c>
    </row>
    <row r="89" spans="1:4" x14ac:dyDescent="0.25">
      <c r="A89" s="24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4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4"/>
      <c r="B91" s="11" t="s">
        <v>70</v>
      </c>
      <c r="C91" s="2">
        <v>1047284444</v>
      </c>
      <c r="D91">
        <v>42.69</v>
      </c>
    </row>
    <row r="92" spans="1:4" x14ac:dyDescent="0.25">
      <c r="A92" s="24"/>
      <c r="B92" s="11" t="s">
        <v>71</v>
      </c>
      <c r="C92" s="2">
        <v>2930833333</v>
      </c>
      <c r="D92">
        <v>150</v>
      </c>
    </row>
    <row r="93" spans="1:4" x14ac:dyDescent="0.25">
      <c r="A93" s="24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4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4"/>
      <c r="B95" s="11" t="s">
        <v>70</v>
      </c>
      <c r="C95" s="2">
        <v>1047284444</v>
      </c>
      <c r="D95">
        <v>42.69</v>
      </c>
    </row>
    <row r="96" spans="1:4" x14ac:dyDescent="0.25">
      <c r="A96" s="24"/>
      <c r="B96" s="11" t="s">
        <v>71</v>
      </c>
      <c r="C96" s="2">
        <v>2930833333</v>
      </c>
      <c r="D96">
        <v>150</v>
      </c>
    </row>
    <row r="97" spans="1:4" x14ac:dyDescent="0.25">
      <c r="A97" s="24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4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4"/>
      <c r="B99" s="11" t="s">
        <v>70</v>
      </c>
      <c r="C99" s="2">
        <v>1047284444</v>
      </c>
      <c r="D99">
        <v>42.69</v>
      </c>
    </row>
    <row r="100" spans="1:4" x14ac:dyDescent="0.25">
      <c r="A100" s="24"/>
      <c r="B100" s="11" t="s">
        <v>71</v>
      </c>
      <c r="C100" s="2">
        <v>2930833333</v>
      </c>
      <c r="D100">
        <v>150</v>
      </c>
    </row>
    <row r="101" spans="1:4" x14ac:dyDescent="0.25">
      <c r="A101" s="24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4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4"/>
      <c r="B103" s="11" t="s">
        <v>70</v>
      </c>
      <c r="C103" s="2">
        <v>1047284444</v>
      </c>
      <c r="D103">
        <v>42.69</v>
      </c>
    </row>
    <row r="104" spans="1:4" x14ac:dyDescent="0.25">
      <c r="A104" s="24"/>
      <c r="B104" s="11" t="s">
        <v>71</v>
      </c>
      <c r="C104" s="2">
        <v>2930833333</v>
      </c>
      <c r="D104">
        <v>150</v>
      </c>
    </row>
    <row r="105" spans="1:4" x14ac:dyDescent="0.25">
      <c r="A105" s="24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4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4"/>
      <c r="B107" s="11" t="s">
        <v>70</v>
      </c>
      <c r="C107" s="2">
        <v>1047284444</v>
      </c>
      <c r="D107">
        <v>42.69</v>
      </c>
    </row>
    <row r="108" spans="1:4" x14ac:dyDescent="0.25">
      <c r="A108" s="24"/>
      <c r="B108" s="11" t="s">
        <v>71</v>
      </c>
      <c r="C108" s="2">
        <v>2930833333</v>
      </c>
      <c r="D108">
        <v>150</v>
      </c>
    </row>
    <row r="109" spans="1:4" x14ac:dyDescent="0.25">
      <c r="A109" s="24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D1" sqref="D1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120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121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122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123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124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125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126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127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113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workbookViewId="0">
      <selection activeCell="E25" sqref="E9:E25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136</v>
      </c>
      <c r="D2" s="12">
        <v>11.080597014925374</v>
      </c>
      <c r="E2" s="12">
        <v>11.080597014925374</v>
      </c>
      <c r="F2">
        <v>0.99399999999999999</v>
      </c>
    </row>
    <row r="3" spans="1:6" x14ac:dyDescent="0.25">
      <c r="A3" s="12" t="s">
        <v>75</v>
      </c>
      <c r="B3" s="12" t="s">
        <v>87</v>
      </c>
      <c r="C3" s="12" t="s">
        <v>177</v>
      </c>
      <c r="D3" s="12">
        <v>46.4</v>
      </c>
      <c r="E3" s="12">
        <v>46.4</v>
      </c>
      <c r="F3">
        <v>0.92100000000000004</v>
      </c>
    </row>
    <row r="4" spans="1:6" x14ac:dyDescent="0.25">
      <c r="A4" s="12" t="s">
        <v>75</v>
      </c>
      <c r="B4" s="12" t="s">
        <v>87</v>
      </c>
      <c r="C4" s="12" t="s">
        <v>178</v>
      </c>
      <c r="D4" s="12">
        <v>7.6179104477611936</v>
      </c>
      <c r="E4" s="12">
        <v>7.6179104477611936</v>
      </c>
      <c r="F4">
        <v>0.27400000000000002</v>
      </c>
    </row>
    <row r="5" spans="1:6" x14ac:dyDescent="0.25">
      <c r="A5" s="12" t="s">
        <v>75</v>
      </c>
      <c r="B5" s="12" t="s">
        <v>87</v>
      </c>
      <c r="C5" s="12" t="s">
        <v>138</v>
      </c>
      <c r="D5" s="12">
        <v>0.62328358208955215</v>
      </c>
      <c r="E5" s="12">
        <v>0.62328358208955215</v>
      </c>
      <c r="F5">
        <v>0.97</v>
      </c>
    </row>
    <row r="6" spans="1:6" x14ac:dyDescent="0.25">
      <c r="A6" s="12" t="s">
        <v>75</v>
      </c>
      <c r="B6" s="12" t="s">
        <v>86</v>
      </c>
      <c r="C6" s="12" t="s">
        <v>179</v>
      </c>
      <c r="D6" s="12">
        <v>2.0776119402985072E-2</v>
      </c>
      <c r="E6" s="12">
        <v>2.0776119402985072E-2</v>
      </c>
      <c r="F6">
        <v>0.68100000000000005</v>
      </c>
    </row>
    <row r="7" spans="1:6" x14ac:dyDescent="0.25">
      <c r="A7" s="12" t="s">
        <v>75</v>
      </c>
      <c r="B7" s="12" t="s">
        <v>108</v>
      </c>
      <c r="C7" s="12" t="s">
        <v>180</v>
      </c>
      <c r="D7" s="12">
        <v>3.047164179104477</v>
      </c>
      <c r="E7" s="12">
        <v>3.047164179104477</v>
      </c>
      <c r="F7">
        <v>0.88900000000000001</v>
      </c>
    </row>
    <row r="8" spans="1:6" x14ac:dyDescent="0.25">
      <c r="A8" s="12" t="s">
        <v>75</v>
      </c>
      <c r="B8" s="12" t="s">
        <v>86</v>
      </c>
      <c r="C8" s="12" t="s">
        <v>136</v>
      </c>
      <c r="D8" s="12">
        <v>0.20776119402985074</v>
      </c>
      <c r="E8" s="12">
        <v>0.20776119402985074</v>
      </c>
      <c r="F8">
        <v>0.1</v>
      </c>
    </row>
    <row r="9" spans="1:6" x14ac:dyDescent="0.25">
      <c r="A9" s="12" t="s">
        <v>76</v>
      </c>
      <c r="B9" s="12" t="s">
        <v>120</v>
      </c>
      <c r="C9" s="12" t="s">
        <v>116</v>
      </c>
      <c r="D9" s="12">
        <v>15</v>
      </c>
      <c r="E9" s="12">
        <v>15</v>
      </c>
      <c r="F9" s="9">
        <v>0</v>
      </c>
    </row>
    <row r="10" spans="1:6" x14ac:dyDescent="0.25">
      <c r="A10" s="12" t="s">
        <v>76</v>
      </c>
      <c r="B10" s="12" t="s">
        <v>121</v>
      </c>
      <c r="C10" s="12" t="s">
        <v>118</v>
      </c>
      <c r="D10" s="12">
        <v>180</v>
      </c>
      <c r="E10" s="12">
        <v>180</v>
      </c>
      <c r="F10" s="9">
        <v>0.95</v>
      </c>
    </row>
    <row r="11" spans="1:6" x14ac:dyDescent="0.25">
      <c r="A11" s="12" t="s">
        <v>76</v>
      </c>
      <c r="B11" s="12" t="s">
        <v>122</v>
      </c>
      <c r="C11" s="12" t="s">
        <v>136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122</v>
      </c>
      <c r="C12" s="12" t="s">
        <v>137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122</v>
      </c>
      <c r="C13" s="12" t="s">
        <v>138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122</v>
      </c>
      <c r="C14" s="12" t="s">
        <v>139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122</v>
      </c>
      <c r="C15" s="12" t="s">
        <v>140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121</v>
      </c>
      <c r="C16" s="12" t="s">
        <v>141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121</v>
      </c>
      <c r="C17" s="12" t="s">
        <v>142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122</v>
      </c>
      <c r="C18" s="12" t="s">
        <v>143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122</v>
      </c>
      <c r="C19" s="12" t="s">
        <v>144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122</v>
      </c>
      <c r="C20" s="12" t="s">
        <v>145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122</v>
      </c>
      <c r="C21" s="12" t="s">
        <v>146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122</v>
      </c>
      <c r="C22" s="12" t="s">
        <v>147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122</v>
      </c>
      <c r="C23" s="12" t="s">
        <v>148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122</v>
      </c>
      <c r="C24" s="12" t="s">
        <v>149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122</v>
      </c>
      <c r="C25" s="12" t="s">
        <v>150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124</v>
      </c>
      <c r="C26" s="12" t="s">
        <v>117</v>
      </c>
      <c r="D26" s="12">
        <v>30</v>
      </c>
      <c r="E26" s="12">
        <v>30</v>
      </c>
      <c r="F26" s="9">
        <v>0</v>
      </c>
    </row>
    <row r="27" spans="1:6" x14ac:dyDescent="0.25">
      <c r="A27" s="12" t="s">
        <v>77</v>
      </c>
      <c r="B27" s="12" t="s">
        <v>125</v>
      </c>
      <c r="C27" s="12" t="s">
        <v>119</v>
      </c>
      <c r="D27" s="12">
        <v>250</v>
      </c>
      <c r="E27" s="12">
        <v>250</v>
      </c>
      <c r="F27" s="9">
        <v>0.95</v>
      </c>
    </row>
    <row r="28" spans="1:6" x14ac:dyDescent="0.25">
      <c r="A28" s="12" t="s">
        <v>77</v>
      </c>
      <c r="B28" s="12" t="s">
        <v>126</v>
      </c>
      <c r="C28" s="12" t="s">
        <v>136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126</v>
      </c>
      <c r="C29" s="12" t="s">
        <v>151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126</v>
      </c>
      <c r="C30" s="12" t="s">
        <v>137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126</v>
      </c>
      <c r="C31" s="12" t="s">
        <v>138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126</v>
      </c>
      <c r="C32" s="12" t="s">
        <v>139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126</v>
      </c>
      <c r="C33" s="12" t="s">
        <v>140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125</v>
      </c>
      <c r="C34" s="12" t="s">
        <v>141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125</v>
      </c>
      <c r="C35" s="12" t="s">
        <v>142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126</v>
      </c>
      <c r="C36" s="12" t="s">
        <v>143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126</v>
      </c>
      <c r="C37" s="12" t="s">
        <v>152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126</v>
      </c>
      <c r="C38" s="12" t="s">
        <v>144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126</v>
      </c>
      <c r="C39" s="12" t="s">
        <v>145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126</v>
      </c>
      <c r="C40" s="12" t="s">
        <v>146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126</v>
      </c>
      <c r="C41" s="12" t="s">
        <v>147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126</v>
      </c>
      <c r="C42" s="12" t="s">
        <v>148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126</v>
      </c>
      <c r="C43" s="12" t="s">
        <v>149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126</v>
      </c>
      <c r="C44" s="12" t="s">
        <v>150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113</v>
      </c>
      <c r="C45" s="19" t="s">
        <v>142</v>
      </c>
      <c r="D45">
        <v>0</v>
      </c>
      <c r="E45">
        <v>0</v>
      </c>
      <c r="F45">
        <v>0</v>
      </c>
    </row>
    <row r="46" spans="1:6" x14ac:dyDescent="0.25">
      <c r="A46" t="s">
        <v>88</v>
      </c>
      <c r="B46" t="s">
        <v>113</v>
      </c>
      <c r="C46" s="18" t="s">
        <v>137</v>
      </c>
      <c r="D46">
        <v>0</v>
      </c>
      <c r="E46">
        <v>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D69BF-5451-472F-B8C8-C2D651A5BC41}">
  <dimension ref="A1:K5"/>
  <sheetViews>
    <sheetView workbookViewId="0">
      <selection activeCell="E4" sqref="E4"/>
    </sheetView>
  </sheetViews>
  <sheetFormatPr baseColWidth="10" defaultRowHeight="15" x14ac:dyDescent="0.25"/>
  <sheetData>
    <row r="1" spans="1:11" x14ac:dyDescent="0.25">
      <c r="A1" t="s">
        <v>90</v>
      </c>
      <c r="B1" t="s">
        <v>82</v>
      </c>
      <c r="C1" t="s">
        <v>193</v>
      </c>
      <c r="D1" t="s">
        <v>112</v>
      </c>
      <c r="E1" t="s">
        <v>194</v>
      </c>
      <c r="F1" t="s">
        <v>191</v>
      </c>
      <c r="G1" t="s">
        <v>195</v>
      </c>
      <c r="H1" t="s">
        <v>196</v>
      </c>
      <c r="I1" t="s">
        <v>192</v>
      </c>
      <c r="J1" t="s">
        <v>197</v>
      </c>
      <c r="K1" t="s">
        <v>198</v>
      </c>
    </row>
    <row r="2" spans="1:11" x14ac:dyDescent="0.25">
      <c r="A2" t="s">
        <v>16</v>
      </c>
      <c r="B2" t="s">
        <v>76</v>
      </c>
      <c r="C2">
        <v>0</v>
      </c>
      <c r="D2">
        <v>0</v>
      </c>
      <c r="E2">
        <v>0</v>
      </c>
      <c r="F2">
        <v>1687.77</v>
      </c>
      <c r="G2">
        <v>450</v>
      </c>
      <c r="H2">
        <v>5776</v>
      </c>
      <c r="I2">
        <v>450</v>
      </c>
      <c r="J2">
        <v>0</v>
      </c>
      <c r="K2">
        <v>245</v>
      </c>
    </row>
    <row r="3" spans="1:11" x14ac:dyDescent="0.25">
      <c r="A3" t="s">
        <v>16</v>
      </c>
      <c r="B3" t="s">
        <v>77</v>
      </c>
      <c r="C3">
        <v>0</v>
      </c>
      <c r="D3">
        <v>0</v>
      </c>
      <c r="E3">
        <v>0</v>
      </c>
      <c r="F3">
        <v>1687.77</v>
      </c>
      <c r="G3">
        <v>450</v>
      </c>
      <c r="H3">
        <v>5776</v>
      </c>
      <c r="I3">
        <v>450</v>
      </c>
      <c r="J3">
        <v>0</v>
      </c>
      <c r="K3">
        <v>245</v>
      </c>
    </row>
    <row r="4" spans="1:11" x14ac:dyDescent="0.25">
      <c r="A4" t="s">
        <v>16</v>
      </c>
      <c r="B4" t="s">
        <v>75</v>
      </c>
      <c r="C4">
        <v>365.87143333333336</v>
      </c>
      <c r="D4">
        <v>580.25940740740748</v>
      </c>
      <c r="E4">
        <v>165.14292592592594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16</v>
      </c>
      <c r="B5" t="s">
        <v>88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FFD33-43EA-4828-A0BA-4DF40CC0ECAB}">
  <dimension ref="A1:I26"/>
  <sheetViews>
    <sheetView workbookViewId="0">
      <selection activeCell="H26" sqref="H26"/>
    </sheetView>
  </sheetViews>
  <sheetFormatPr baseColWidth="10" defaultRowHeight="15" x14ac:dyDescent="0.25"/>
  <cols>
    <col min="1" max="1" width="14" customWidth="1"/>
    <col min="2" max="2" width="16.7109375" customWidth="1"/>
  </cols>
  <sheetData>
    <row r="1" spans="1:9" x14ac:dyDescent="0.25">
      <c r="A1" t="s">
        <v>181</v>
      </c>
      <c r="B1" t="s">
        <v>182</v>
      </c>
      <c r="C1" t="s">
        <v>183</v>
      </c>
      <c r="D1" t="s">
        <v>184</v>
      </c>
      <c r="E1" t="s">
        <v>185</v>
      </c>
      <c r="F1" t="s">
        <v>186</v>
      </c>
      <c r="G1" t="s">
        <v>187</v>
      </c>
      <c r="H1" t="s">
        <v>188</v>
      </c>
      <c r="I1" t="s">
        <v>189</v>
      </c>
    </row>
    <row r="2" spans="1:9" x14ac:dyDescent="0.25">
      <c r="A2" t="s">
        <v>136</v>
      </c>
      <c r="B2">
        <v>227523.06210000001</v>
      </c>
      <c r="C2">
        <v>279311.24800000002</v>
      </c>
      <c r="D2">
        <v>432218.52439999999</v>
      </c>
      <c r="E2">
        <v>554128.58270000003</v>
      </c>
      <c r="F2">
        <v>889333.39599999995</v>
      </c>
      <c r="G2" s="12">
        <v>1800</v>
      </c>
      <c r="H2">
        <f>SUM(G2*1.25)</f>
        <v>2250</v>
      </c>
      <c r="I2">
        <f>SUM(H2*1.5)</f>
        <v>3375</v>
      </c>
    </row>
    <row r="3" spans="1:9" x14ac:dyDescent="0.25">
      <c r="A3" t="s">
        <v>177</v>
      </c>
      <c r="B3">
        <v>1090137.72</v>
      </c>
      <c r="C3">
        <v>1112986.007</v>
      </c>
      <c r="D3">
        <v>1204836.4110000001</v>
      </c>
      <c r="E3">
        <v>2290046.6850000001</v>
      </c>
      <c r="F3">
        <v>2727549.7540000002</v>
      </c>
      <c r="G3">
        <v>360</v>
      </c>
      <c r="H3">
        <f t="shared" ref="H3:H26" si="0">SUM(G3*1.25)</f>
        <v>450</v>
      </c>
      <c r="I3">
        <f t="shared" ref="I3:I26" si="1">SUM(H3*1.5)</f>
        <v>675</v>
      </c>
    </row>
    <row r="4" spans="1:9" x14ac:dyDescent="0.25">
      <c r="A4" t="s">
        <v>178</v>
      </c>
      <c r="B4">
        <v>189432.22750000001</v>
      </c>
      <c r="C4">
        <v>225357.38260000001</v>
      </c>
      <c r="D4">
        <v>225623.56940000001</v>
      </c>
      <c r="E4">
        <v>467857.22529999999</v>
      </c>
      <c r="F4">
        <v>552887.05330000003</v>
      </c>
      <c r="G4">
        <v>1760</v>
      </c>
      <c r="H4">
        <f t="shared" si="0"/>
        <v>2200</v>
      </c>
      <c r="I4">
        <f t="shared" si="1"/>
        <v>3300</v>
      </c>
    </row>
    <row r="5" spans="1:9" x14ac:dyDescent="0.25">
      <c r="A5" t="s">
        <v>138</v>
      </c>
      <c r="B5">
        <v>94712.809810000006</v>
      </c>
      <c r="C5">
        <v>217018.28899999999</v>
      </c>
      <c r="D5">
        <v>349364.5172</v>
      </c>
      <c r="E5">
        <v>496783.84019999998</v>
      </c>
      <c r="F5">
        <v>845312.14210000006</v>
      </c>
      <c r="G5">
        <v>4500</v>
      </c>
      <c r="H5">
        <f t="shared" si="0"/>
        <v>5625</v>
      </c>
      <c r="I5">
        <f t="shared" si="1"/>
        <v>8437.5</v>
      </c>
    </row>
    <row r="6" spans="1:9" x14ac:dyDescent="0.25">
      <c r="A6" t="s">
        <v>179</v>
      </c>
      <c r="B6">
        <v>541.22898280000004</v>
      </c>
      <c r="C6">
        <v>467.06077520000002</v>
      </c>
      <c r="D6">
        <v>331.36331389999998</v>
      </c>
      <c r="E6">
        <v>961.01026760000002</v>
      </c>
      <c r="F6">
        <v>750.15157020000004</v>
      </c>
      <c r="G6">
        <v>2500000</v>
      </c>
      <c r="H6">
        <f t="shared" si="0"/>
        <v>3125000</v>
      </c>
      <c r="I6">
        <f t="shared" si="1"/>
        <v>4687500</v>
      </c>
    </row>
    <row r="7" spans="1:9" x14ac:dyDescent="0.25">
      <c r="A7" t="s">
        <v>180</v>
      </c>
      <c r="B7">
        <v>58452.73014</v>
      </c>
      <c r="C7">
        <v>50442.563730000002</v>
      </c>
      <c r="D7">
        <v>35787.2379</v>
      </c>
      <c r="E7">
        <v>103789.10890000001</v>
      </c>
      <c r="F7">
        <v>81016.369579999999</v>
      </c>
      <c r="G7">
        <v>2484</v>
      </c>
      <c r="H7">
        <f t="shared" si="0"/>
        <v>3105</v>
      </c>
      <c r="I7">
        <f t="shared" si="1"/>
        <v>4657.5</v>
      </c>
    </row>
    <row r="8" spans="1:9" x14ac:dyDescent="0.25">
      <c r="A8" t="s">
        <v>137</v>
      </c>
      <c r="B8">
        <v>143</v>
      </c>
      <c r="C8">
        <v>3250</v>
      </c>
      <c r="D8">
        <v>8707</v>
      </c>
      <c r="E8">
        <v>4432</v>
      </c>
      <c r="F8">
        <v>11577</v>
      </c>
      <c r="G8" s="12">
        <v>34000</v>
      </c>
      <c r="H8">
        <f t="shared" si="0"/>
        <v>42500</v>
      </c>
      <c r="I8">
        <f t="shared" si="1"/>
        <v>63750</v>
      </c>
    </row>
    <row r="9" spans="1:9" x14ac:dyDescent="0.25">
      <c r="A9" t="s">
        <v>139</v>
      </c>
      <c r="B9">
        <v>57.291095110000001</v>
      </c>
      <c r="C9">
        <v>87.376791519999998</v>
      </c>
      <c r="D9">
        <v>47.305653479999997</v>
      </c>
      <c r="E9">
        <v>249.77109530000001</v>
      </c>
      <c r="F9">
        <v>296.49287409999999</v>
      </c>
      <c r="G9" s="12">
        <v>350000</v>
      </c>
      <c r="H9">
        <f t="shared" si="0"/>
        <v>437500</v>
      </c>
      <c r="I9">
        <f t="shared" si="1"/>
        <v>656250</v>
      </c>
    </row>
    <row r="10" spans="1:9" x14ac:dyDescent="0.25">
      <c r="A10" t="s">
        <v>140</v>
      </c>
      <c r="B10">
        <v>3.2587681910000001</v>
      </c>
      <c r="C10">
        <v>2.8121975099999998</v>
      </c>
      <c r="D10">
        <v>40.396869780000003</v>
      </c>
      <c r="E10">
        <v>5.7862933999999999</v>
      </c>
      <c r="F10">
        <v>91.451811419999999</v>
      </c>
      <c r="G10" s="12">
        <v>450000</v>
      </c>
      <c r="H10">
        <f t="shared" si="0"/>
        <v>562500</v>
      </c>
      <c r="I10">
        <f t="shared" si="1"/>
        <v>843750</v>
      </c>
    </row>
    <row r="11" spans="1:9" x14ac:dyDescent="0.25">
      <c r="A11" t="s">
        <v>141</v>
      </c>
      <c r="B11">
        <v>1068</v>
      </c>
      <c r="C11">
        <v>20954</v>
      </c>
      <c r="D11">
        <v>102282</v>
      </c>
      <c r="E11">
        <v>33053</v>
      </c>
      <c r="F11">
        <v>174819</v>
      </c>
      <c r="G11" s="21">
        <v>1200</v>
      </c>
      <c r="H11">
        <f t="shared" si="0"/>
        <v>1500</v>
      </c>
      <c r="I11">
        <f t="shared" si="1"/>
        <v>2250</v>
      </c>
    </row>
    <row r="12" spans="1:9" x14ac:dyDescent="0.25">
      <c r="A12" t="s">
        <v>142</v>
      </c>
      <c r="B12">
        <v>133</v>
      </c>
      <c r="C12">
        <v>2551</v>
      </c>
      <c r="D12">
        <v>12146</v>
      </c>
      <c r="E12">
        <v>3912</v>
      </c>
      <c r="F12">
        <v>20052</v>
      </c>
      <c r="G12" s="21">
        <v>5000</v>
      </c>
      <c r="H12">
        <f t="shared" si="0"/>
        <v>6250</v>
      </c>
      <c r="I12">
        <f t="shared" si="1"/>
        <v>9375</v>
      </c>
    </row>
    <row r="13" spans="1:9" x14ac:dyDescent="0.25">
      <c r="A13" t="s">
        <v>143</v>
      </c>
      <c r="B13">
        <v>9206.9589369999994</v>
      </c>
      <c r="C13">
        <v>19396.688719999998</v>
      </c>
      <c r="D13">
        <v>25205.330580000002</v>
      </c>
      <c r="E13">
        <v>37491.534330000002</v>
      </c>
      <c r="F13">
        <v>54340.912830000001</v>
      </c>
      <c r="G13">
        <v>1700</v>
      </c>
      <c r="H13">
        <f t="shared" si="0"/>
        <v>2125</v>
      </c>
      <c r="I13">
        <f t="shared" si="1"/>
        <v>3187.5</v>
      </c>
    </row>
    <row r="14" spans="1:9" x14ac:dyDescent="0.25">
      <c r="A14" t="s">
        <v>144</v>
      </c>
      <c r="B14">
        <v>512.35706370000003</v>
      </c>
      <c r="C14">
        <v>760.3329172</v>
      </c>
      <c r="D14">
        <v>397.0063877</v>
      </c>
      <c r="E14">
        <v>2300.233115</v>
      </c>
      <c r="F14">
        <v>2870.991579</v>
      </c>
      <c r="G14">
        <v>46000</v>
      </c>
      <c r="H14">
        <f t="shared" si="0"/>
        <v>57500</v>
      </c>
      <c r="I14">
        <f t="shared" si="1"/>
        <v>86250</v>
      </c>
    </row>
    <row r="15" spans="1:9" x14ac:dyDescent="0.25">
      <c r="A15" t="s">
        <v>145</v>
      </c>
      <c r="B15">
        <v>3774.5654399999999</v>
      </c>
      <c r="C15">
        <v>13908.377689999999</v>
      </c>
      <c r="D15">
        <v>41579.474730000002</v>
      </c>
      <c r="E15">
        <v>24201.743900000001</v>
      </c>
      <c r="F15">
        <v>86099.053589999996</v>
      </c>
      <c r="G15">
        <v>12500</v>
      </c>
      <c r="H15">
        <f t="shared" si="0"/>
        <v>15625</v>
      </c>
      <c r="I15">
        <f t="shared" si="1"/>
        <v>23437.5</v>
      </c>
    </row>
    <row r="16" spans="1:9" x14ac:dyDescent="0.25">
      <c r="A16" t="s">
        <v>146</v>
      </c>
      <c r="B16">
        <v>999999</v>
      </c>
      <c r="C16">
        <v>999999</v>
      </c>
      <c r="D16">
        <v>999999</v>
      </c>
      <c r="E16">
        <v>999999</v>
      </c>
      <c r="F16">
        <v>999999</v>
      </c>
      <c r="G16">
        <v>25760</v>
      </c>
      <c r="H16">
        <f t="shared" si="0"/>
        <v>32200</v>
      </c>
      <c r="I16">
        <f t="shared" si="1"/>
        <v>48300</v>
      </c>
    </row>
    <row r="17" spans="1:9" x14ac:dyDescent="0.25">
      <c r="A17" t="s">
        <v>147</v>
      </c>
      <c r="B17">
        <v>83.438261490000002</v>
      </c>
      <c r="C17">
        <v>123.0136218</v>
      </c>
      <c r="D17">
        <v>62.526116950000002</v>
      </c>
      <c r="E17">
        <v>387.3364694</v>
      </c>
      <c r="F17">
        <v>510.3282446</v>
      </c>
      <c r="G17">
        <v>46000</v>
      </c>
      <c r="H17">
        <f t="shared" si="0"/>
        <v>57500</v>
      </c>
      <c r="I17">
        <f t="shared" si="1"/>
        <v>86250</v>
      </c>
    </row>
    <row r="18" spans="1:9" x14ac:dyDescent="0.25">
      <c r="A18" t="s">
        <v>148</v>
      </c>
      <c r="B18">
        <v>19.865756780000002</v>
      </c>
      <c r="C18">
        <v>30.430805800000002</v>
      </c>
      <c r="D18">
        <v>16.17692212</v>
      </c>
      <c r="E18">
        <v>86.518572399999996</v>
      </c>
      <c r="F18">
        <v>104.7711334</v>
      </c>
      <c r="G18">
        <v>55000</v>
      </c>
      <c r="H18">
        <f t="shared" si="0"/>
        <v>68750</v>
      </c>
      <c r="I18">
        <f t="shared" si="1"/>
        <v>103125</v>
      </c>
    </row>
    <row r="19" spans="1:9" x14ac:dyDescent="0.25">
      <c r="A19" t="s">
        <v>149</v>
      </c>
      <c r="B19">
        <v>999999</v>
      </c>
      <c r="C19">
        <v>999999</v>
      </c>
      <c r="D19">
        <v>999999</v>
      </c>
      <c r="E19">
        <v>999999</v>
      </c>
      <c r="F19">
        <v>999999</v>
      </c>
      <c r="G19">
        <v>9</v>
      </c>
      <c r="H19">
        <f t="shared" si="0"/>
        <v>11.25</v>
      </c>
      <c r="I19">
        <f t="shared" si="1"/>
        <v>16.875</v>
      </c>
    </row>
    <row r="20" spans="1:9" x14ac:dyDescent="0.25">
      <c r="A20" t="s">
        <v>150</v>
      </c>
      <c r="B20">
        <v>999999</v>
      </c>
      <c r="C20">
        <v>999999</v>
      </c>
      <c r="D20">
        <v>999999</v>
      </c>
      <c r="E20">
        <v>999999</v>
      </c>
      <c r="F20">
        <v>999999</v>
      </c>
      <c r="G20">
        <v>10000</v>
      </c>
      <c r="H20">
        <f t="shared" si="0"/>
        <v>12500</v>
      </c>
      <c r="I20">
        <f t="shared" si="1"/>
        <v>18750</v>
      </c>
    </row>
    <row r="21" spans="1:9" x14ac:dyDescent="0.25">
      <c r="A21" t="s">
        <v>151</v>
      </c>
      <c r="B21">
        <v>13.73426465</v>
      </c>
      <c r="C21">
        <v>19.88186258</v>
      </c>
      <c r="D21">
        <v>9.9090187079999996</v>
      </c>
      <c r="E21">
        <v>64.503860279999998</v>
      </c>
      <c r="F21">
        <v>86.248962629999994</v>
      </c>
      <c r="G21">
        <v>320</v>
      </c>
      <c r="H21">
        <f t="shared" si="0"/>
        <v>400</v>
      </c>
      <c r="I21">
        <f t="shared" si="1"/>
        <v>600</v>
      </c>
    </row>
    <row r="22" spans="1:9" x14ac:dyDescent="0.25">
      <c r="A22" t="s">
        <v>152</v>
      </c>
      <c r="B22">
        <v>1038.9856569999999</v>
      </c>
      <c r="C22">
        <v>1791.928398</v>
      </c>
      <c r="D22">
        <v>1640.7727379999999</v>
      </c>
      <c r="E22">
        <v>3851.3136279999999</v>
      </c>
      <c r="F22">
        <v>4877.1720180000002</v>
      </c>
      <c r="G22">
        <v>20000</v>
      </c>
      <c r="H22">
        <f t="shared" si="0"/>
        <v>25000</v>
      </c>
      <c r="I22">
        <f t="shared" si="1"/>
        <v>37500</v>
      </c>
    </row>
    <row r="23" spans="1:9" x14ac:dyDescent="0.25">
      <c r="A23" t="s">
        <v>117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f t="shared" si="0"/>
        <v>1.25</v>
      </c>
      <c r="I23">
        <f t="shared" si="1"/>
        <v>1.875</v>
      </c>
    </row>
    <row r="24" spans="1:9" x14ac:dyDescent="0.25">
      <c r="A24" t="s">
        <v>116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f t="shared" si="0"/>
        <v>1.25</v>
      </c>
      <c r="I24">
        <f t="shared" si="1"/>
        <v>1.875</v>
      </c>
    </row>
    <row r="25" spans="1:9" x14ac:dyDescent="0.25">
      <c r="A25" t="s">
        <v>119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f t="shared" si="0"/>
        <v>1.25</v>
      </c>
      <c r="I25">
        <f t="shared" si="1"/>
        <v>1.875</v>
      </c>
    </row>
    <row r="26" spans="1:9" x14ac:dyDescent="0.25">
      <c r="A26" t="s">
        <v>118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f t="shared" si="0"/>
        <v>1.25</v>
      </c>
      <c r="I26">
        <f t="shared" si="1"/>
        <v>1.875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G2" sqref="G2"/>
    </sheetView>
  </sheetViews>
  <sheetFormatPr baseColWidth="10" defaultRowHeight="15" x14ac:dyDescent="0.25"/>
  <sheetData>
    <row r="1" spans="1:26" x14ac:dyDescent="0.25">
      <c r="A1" t="s">
        <v>15</v>
      </c>
      <c r="B1" t="s">
        <v>136</v>
      </c>
      <c r="C1" t="s">
        <v>173</v>
      </c>
      <c r="D1" t="s">
        <v>174</v>
      </c>
      <c r="E1" t="s">
        <v>156</v>
      </c>
      <c r="F1" t="s">
        <v>175</v>
      </c>
      <c r="G1" t="s">
        <v>176</v>
      </c>
      <c r="H1" t="s">
        <v>153</v>
      </c>
      <c r="I1" t="s">
        <v>154</v>
      </c>
      <c r="J1" t="s">
        <v>155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15</v>
      </c>
      <c r="B1" t="s">
        <v>136</v>
      </c>
      <c r="C1" t="s">
        <v>173</v>
      </c>
      <c r="D1" t="s">
        <v>174</v>
      </c>
      <c r="E1" t="s">
        <v>156</v>
      </c>
      <c r="F1" t="s">
        <v>175</v>
      </c>
      <c r="G1" t="s">
        <v>176</v>
      </c>
      <c r="H1" t="s">
        <v>153</v>
      </c>
      <c r="I1" t="s">
        <v>154</v>
      </c>
      <c r="J1" t="s">
        <v>155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F39" sqref="F39"/>
    </sheetView>
  </sheetViews>
  <sheetFormatPr baseColWidth="10" defaultRowHeight="15" x14ac:dyDescent="0.25"/>
  <sheetData>
    <row r="1" spans="1:26" x14ac:dyDescent="0.25">
      <c r="A1" t="s">
        <v>15</v>
      </c>
      <c r="B1" t="s">
        <v>136</v>
      </c>
      <c r="C1" t="s">
        <v>173</v>
      </c>
      <c r="D1" t="s">
        <v>174</v>
      </c>
      <c r="E1" t="s">
        <v>156</v>
      </c>
      <c r="F1" t="s">
        <v>175</v>
      </c>
      <c r="G1" t="s">
        <v>176</v>
      </c>
      <c r="H1" t="s">
        <v>153</v>
      </c>
      <c r="I1" t="s">
        <v>154</v>
      </c>
      <c r="J1" t="s">
        <v>155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D43" sqref="D43"/>
    </sheetView>
  </sheetViews>
  <sheetFormatPr baseColWidth="10" defaultRowHeight="15" x14ac:dyDescent="0.25"/>
  <sheetData>
    <row r="1" spans="1:26" x14ac:dyDescent="0.25">
      <c r="A1" t="s">
        <v>15</v>
      </c>
      <c r="B1" t="s">
        <v>136</v>
      </c>
      <c r="C1" t="s">
        <v>173</v>
      </c>
      <c r="D1" t="s">
        <v>174</v>
      </c>
      <c r="E1" t="s">
        <v>156</v>
      </c>
      <c r="F1" t="s">
        <v>175</v>
      </c>
      <c r="G1" t="s">
        <v>176</v>
      </c>
      <c r="H1" t="s">
        <v>153</v>
      </c>
      <c r="I1" t="s">
        <v>154</v>
      </c>
      <c r="J1" t="s">
        <v>155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</row>
    <row r="2" spans="1:26" x14ac:dyDescent="0.25">
      <c r="A2" s="14">
        <v>2024</v>
      </c>
      <c r="B2">
        <v>3.1422977119900275E-2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0.14503283901238367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1.0031552557202004E-2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3.1422977119900275E-2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0.14503283901238367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1.0031552557202004E-2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3.1422977119900275E-2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0.14503283901238367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1.0031552557202004E-2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3.1422977119900275E-2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0.14503283901238367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1.0031552557202004E-2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3.1422977119900275E-2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0.14503283901238367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1.0031552557202004E-2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3.1422977119900275E-2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0.14503283901238367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1.0031552557202004E-2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3.1422977119900275E-2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0.14503283901238367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1.0031552557202004E-2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3.1422977119900275E-2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0.14503283901238367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1.0031552557202004E-2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3.1422977119900275E-2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0.14503283901238367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1.0031552557202004E-2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3.1422977119900275E-2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0.14503283901238367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1.0031552557202004E-2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3.1422977119900275E-2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0.14503283901238367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1.0031552557202004E-2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3.1422977119900275E-2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0.14503283901238367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1.0031552557202004E-2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3.1422977119900275E-2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0.14503283901238367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1.0031552557202004E-2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3.1422977119900275E-2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0.14503283901238367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1.0031552557202004E-2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3.1422977119900275E-2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0.14503283901238367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1.0031552557202004E-2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3.1422977119900275E-2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0.14503283901238367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1.0031552557202004E-2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3.1422977119900275E-2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0.14503283901238367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1.0031552557202004E-2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3.1422977119900275E-2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0.14503283901238367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1.0031552557202004E-2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3.1422977119900275E-2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0.14503283901238367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1.0031552557202004E-2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3.1422977119900275E-2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0.14503283901238367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1.0031552557202004E-2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3.1422977119900275E-2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0.14503283901238367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1.0031552557202004E-2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3.1422977119900275E-2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0.14503283901238367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1.0031552557202004E-2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3.1422977119900275E-2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0.14503283901238367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1.0031552557202004E-2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3.1422977119900275E-2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0.14503283901238367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1.0031552557202004E-2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3.1422977119900275E-2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0.14503283901238367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1.0031552557202004E-2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3.1422977119900275E-2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0.14503283901238367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1.0031552557202004E-2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3.1422977119900275E-2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0.14503283901238367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1.0031552557202004E-2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15</v>
      </c>
      <c r="B1" t="s">
        <v>136</v>
      </c>
      <c r="C1" t="s">
        <v>173</v>
      </c>
      <c r="D1" t="s">
        <v>174</v>
      </c>
      <c r="E1" t="s">
        <v>156</v>
      </c>
      <c r="F1" t="s">
        <v>175</v>
      </c>
      <c r="G1" t="s">
        <v>176</v>
      </c>
      <c r="H1" t="s">
        <v>153</v>
      </c>
      <c r="I1" t="s">
        <v>154</v>
      </c>
      <c r="J1" t="s">
        <v>155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152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113</v>
      </c>
      <c r="E5" t="s">
        <v>92</v>
      </c>
    </row>
    <row r="6" spans="1:5" x14ac:dyDescent="0.25">
      <c r="A6" t="s">
        <v>76</v>
      </c>
      <c r="B6" t="s">
        <v>123</v>
      </c>
      <c r="C6" t="s">
        <v>76</v>
      </c>
      <c r="D6" t="s">
        <v>120</v>
      </c>
      <c r="E6" t="s">
        <v>92</v>
      </c>
    </row>
    <row r="7" spans="1:5" x14ac:dyDescent="0.25">
      <c r="A7" t="s">
        <v>76</v>
      </c>
      <c r="B7" t="s">
        <v>123</v>
      </c>
      <c r="C7" t="s">
        <v>76</v>
      </c>
      <c r="D7" t="s">
        <v>121</v>
      </c>
      <c r="E7" t="s">
        <v>92</v>
      </c>
    </row>
    <row r="8" spans="1:5" x14ac:dyDescent="0.25">
      <c r="A8" t="s">
        <v>76</v>
      </c>
      <c r="B8" t="s">
        <v>123</v>
      </c>
      <c r="C8" t="s">
        <v>76</v>
      </c>
      <c r="D8" t="s">
        <v>122</v>
      </c>
      <c r="E8" t="s">
        <v>92</v>
      </c>
    </row>
    <row r="9" spans="1:5" x14ac:dyDescent="0.25">
      <c r="A9" t="s">
        <v>77</v>
      </c>
      <c r="B9" t="s">
        <v>127</v>
      </c>
      <c r="C9" t="s">
        <v>77</v>
      </c>
      <c r="D9" t="s">
        <v>124</v>
      </c>
      <c r="E9" t="s">
        <v>92</v>
      </c>
    </row>
    <row r="10" spans="1:5" x14ac:dyDescent="0.25">
      <c r="A10" t="s">
        <v>77</v>
      </c>
      <c r="B10" t="s">
        <v>127</v>
      </c>
      <c r="C10" t="s">
        <v>77</v>
      </c>
      <c r="D10" t="s">
        <v>125</v>
      </c>
      <c r="E10" t="s">
        <v>92</v>
      </c>
    </row>
    <row r="11" spans="1:5" x14ac:dyDescent="0.25">
      <c r="A11" t="s">
        <v>77</v>
      </c>
      <c r="B11" t="s">
        <v>127</v>
      </c>
      <c r="C11" t="s">
        <v>77</v>
      </c>
      <c r="D11" t="s">
        <v>126</v>
      </c>
      <c r="E11" t="s">
        <v>92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H12" sqref="H12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115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120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121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122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123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124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125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126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127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113</v>
      </c>
      <c r="E14">
        <v>1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M42" sqref="M42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128</v>
      </c>
      <c r="G1" t="s">
        <v>129</v>
      </c>
      <c r="H1" t="s">
        <v>130</v>
      </c>
      <c r="I1" t="s">
        <v>131</v>
      </c>
      <c r="J1" t="s">
        <v>132</v>
      </c>
      <c r="K1" t="s">
        <v>133</v>
      </c>
      <c r="L1" t="s">
        <v>134</v>
      </c>
      <c r="M1" t="s">
        <v>135</v>
      </c>
      <c r="N1" t="s">
        <v>114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0</v>
      </c>
      <c r="G2">
        <v>0</v>
      </c>
      <c r="H2">
        <v>382762.9</v>
      </c>
      <c r="I2">
        <v>679793.6</v>
      </c>
      <c r="J2">
        <v>0</v>
      </c>
      <c r="K2">
        <v>0</v>
      </c>
      <c r="L2">
        <v>479917.1</v>
      </c>
      <c r="M2">
        <v>787018</v>
      </c>
      <c r="N2">
        <v>0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0</v>
      </c>
      <c r="G3">
        <v>0</v>
      </c>
      <c r="H3">
        <v>367452.38400000002</v>
      </c>
      <c r="I3">
        <v>652601.85599999991</v>
      </c>
      <c r="J3">
        <v>0</v>
      </c>
      <c r="K3">
        <v>0</v>
      </c>
      <c r="L3">
        <v>460720.41599999997</v>
      </c>
      <c r="M3">
        <v>755537.28</v>
      </c>
      <c r="N3">
        <v>0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0</v>
      </c>
      <c r="G4">
        <v>0</v>
      </c>
      <c r="H4">
        <v>352754.28863999998</v>
      </c>
      <c r="I4">
        <v>626497.78175999993</v>
      </c>
      <c r="J4">
        <v>0</v>
      </c>
      <c r="K4">
        <v>0</v>
      </c>
      <c r="L4">
        <v>442291.59935999993</v>
      </c>
      <c r="M4">
        <v>725315.78879999998</v>
      </c>
      <c r="N4">
        <v>0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0</v>
      </c>
      <c r="G5">
        <v>0</v>
      </c>
      <c r="H5">
        <v>338644.11709439999</v>
      </c>
      <c r="I5">
        <v>601437.87048959988</v>
      </c>
      <c r="J5">
        <v>0</v>
      </c>
      <c r="K5">
        <v>0</v>
      </c>
      <c r="L5">
        <v>424599.93538559991</v>
      </c>
      <c r="M5">
        <v>696303.15724799992</v>
      </c>
      <c r="N5">
        <v>0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0</v>
      </c>
      <c r="G6">
        <v>0</v>
      </c>
      <c r="H6">
        <v>325098.35241062398</v>
      </c>
      <c r="I6">
        <v>577380.35567001591</v>
      </c>
      <c r="J6">
        <v>0</v>
      </c>
      <c r="K6">
        <v>0</v>
      </c>
      <c r="L6">
        <v>407615.93797017587</v>
      </c>
      <c r="M6">
        <v>668451.03095807985</v>
      </c>
      <c r="N6">
        <v>0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0</v>
      </c>
      <c r="G7">
        <v>0</v>
      </c>
      <c r="H7">
        <v>312094.41831419902</v>
      </c>
      <c r="I7">
        <v>554285.14144321531</v>
      </c>
      <c r="J7">
        <v>0</v>
      </c>
      <c r="K7">
        <v>0</v>
      </c>
      <c r="L7">
        <v>391311.30045136885</v>
      </c>
      <c r="M7">
        <v>641712.98971975665</v>
      </c>
      <c r="N7">
        <v>0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0</v>
      </c>
      <c r="G8">
        <v>0</v>
      </c>
      <c r="H8">
        <v>299610.64158163103</v>
      </c>
      <c r="I8">
        <v>532113.73578548664</v>
      </c>
      <c r="J8">
        <v>0</v>
      </c>
      <c r="K8">
        <v>0</v>
      </c>
      <c r="L8">
        <v>375658.84843331407</v>
      </c>
      <c r="M8">
        <v>616044.47013096639</v>
      </c>
      <c r="N8">
        <v>0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0</v>
      </c>
      <c r="G9">
        <v>0</v>
      </c>
      <c r="H9">
        <v>287626.21591836581</v>
      </c>
      <c r="I9">
        <v>510829.18635406718</v>
      </c>
      <c r="J9">
        <v>0</v>
      </c>
      <c r="K9">
        <v>0</v>
      </c>
      <c r="L9">
        <v>360632.49449598149</v>
      </c>
      <c r="M9">
        <v>591402.69132572773</v>
      </c>
      <c r="N9">
        <v>0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0</v>
      </c>
      <c r="G10">
        <v>0</v>
      </c>
      <c r="H10">
        <v>276121.16728163115</v>
      </c>
      <c r="I10">
        <v>490396.01889990445</v>
      </c>
      <c r="J10">
        <v>0</v>
      </c>
      <c r="K10">
        <v>0</v>
      </c>
      <c r="L10">
        <v>346207.1947161422</v>
      </c>
      <c r="M10">
        <v>567746.58367269859</v>
      </c>
      <c r="N10">
        <v>0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0</v>
      </c>
      <c r="G11">
        <v>0</v>
      </c>
      <c r="H11">
        <v>265076.32059036591</v>
      </c>
      <c r="I11">
        <v>470780.17814390827</v>
      </c>
      <c r="J11">
        <v>0</v>
      </c>
      <c r="K11">
        <v>0</v>
      </c>
      <c r="L11">
        <v>332358.90692749649</v>
      </c>
      <c r="M11">
        <v>545036.72032579058</v>
      </c>
      <c r="N11">
        <v>0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0</v>
      </c>
      <c r="G12">
        <v>0</v>
      </c>
      <c r="H12">
        <v>254473.26776675126</v>
      </c>
      <c r="I12">
        <v>451948.9710181519</v>
      </c>
      <c r="J12">
        <v>0</v>
      </c>
      <c r="K12">
        <v>0</v>
      </c>
      <c r="L12">
        <v>319064.55065039662</v>
      </c>
      <c r="M12">
        <v>523235.25151275896</v>
      </c>
      <c r="N12">
        <v>0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0</v>
      </c>
      <c r="G13">
        <v>0</v>
      </c>
      <c r="H13">
        <v>244294.33705608119</v>
      </c>
      <c r="I13">
        <v>433871.01217742579</v>
      </c>
      <c r="J13">
        <v>0</v>
      </c>
      <c r="K13">
        <v>0</v>
      </c>
      <c r="L13">
        <v>306301.96862438077</v>
      </c>
      <c r="M13">
        <v>502305.84145224857</v>
      </c>
      <c r="N13">
        <v>0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0</v>
      </c>
      <c r="G14">
        <v>0</v>
      </c>
      <c r="H14">
        <v>234522.56357383792</v>
      </c>
      <c r="I14">
        <v>416516.17169032875</v>
      </c>
      <c r="J14">
        <v>0</v>
      </c>
      <c r="K14">
        <v>0</v>
      </c>
      <c r="L14">
        <v>294049.8898794055</v>
      </c>
      <c r="M14">
        <v>482213.60779415863</v>
      </c>
      <c r="N14">
        <v>0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0</v>
      </c>
      <c r="G15">
        <v>0</v>
      </c>
      <c r="H15">
        <v>225141.6610308844</v>
      </c>
      <c r="I15">
        <v>399855.52482271555</v>
      </c>
      <c r="J15">
        <v>0</v>
      </c>
      <c r="K15">
        <v>0</v>
      </c>
      <c r="L15">
        <v>282287.89428422926</v>
      </c>
      <c r="M15">
        <v>462925.06348239229</v>
      </c>
      <c r="N15">
        <v>0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0</v>
      </c>
      <c r="G16">
        <v>0</v>
      </c>
      <c r="H16">
        <v>216135.99458964902</v>
      </c>
      <c r="I16">
        <v>383861.30382980692</v>
      </c>
      <c r="J16">
        <v>0</v>
      </c>
      <c r="K16">
        <v>0</v>
      </c>
      <c r="L16">
        <v>270996.3785128601</v>
      </c>
      <c r="M16">
        <v>444408.06094309659</v>
      </c>
      <c r="N16">
        <v>0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0</v>
      </c>
      <c r="G17">
        <v>0</v>
      </c>
      <c r="H17">
        <v>207490.55480606307</v>
      </c>
      <c r="I17">
        <v>368506.85167661461</v>
      </c>
      <c r="J17">
        <v>0</v>
      </c>
      <c r="K17">
        <v>0</v>
      </c>
      <c r="L17">
        <v>260156.52337234569</v>
      </c>
      <c r="M17">
        <v>426631.73850537272</v>
      </c>
      <c r="N17">
        <v>0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0</v>
      </c>
      <c r="G18">
        <v>0</v>
      </c>
      <c r="H18">
        <v>199190.93261382054</v>
      </c>
      <c r="I18">
        <v>353766.57760955003</v>
      </c>
      <c r="J18">
        <v>0</v>
      </c>
      <c r="K18">
        <v>0</v>
      </c>
      <c r="L18">
        <v>249750.26243745186</v>
      </c>
      <c r="M18">
        <v>409566.46896515781</v>
      </c>
      <c r="N18">
        <v>0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0</v>
      </c>
      <c r="G19">
        <v>0</v>
      </c>
      <c r="H19">
        <v>191223.29530926771</v>
      </c>
      <c r="I19">
        <v>339615.91450516804</v>
      </c>
      <c r="J19">
        <v>0</v>
      </c>
      <c r="K19">
        <v>0</v>
      </c>
      <c r="L19">
        <v>239760.25193995377</v>
      </c>
      <c r="M19">
        <v>393183.81020655145</v>
      </c>
      <c r="N19">
        <v>0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0</v>
      </c>
      <c r="G20">
        <v>0</v>
      </c>
      <c r="H20">
        <v>183574.36349689699</v>
      </c>
      <c r="I20">
        <v>326031.27792496129</v>
      </c>
      <c r="J20">
        <v>0</v>
      </c>
      <c r="K20">
        <v>0</v>
      </c>
      <c r="L20">
        <v>230169.84186235562</v>
      </c>
      <c r="M20">
        <v>377456.45779828937</v>
      </c>
      <c r="N20">
        <v>0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0</v>
      </c>
      <c r="G21">
        <v>0</v>
      </c>
      <c r="H21">
        <v>176231.38895702109</v>
      </c>
      <c r="I21">
        <v>312990.02680796286</v>
      </c>
      <c r="J21">
        <v>0</v>
      </c>
      <c r="K21">
        <v>0</v>
      </c>
      <c r="L21">
        <v>220963.04818786139</v>
      </c>
      <c r="M21">
        <v>362358.1994863578</v>
      </c>
      <c r="N21">
        <v>0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0</v>
      </c>
      <c r="G22">
        <v>0</v>
      </c>
      <c r="H22">
        <v>169182.13339874023</v>
      </c>
      <c r="I22">
        <v>300470.42573564436</v>
      </c>
      <c r="J22">
        <v>0</v>
      </c>
      <c r="K22">
        <v>0</v>
      </c>
      <c r="L22">
        <v>212124.52626034693</v>
      </c>
      <c r="M22">
        <v>347863.8715069035</v>
      </c>
      <c r="N22">
        <v>0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0</v>
      </c>
      <c r="G23">
        <v>0</v>
      </c>
      <c r="H23">
        <v>162414.84806279061</v>
      </c>
      <c r="I23">
        <v>288451.6087062186</v>
      </c>
      <c r="J23">
        <v>0</v>
      </c>
      <c r="K23">
        <v>0</v>
      </c>
      <c r="L23">
        <v>203639.54520993304</v>
      </c>
      <c r="M23">
        <v>333949.31664662733</v>
      </c>
      <c r="N23">
        <v>0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0</v>
      </c>
      <c r="G24">
        <v>0</v>
      </c>
      <c r="H24">
        <v>155918.25414027899</v>
      </c>
      <c r="I24">
        <v>276913.54435796983</v>
      </c>
      <c r="J24">
        <v>0</v>
      </c>
      <c r="K24">
        <v>0</v>
      </c>
      <c r="L24">
        <v>195493.9634015357</v>
      </c>
      <c r="M24">
        <v>320591.34398076223</v>
      </c>
      <c r="N24">
        <v>0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0</v>
      </c>
      <c r="G25">
        <v>0</v>
      </c>
      <c r="H25">
        <v>149681.52397466783</v>
      </c>
      <c r="I25">
        <v>265837.00258365105</v>
      </c>
      <c r="J25">
        <v>0</v>
      </c>
      <c r="K25">
        <v>0</v>
      </c>
      <c r="L25">
        <v>187674.20486547425</v>
      </c>
      <c r="M25">
        <v>307767.69022153172</v>
      </c>
      <c r="N25">
        <v>0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0</v>
      </c>
      <c r="G26">
        <v>0</v>
      </c>
      <c r="H26">
        <v>143694.26301568112</v>
      </c>
      <c r="I26">
        <v>255203.52248030499</v>
      </c>
      <c r="J26">
        <v>0</v>
      </c>
      <c r="K26">
        <v>0</v>
      </c>
      <c r="L26">
        <v>180167.23667085529</v>
      </c>
      <c r="M26">
        <v>295456.98261267046</v>
      </c>
      <c r="N26">
        <v>0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0</v>
      </c>
      <c r="G27">
        <v>0</v>
      </c>
      <c r="H27">
        <v>137946.49249505388</v>
      </c>
      <c r="I27">
        <v>244995.38158109278</v>
      </c>
      <c r="J27">
        <v>0</v>
      </c>
      <c r="K27">
        <v>0</v>
      </c>
      <c r="L27">
        <v>172960.54720402107</v>
      </c>
      <c r="M27">
        <v>283638.70330816362</v>
      </c>
      <c r="N27">
        <v>0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0</v>
      </c>
      <c r="G28">
        <v>0</v>
      </c>
      <c r="H28">
        <v>132428.63279525173</v>
      </c>
      <c r="I28">
        <v>235195.56631784906</v>
      </c>
      <c r="J28">
        <v>0</v>
      </c>
      <c r="K28">
        <v>0</v>
      </c>
      <c r="L28">
        <v>166042.12531586023</v>
      </c>
      <c r="M28">
        <v>272293.15517583705</v>
      </c>
      <c r="N28">
        <v>0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Base</vt:lpstr>
      <vt:lpstr>cost_sheet</vt:lpstr>
      <vt:lpstr>locations</vt:lpstr>
      <vt:lpstr>loadfactors</vt:lpstr>
      <vt:lpstr>Technologies</vt:lpstr>
      <vt:lpstr>decommissioning</vt:lpstr>
      <vt:lpstr>dcr</vt:lpstr>
      <vt:lpstr>stocklvl</vt:lpstr>
      <vt:lpstr>installable_capacity</vt:lpstr>
      <vt:lpstr>gas_block</vt:lpstr>
      <vt:lpstr>Tech_Stage_Specs</vt:lpstr>
      <vt:lpstr>Material_Intensity</vt:lpstr>
      <vt:lpstr>Recycling_Costs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2026-10-26T15:54:23Z</dcterms:modified>
</cp:coreProperties>
</file>