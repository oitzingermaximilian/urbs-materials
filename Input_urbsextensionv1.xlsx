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urbs-materials/"/>
    </mc:Choice>
  </mc:AlternateContent>
  <xr:revisionPtr revIDLastSave="1046" documentId="13_ncr:1_{A1CEE875-B6E7-4616-ADB8-CAA4FD821F6B}" xr6:coauthVersionLast="47" xr6:coauthVersionMax="47" xr10:uidLastSave="{F2E9EC42-90D0-4AD4-8DF7-D51FEB1768A6}"/>
  <bookViews>
    <workbookView xWindow="-28920" yWindow="5115" windowWidth="29040" windowHeight="17520" firstSheet="9" activeTab="10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cr" sheetId="6" r:id="rId6"/>
    <sheet name="stocklvl" sheetId="7" r:id="rId7"/>
    <sheet name="installable_capacity" sheetId="3" r:id="rId8"/>
    <sheet name="gas_block" sheetId="13" r:id="rId9"/>
    <sheet name="Tech_Stage_Specs" sheetId="14" r:id="rId10"/>
    <sheet name="Material_Intensity" sheetId="15" r:id="rId11"/>
    <sheet name="mining_limit" sheetId="20" r:id="rId12"/>
    <sheet name="mining_cost" sheetId="21" r:id="rId13"/>
    <sheet name="import_cost_mining" sheetId="22" r:id="rId14"/>
    <sheet name="energy_transition_factor" sheetId="23" r:id="rId15"/>
    <sheet name="ore_metal_factor" sheetId="24" r:id="rId16"/>
    <sheet name="Component_Map" sheetId="18" r:id="rId17"/>
    <sheet name="Cost_Data" sheetId="16" r:id="rId18"/>
    <sheet name="Import_Cost_Stage" sheetId="19" r:id="rId19"/>
  </sheets>
  <definedNames>
    <definedName name="_xlnm._FilterDatabase" localSheetId="8" hidden="1">gas_block!$B$1:$B$109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3" l="1"/>
  <c r="C13" i="13" s="1"/>
  <c r="C17" i="13" s="1"/>
  <c r="C21" i="13" s="1"/>
  <c r="C25" i="13" s="1"/>
  <c r="C29" i="13" s="1"/>
  <c r="C33" i="13" s="1"/>
  <c r="C37" i="13" s="1"/>
  <c r="C41" i="13" s="1"/>
  <c r="C45" i="13" s="1"/>
  <c r="C49" i="13" s="1"/>
  <c r="C53" i="13" s="1"/>
  <c r="C57" i="13" s="1"/>
  <c r="C61" i="13" s="1"/>
  <c r="C65" i="13" s="1"/>
  <c r="C69" i="13" s="1"/>
  <c r="C73" i="13" s="1"/>
  <c r="C77" i="13" s="1"/>
  <c r="C81" i="13" s="1"/>
  <c r="C85" i="13" s="1"/>
  <c r="C89" i="13" s="1"/>
  <c r="C93" i="13" s="1"/>
  <c r="C97" i="13" s="1"/>
  <c r="C101" i="13" s="1"/>
  <c r="C105" i="13" s="1"/>
  <c r="C109" i="13" s="1"/>
</calcChain>
</file>

<file path=xl/sharedStrings.xml><?xml version="1.0" encoding="utf-8"?>
<sst xmlns="http://schemas.openxmlformats.org/spreadsheetml/2006/main" count="679" uniqueCount="187">
  <si>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</si>
  <si>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</si>
  <si>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</si>
  <si>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</si>
  <si>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</si>
  <si>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</si>
  <si>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</si>
  <si>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</si>
  <si>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</si>
  <si>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</si>
  <si>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</si>
  <si>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</si>
  <si>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</si>
  <si>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</si>
  <si>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</si>
  <si>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</si>
  <si>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</si>
  <si>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</si>
  <si>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</si>
  <si>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</si>
  <si>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</si>
  <si>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</si>
  <si>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</si>
  <si>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</si>
  <si>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</si>
  <si>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</si>
  <si>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</si>
  <si>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</si>
  <si>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</si>
  <si>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</si>
  <si>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</si>
  <si>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</si>
  <si>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</si>
  <si>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</si>
  <si>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</si>
  <si>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</si>
  <si>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</si>
  <si>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</si>
  <si>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</si>
  <si>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</si>
  <si>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</si>
  <si>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</si>
  <si>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</si>
  <si>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</si>
  <si>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</si>
  <si>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</si>
  <si>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</si>
  <si>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</si>
  <si>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</si>
  <si>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</si>
  <si>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</si>
  <si>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</si>
  <si>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</si>
  <si>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</si>
  <si>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</si>
  <si>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</si>
  <si>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</si>
  <si>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</si>
  <si>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</si>
  <si>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</si>
  <si>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block</t>
  </si>
  <si>
    <t>limit</t>
  </si>
  <si>
    <t>price</t>
  </si>
  <si>
    <t>oandm_EU27_solarPV</t>
  </si>
  <si>
    <t>oandm_EU27_windoff</t>
  </si>
  <si>
    <t>oandm_EU27_windon</t>
  </si>
  <si>
    <t>oandm_EU27_Batteries</t>
  </si>
  <si>
    <t>stf</t>
  </si>
  <si>
    <t>pipegas</t>
  </si>
  <si>
    <t>NZ_LNG</t>
  </si>
  <si>
    <t>NM_LNG</t>
  </si>
  <si>
    <t>WTF_LNG</t>
  </si>
  <si>
    <t>build_time_lag</t>
  </si>
  <si>
    <t>energy_needs</t>
  </si>
  <si>
    <t>is_final_stage</t>
  </si>
  <si>
    <t>solarPV</t>
  </si>
  <si>
    <t>windon</t>
  </si>
  <si>
    <t>windoff</t>
  </si>
  <si>
    <t xml:space="preserve">note </t>
  </si>
  <si>
    <t>finished</t>
  </si>
  <si>
    <t>host</t>
  </si>
  <si>
    <t>unique</t>
  </si>
  <si>
    <t>Technology</t>
  </si>
  <si>
    <t>Stage</t>
  </si>
  <si>
    <t>Material</t>
  </si>
  <si>
    <t>0.95</t>
  </si>
  <si>
    <t>Cell</t>
  </si>
  <si>
    <t>Module</t>
  </si>
  <si>
    <t>Glass</t>
  </si>
  <si>
    <t>Batteries</t>
  </si>
  <si>
    <t>Year</t>
  </si>
  <si>
    <t>Location</t>
  </si>
  <si>
    <t>Wafer</t>
  </si>
  <si>
    <t>1.0</t>
  </si>
  <si>
    <t>Assembly</t>
  </si>
  <si>
    <t>Cons_Tech</t>
  </si>
  <si>
    <t>Cons_Stage</t>
  </si>
  <si>
    <t>Input_Tech</t>
  </si>
  <si>
    <t>Input_Stage</t>
  </si>
  <si>
    <t>Ratio</t>
  </si>
  <si>
    <t>rec_efficiency</t>
  </si>
  <si>
    <t>intensity</t>
  </si>
  <si>
    <t>scrap_content</t>
  </si>
  <si>
    <t>capex_base</t>
  </si>
  <si>
    <t>opex_var_base</t>
  </si>
  <si>
    <t>init_cap</t>
  </si>
  <si>
    <t>solarPV_Wafer</t>
  </si>
  <si>
    <t>solarPV_Cell</t>
  </si>
  <si>
    <t>solarPV_Module</t>
  </si>
  <si>
    <t>Polysilicon</t>
  </si>
  <si>
    <t>solarPV_Polysilicon</t>
  </si>
  <si>
    <t>Batteries_Assembly</t>
  </si>
  <si>
    <t>finished, happens on-site so no limitation, will be limited by installable capacity</t>
  </si>
  <si>
    <t>opex_fixed</t>
  </si>
  <si>
    <t>Polymers</t>
  </si>
  <si>
    <t>0.98</t>
  </si>
  <si>
    <t>0.994</t>
  </si>
  <si>
    <t>0.97</t>
  </si>
  <si>
    <t>0.94</t>
  </si>
  <si>
    <t>CellBatt</t>
  </si>
  <si>
    <t>Batteries_CellBatt</t>
  </si>
  <si>
    <t>material_downstream_manufacturing</t>
  </si>
  <si>
    <t>blade_bulk_on</t>
  </si>
  <si>
    <t>blade_bulk_off</t>
  </si>
  <si>
    <t>tower_bulk_on</t>
  </si>
  <si>
    <t>tower_bulk_off</t>
  </si>
  <si>
    <t>BladeOn</t>
  </si>
  <si>
    <t>TowerOn</t>
  </si>
  <si>
    <t>NacelleOn</t>
  </si>
  <si>
    <t>AssemblyOn</t>
  </si>
  <si>
    <t>BladeOff</t>
  </si>
  <si>
    <t>TowerOff</t>
  </si>
  <si>
    <t>NacelleOff</t>
  </si>
  <si>
    <t>AssemblyOff</t>
  </si>
  <si>
    <t>windon_BladeOn</t>
  </si>
  <si>
    <t>windon_TowerOn</t>
  </si>
  <si>
    <t>windon_NacelleOn</t>
  </si>
  <si>
    <t>windon_AssemblyOn</t>
  </si>
  <si>
    <t>windoff_BladeOff</t>
  </si>
  <si>
    <t>windoff_TowerOff</t>
  </si>
  <si>
    <t>windoff_NacelleOff</t>
  </si>
  <si>
    <t>windoff_AssemblyOff</t>
  </si>
  <si>
    <t>Alumium</t>
  </si>
  <si>
    <t>Copper</t>
  </si>
  <si>
    <t>Silver</t>
  </si>
  <si>
    <t>Silicon</t>
  </si>
  <si>
    <t>aluminum</t>
  </si>
  <si>
    <t>cobalt</t>
  </si>
  <si>
    <t>copper</t>
  </si>
  <si>
    <t>dysprosium</t>
  </si>
  <si>
    <t>gallium</t>
  </si>
  <si>
    <t>graphite</t>
  </si>
  <si>
    <t>lithium</t>
  </si>
  <si>
    <t>manganese</t>
  </si>
  <si>
    <t>neodymium</t>
  </si>
  <si>
    <t>nickel</t>
  </si>
  <si>
    <t>niobium</t>
  </si>
  <si>
    <t>praseodymium</t>
  </si>
  <si>
    <t>terbium</t>
  </si>
  <si>
    <t>titanium</t>
  </si>
  <si>
    <t>vanadium</t>
  </si>
  <si>
    <t>boron</t>
  </si>
  <si>
    <t>molybdenum</t>
  </si>
  <si>
    <t xml:space="preserve"> blade_bulk_on</t>
  </si>
  <si>
    <t xml:space="preserve"> tower_bulk_on</t>
  </si>
  <si>
    <t xml:space="preserve"> cobalt</t>
  </si>
  <si>
    <t xml:space="preserve"> copper</t>
  </si>
  <si>
    <t xml:space="preserve"> dysprosium</t>
  </si>
  <si>
    <t xml:space="preserve"> gallium</t>
  </si>
  <si>
    <t xml:space="preserve"> graphite</t>
  </si>
  <si>
    <t xml:space="preserve"> lithium</t>
  </si>
  <si>
    <t xml:space="preserve"> manganese</t>
  </si>
  <si>
    <t xml:space="preserve"> neodymium</t>
  </si>
  <si>
    <t xml:space="preserve"> nickel</t>
  </si>
  <si>
    <t xml:space="preserve"> niobium</t>
  </si>
  <si>
    <t xml:space="preserve"> praseodymium</t>
  </si>
  <si>
    <t xml:space="preserve"> terbium</t>
  </si>
  <si>
    <t xml:space="preserve"> titanium</t>
  </si>
  <si>
    <t xml:space="preserve"> vanadium</t>
  </si>
  <si>
    <t xml:space="preserve"> blade_bulk_off</t>
  </si>
  <si>
    <t xml:space="preserve"> tower_bulk_off</t>
  </si>
  <si>
    <t xml:space="preserve"> boron</t>
  </si>
  <si>
    <t xml:space="preserve"> molybdenum</t>
  </si>
  <si>
    <t xml:space="preserve"> glass</t>
  </si>
  <si>
    <t xml:space="preserve"> polymers</t>
  </si>
  <si>
    <t xml:space="preserve"> silver</t>
  </si>
  <si>
    <t xml:space="preserve"> silicon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</si>
</sst>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  <font>
      <b/>
      <sz val="1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</borders>
  <cellStyleXfs count="10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  <xf numFmtId="0" fontId="0" fillId="7" borderId="0" xfId="0" applyFill="1"/>
    <xf numFmtId="0" fontId="0" fillId="8" borderId="0" xfId="0" applyFill="1" applyAlignment="1">
      <alignment horizontal="center"/>
    </xf>
    <xf numFmtId="0" fontId="8" fillId="0" borderId="3" xfId="0" applyFont="1" applyBorder="1" applyAlignment="1">
      <alignment horizontal="center" vertical="top"/>
    </xf>
    <xf numFmtId="0" fontId="0" fillId="8" borderId="0" xfId="0" applyFill="1"/>
    <xf numFmtId="3" fontId="0" fillId="0" borderId="0" xfId="0" applyNumberFormat="1"/>
    <xf numFmtId="0" fontId="0" fillId="0" borderId="0" xfId="0" applyAlignment="1">
      <alignment wrapText="1"/>
    </xf>
    <xf numFmtId="0" fontId="1" fillId="0" borderId="3" xfId="0" applyFont="1" applyBorder="1" applyAlignment="1">
      <alignment horizontal="center" vertical="top"/>
    </xf>
    <xf numFmtId="0" fontId="0" fillId="7" borderId="4" xfId="0" applyFill="1" applyBorder="1"/>
    <xf numFmtId="0" fontId="0" fillId="9" borderId="4" xfId="0" applyFill="1" applyBorder="1"/>
    <xf numFmtId="0" fontId="0" fillId="0" borderId="0" xfId="0" applyFill="1" applyAlignment="1">
      <alignment horizontal="right"/>
    </xf>
    <xf numFmtId="0" fontId="0" fillId="0" borderId="0" xfId="0" applyFill="1"/>
    <xf numFmtId="0" fontId="0" fillId="7" borderId="0" xfId="0" applyFill="1" applyBorder="1"/>
  </cellXfs>
  <cellStyles count="10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0</v>
      </c>
    </row>
    <row r="2" spans="1:2" x14ac:dyDescent="0.25">
      <c r="A2" t="s">
        <v>4</v>
      </c>
      <c r="B2">
        <v>2024</v>
      </c>
    </row>
    <row r="3" spans="1:2" x14ac:dyDescent="0.25">
      <c r="A3" t="s">
        <v>3</v>
      </c>
      <c r="B3">
        <v>2050</v>
      </c>
    </row>
    <row r="4" spans="1:2" x14ac:dyDescent="0.25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U28"/>
  <sheetViews>
    <sheetView topLeftCell="G1" workbookViewId="0">
      <selection activeCell="Q2" sqref="Q2:Q28"/>
    </sheetView>
  </sheetViews>
  <sheetFormatPr baseColWidth="10" defaultRowHeight="15" x14ac:dyDescent="0.25"/>
  <cols>
    <col min="2" max="2" width="13.7109375" customWidth="1"/>
    <col min="3" max="3" width="26.7109375" customWidth="1"/>
    <col min="4" max="5" width="37.28515625" customWidth="1"/>
    <col min="6" max="6" width="29.85546875" customWidth="1"/>
    <col min="7" max="7" width="39.85546875" customWidth="1"/>
    <col min="8" max="8" width="21.42578125" customWidth="1"/>
    <col min="10" max="11" width="22.5703125" customWidth="1"/>
    <col min="12" max="12" width="24.140625" customWidth="1"/>
    <col min="13" max="13" width="27.7109375" customWidth="1"/>
    <col min="14" max="14" width="22.85546875" customWidth="1"/>
    <col min="15" max="16" width="20.140625" customWidth="1"/>
    <col min="18" max="18" width="32.7109375" customWidth="1"/>
    <col min="19" max="19" width="35.28515625" customWidth="1"/>
    <col min="20" max="20" width="31.42578125" customWidth="1"/>
  </cols>
  <sheetData>
    <row r="1" spans="1:21" x14ac:dyDescent="0.25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63</v>
      </c>
      <c r="G1" t="s">
        <v>28</v>
      </c>
      <c r="H1" t="s">
        <v>29</v>
      </c>
      <c r="I1" t="s">
        <v>30</v>
      </c>
      <c r="J1" t="s">
        <v>38</v>
      </c>
      <c r="K1" t="s">
        <v>64</v>
      </c>
      <c r="L1" t="s">
        <v>43</v>
      </c>
      <c r="M1" t="s">
        <v>44</v>
      </c>
      <c r="N1" t="s">
        <v>45</v>
      </c>
      <c r="O1" t="s">
        <v>46</v>
      </c>
      <c r="P1" t="s">
        <v>65</v>
      </c>
      <c r="Q1" t="s">
        <v>52</v>
      </c>
      <c r="R1" t="s">
        <v>53</v>
      </c>
      <c r="S1" t="s">
        <v>54</v>
      </c>
      <c r="T1" t="s">
        <v>55</v>
      </c>
      <c r="U1" t="s">
        <v>66</v>
      </c>
    </row>
    <row r="2" spans="1:21" x14ac:dyDescent="0.25">
      <c r="A2">
        <v>2024</v>
      </c>
      <c r="B2">
        <v>250240</v>
      </c>
      <c r="C2">
        <v>303600</v>
      </c>
      <c r="D2" s="8">
        <v>257700</v>
      </c>
      <c r="E2" s="8">
        <v>1000</v>
      </c>
      <c r="F2" s="8">
        <v>4400</v>
      </c>
      <c r="G2" s="8">
        <v>1775265.6417320003</v>
      </c>
      <c r="H2" s="8">
        <v>2337972.5216000001</v>
      </c>
      <c r="I2" s="8">
        <v>1996946.1610000001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1143231.041</v>
      </c>
      <c r="O2">
        <v>1000</v>
      </c>
      <c r="P2">
        <v>17386.633918245541</v>
      </c>
      <c r="Q2">
        <v>280439.83</v>
      </c>
      <c r="R2">
        <v>527469.86</v>
      </c>
      <c r="S2" s="8">
        <v>519061.86</v>
      </c>
      <c r="T2">
        <v>1000</v>
      </c>
      <c r="U2">
        <v>1</v>
      </c>
    </row>
    <row r="3" spans="1:21" x14ac:dyDescent="0.25">
      <c r="A3">
        <v>2025</v>
      </c>
      <c r="B3">
        <v>246486.39999999999</v>
      </c>
      <c r="C3">
        <v>299045.40000000002</v>
      </c>
      <c r="D3" s="8">
        <v>257700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1996946.1610000001</v>
      </c>
      <c r="J3" s="8">
        <v>1000</v>
      </c>
      <c r="K3" s="8">
        <v>44000</v>
      </c>
      <c r="L3" s="8">
        <v>1042480.7960000001</v>
      </c>
      <c r="M3" s="8">
        <v>1660955.6413333334</v>
      </c>
      <c r="N3" s="8">
        <v>1143231.041</v>
      </c>
      <c r="O3">
        <v>1000</v>
      </c>
      <c r="P3">
        <v>17386.633918245541</v>
      </c>
      <c r="Q3">
        <v>274754.90999999997</v>
      </c>
      <c r="R3">
        <v>516785.56</v>
      </c>
      <c r="S3" s="8">
        <v>519061.86</v>
      </c>
      <c r="T3">
        <v>1000</v>
      </c>
      <c r="U3">
        <v>1</v>
      </c>
    </row>
    <row r="4" spans="1:21" x14ac:dyDescent="0.25">
      <c r="A4">
        <v>2026</v>
      </c>
      <c r="B4">
        <v>242789.10399999999</v>
      </c>
      <c r="C4">
        <v>294559.71899999998</v>
      </c>
      <c r="D4" s="8">
        <v>257700</v>
      </c>
      <c r="E4" s="8">
        <v>1000</v>
      </c>
      <c r="F4" s="8">
        <v>4400</v>
      </c>
      <c r="G4" s="8">
        <v>1670579.1023833335</v>
      </c>
      <c r="H4" s="8">
        <v>2298080.2421333333</v>
      </c>
      <c r="I4" s="8">
        <v>1996946.1610000001</v>
      </c>
      <c r="J4" s="8">
        <v>1000</v>
      </c>
      <c r="K4" s="8">
        <v>44000</v>
      </c>
      <c r="L4" s="8">
        <v>1032916.7520000001</v>
      </c>
      <c r="M4" s="8">
        <v>1648203.5826666667</v>
      </c>
      <c r="N4" s="8">
        <v>1143231.041</v>
      </c>
      <c r="O4">
        <v>1000</v>
      </c>
      <c r="P4">
        <v>17386.633918245541</v>
      </c>
      <c r="Q4">
        <v>269179.44</v>
      </c>
      <c r="R4">
        <v>506302.5</v>
      </c>
      <c r="S4" s="8">
        <v>519061.86</v>
      </c>
      <c r="T4">
        <v>1000</v>
      </c>
      <c r="U4">
        <v>1</v>
      </c>
    </row>
    <row r="5" spans="1:21" x14ac:dyDescent="0.25">
      <c r="A5">
        <v>2027</v>
      </c>
      <c r="B5">
        <v>239147.26740000001</v>
      </c>
      <c r="C5">
        <v>290141.32319999998</v>
      </c>
      <c r="D5" s="8">
        <v>257700</v>
      </c>
      <c r="E5" s="8">
        <v>1000</v>
      </c>
      <c r="F5" s="8">
        <v>4400</v>
      </c>
      <c r="G5" s="8">
        <v>1618235.832709</v>
      </c>
      <c r="H5" s="8">
        <v>2278134.1023999997</v>
      </c>
      <c r="I5" s="8">
        <v>1996946.1610000001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1143231.041</v>
      </c>
      <c r="O5">
        <v>1000</v>
      </c>
      <c r="P5">
        <v>17386.633918245541</v>
      </c>
      <c r="Q5">
        <v>263711.78000000003</v>
      </c>
      <c r="R5">
        <v>496017.89</v>
      </c>
      <c r="S5" s="8">
        <v>519061.86</v>
      </c>
      <c r="T5">
        <v>1000</v>
      </c>
      <c r="U5">
        <v>1</v>
      </c>
    </row>
    <row r="6" spans="1:21" x14ac:dyDescent="0.25">
      <c r="A6">
        <v>2028</v>
      </c>
      <c r="B6">
        <v>235560.05840000001</v>
      </c>
      <c r="C6">
        <v>285788.2034</v>
      </c>
      <c r="D6" s="8">
        <v>257700</v>
      </c>
      <c r="E6" s="8">
        <v>1000</v>
      </c>
      <c r="F6" s="8">
        <v>4400</v>
      </c>
      <c r="G6" s="8">
        <v>1565892.5630346665</v>
      </c>
      <c r="H6" s="8">
        <v>2258187.9626666661</v>
      </c>
      <c r="I6" s="8">
        <v>1996946.1610000001</v>
      </c>
      <c r="J6" s="8">
        <v>1000</v>
      </c>
      <c r="K6" s="8">
        <v>44000</v>
      </c>
      <c r="L6" s="8">
        <v>1013788.6639999999</v>
      </c>
      <c r="M6" s="8">
        <v>1622699.4653333335</v>
      </c>
      <c r="N6" s="8">
        <v>1143231.041</v>
      </c>
      <c r="O6">
        <v>1000</v>
      </c>
      <c r="P6">
        <v>17386.633918245541</v>
      </c>
      <c r="Q6">
        <v>258350.32</v>
      </c>
      <c r="R6">
        <v>485929.01</v>
      </c>
      <c r="S6" s="8">
        <v>519061.86</v>
      </c>
      <c r="T6">
        <v>1000</v>
      </c>
      <c r="U6">
        <v>1</v>
      </c>
    </row>
    <row r="7" spans="1:21" x14ac:dyDescent="0.25">
      <c r="A7">
        <v>2029</v>
      </c>
      <c r="B7">
        <v>232026.65760000001</v>
      </c>
      <c r="C7">
        <v>281498.4804</v>
      </c>
      <c r="D7" s="8">
        <v>257700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1996946.1610000001</v>
      </c>
      <c r="J7" s="8">
        <v>1000</v>
      </c>
      <c r="K7" s="8">
        <v>44000</v>
      </c>
      <c r="L7" s="8">
        <v>1004224.62</v>
      </c>
      <c r="M7" s="8">
        <v>1609947.4066666667</v>
      </c>
      <c r="N7" s="8">
        <v>1143231.041</v>
      </c>
      <c r="O7">
        <v>1000</v>
      </c>
      <c r="P7">
        <v>17386.633918245541</v>
      </c>
      <c r="Q7">
        <v>253093.46</v>
      </c>
      <c r="R7">
        <v>476033.18</v>
      </c>
      <c r="S7" s="8">
        <v>519061.86</v>
      </c>
      <c r="T7">
        <v>1000</v>
      </c>
      <c r="U7">
        <v>1</v>
      </c>
    </row>
    <row r="8" spans="1:21" x14ac:dyDescent="0.25">
      <c r="A8">
        <v>2030</v>
      </c>
      <c r="B8">
        <v>228546.25769999999</v>
      </c>
      <c r="C8">
        <v>277270.34419999999</v>
      </c>
      <c r="D8" s="8">
        <v>257700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1996946.1610000001</v>
      </c>
      <c r="J8" s="8">
        <v>1000</v>
      </c>
      <c r="K8" s="8">
        <v>34000</v>
      </c>
      <c r="L8" s="8">
        <v>994660.57600000012</v>
      </c>
      <c r="M8" s="8">
        <v>1597195.3480000002</v>
      </c>
      <c r="N8" s="8">
        <v>1143231.041</v>
      </c>
      <c r="O8">
        <v>1000</v>
      </c>
      <c r="P8">
        <v>16662.667964091612</v>
      </c>
      <c r="Q8">
        <v>247939.65</v>
      </c>
      <c r="R8">
        <v>466327.8</v>
      </c>
      <c r="S8" s="8">
        <v>519061.86</v>
      </c>
      <c r="T8">
        <v>1000</v>
      </c>
      <c r="U8">
        <v>1</v>
      </c>
    </row>
    <row r="9" spans="1:21" x14ac:dyDescent="0.25">
      <c r="A9">
        <v>2031</v>
      </c>
      <c r="B9">
        <v>225118.0638</v>
      </c>
      <c r="C9">
        <v>273102.28909999999</v>
      </c>
      <c r="D9" s="8">
        <v>257700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1996946.1610000001</v>
      </c>
      <c r="J9" s="8">
        <v>1000</v>
      </c>
      <c r="K9" s="8">
        <v>34000</v>
      </c>
      <c r="L9" s="8">
        <v>992747.76720000012</v>
      </c>
      <c r="M9" s="8">
        <v>1594326.1348000003</v>
      </c>
      <c r="N9" s="8">
        <v>1143231.041</v>
      </c>
      <c r="O9">
        <v>1000</v>
      </c>
      <c r="P9">
        <v>16662.667964091612</v>
      </c>
      <c r="Q9">
        <v>242887.37</v>
      </c>
      <c r="R9">
        <v>456810.3</v>
      </c>
      <c r="S9" s="8">
        <v>519061.86</v>
      </c>
      <c r="T9">
        <v>1000</v>
      </c>
      <c r="U9">
        <v>1</v>
      </c>
    </row>
    <row r="10" spans="1:21" x14ac:dyDescent="0.25">
      <c r="A10">
        <v>2032</v>
      </c>
      <c r="B10">
        <v>221741.2929</v>
      </c>
      <c r="C10">
        <v>268993.2548</v>
      </c>
      <c r="D10" s="8">
        <v>257700</v>
      </c>
      <c r="E10" s="8">
        <v>1000</v>
      </c>
      <c r="F10" s="8">
        <v>3900</v>
      </c>
      <c r="G10" s="8">
        <v>1426824.2883041599</v>
      </c>
      <c r="H10" s="8">
        <v>2192223.2291199998</v>
      </c>
      <c r="I10" s="8">
        <v>1996946.1610000001</v>
      </c>
      <c r="J10" s="8">
        <v>1000</v>
      </c>
      <c r="K10" s="8">
        <v>34000</v>
      </c>
      <c r="L10" s="8">
        <v>990834.9584</v>
      </c>
      <c r="M10" s="8">
        <v>1591456.9216000002</v>
      </c>
      <c r="N10" s="8">
        <v>1143231.041</v>
      </c>
      <c r="O10">
        <v>1000</v>
      </c>
      <c r="P10">
        <v>16662.667964091612</v>
      </c>
      <c r="Q10">
        <v>237935.1</v>
      </c>
      <c r="R10">
        <v>447478.16</v>
      </c>
      <c r="S10" s="8">
        <v>519061.86</v>
      </c>
      <c r="T10">
        <v>1000</v>
      </c>
      <c r="U10">
        <v>1</v>
      </c>
    </row>
    <row r="11" spans="1:21" x14ac:dyDescent="0.25">
      <c r="A11">
        <v>2033</v>
      </c>
      <c r="B11">
        <v>218415.1735</v>
      </c>
      <c r="C11">
        <v>264942.41499999998</v>
      </c>
      <c r="D11" s="8">
        <v>257700</v>
      </c>
      <c r="E11" s="8">
        <v>1000</v>
      </c>
      <c r="F11" s="8">
        <v>3900</v>
      </c>
      <c r="G11" s="8">
        <v>1409633.42061324</v>
      </c>
      <c r="H11" s="8">
        <v>2179187.0020799995</v>
      </c>
      <c r="I11" s="8">
        <v>1996946.1610000001</v>
      </c>
      <c r="J11" s="8">
        <v>1000</v>
      </c>
      <c r="K11" s="8">
        <v>34000</v>
      </c>
      <c r="L11" s="8">
        <v>988922.1496</v>
      </c>
      <c r="M11" s="8">
        <v>1588587.7084000004</v>
      </c>
      <c r="N11" s="8">
        <v>1143231.041</v>
      </c>
      <c r="O11">
        <v>1000</v>
      </c>
      <c r="P11">
        <v>16662.667964091612</v>
      </c>
      <c r="Q11">
        <v>233081.4</v>
      </c>
      <c r="R11">
        <v>438328.91</v>
      </c>
      <c r="S11" s="8">
        <v>519061.86</v>
      </c>
      <c r="T11">
        <v>1000</v>
      </c>
      <c r="U11">
        <v>1</v>
      </c>
    </row>
    <row r="12" spans="1:21" x14ac:dyDescent="0.25">
      <c r="A12">
        <v>2034</v>
      </c>
      <c r="B12">
        <v>215138.94589999999</v>
      </c>
      <c r="C12">
        <v>260948.7948</v>
      </c>
      <c r="D12" s="8">
        <v>257700</v>
      </c>
      <c r="E12" s="8">
        <v>1000</v>
      </c>
      <c r="F12" s="8">
        <v>3900</v>
      </c>
      <c r="G12" s="8">
        <v>1392442.5529223196</v>
      </c>
      <c r="H12" s="8">
        <v>2166150.7750399997</v>
      </c>
      <c r="I12" s="8">
        <v>1996946.1610000001</v>
      </c>
      <c r="J12" s="8">
        <v>1000</v>
      </c>
      <c r="K12" s="8">
        <v>34000</v>
      </c>
      <c r="L12" s="8">
        <v>987009.34079999989</v>
      </c>
      <c r="M12" s="8">
        <v>1585718.4952000002</v>
      </c>
      <c r="N12" s="8">
        <v>1143231.041</v>
      </c>
      <c r="O12">
        <v>1000</v>
      </c>
      <c r="P12">
        <v>16662.667964091612</v>
      </c>
      <c r="Q12">
        <v>228324.82</v>
      </c>
      <c r="R12">
        <v>429360.14</v>
      </c>
      <c r="S12" s="8">
        <v>519061.86</v>
      </c>
      <c r="T12">
        <v>1000</v>
      </c>
      <c r="U12">
        <v>1</v>
      </c>
    </row>
    <row r="13" spans="1:21" x14ac:dyDescent="0.25">
      <c r="A13">
        <v>2035</v>
      </c>
      <c r="B13">
        <v>211911.86170000001</v>
      </c>
      <c r="C13">
        <v>257011.4613</v>
      </c>
      <c r="D13" s="8">
        <v>257700</v>
      </c>
      <c r="E13" s="8">
        <v>1000</v>
      </c>
      <c r="F13" s="8">
        <v>3900</v>
      </c>
      <c r="G13" s="8">
        <v>1375251.6852313997</v>
      </c>
      <c r="H13" s="8">
        <v>2153114.5479999995</v>
      </c>
      <c r="I13" s="8">
        <v>1996946.1610000001</v>
      </c>
      <c r="J13" s="8">
        <v>1000</v>
      </c>
      <c r="K13" s="8">
        <v>34000</v>
      </c>
      <c r="L13" s="8">
        <v>985096.53199999989</v>
      </c>
      <c r="M13" s="8">
        <v>1582849.2820000004</v>
      </c>
      <c r="N13" s="8">
        <v>1143231.041</v>
      </c>
      <c r="O13">
        <v>1000</v>
      </c>
      <c r="P13">
        <v>16662.667964091612</v>
      </c>
      <c r="Q13">
        <v>223663.91</v>
      </c>
      <c r="R13">
        <v>420569.49</v>
      </c>
      <c r="S13" s="8">
        <v>519061.86</v>
      </c>
      <c r="T13">
        <v>1000</v>
      </c>
      <c r="U13">
        <v>1</v>
      </c>
    </row>
    <row r="14" spans="1:21" x14ac:dyDescent="0.25">
      <c r="A14">
        <v>2036</v>
      </c>
      <c r="B14">
        <v>208733.1838</v>
      </c>
      <c r="C14">
        <v>253129.39139999999</v>
      </c>
      <c r="D14" s="8">
        <v>257700</v>
      </c>
      <c r="E14" s="8">
        <v>1000</v>
      </c>
      <c r="F14" s="8">
        <v>3900</v>
      </c>
      <c r="G14" s="8">
        <v>1358060.8175404796</v>
      </c>
      <c r="H14" s="8">
        <v>2140078.3209599997</v>
      </c>
      <c r="I14" s="8">
        <v>1996946.1610000001</v>
      </c>
      <c r="J14" s="8">
        <v>1000</v>
      </c>
      <c r="K14" s="8">
        <v>34000</v>
      </c>
      <c r="L14" s="8">
        <v>983183.72319999977</v>
      </c>
      <c r="M14" s="8">
        <v>1579980.0688000005</v>
      </c>
      <c r="N14" s="8">
        <v>1143231.041</v>
      </c>
      <c r="O14">
        <v>1000</v>
      </c>
      <c r="P14">
        <v>16662.667964091612</v>
      </c>
      <c r="Q14">
        <v>219097.32</v>
      </c>
      <c r="R14">
        <v>411954.65</v>
      </c>
      <c r="S14" s="8">
        <v>519061.86</v>
      </c>
      <c r="T14">
        <v>1000</v>
      </c>
      <c r="U14">
        <v>1</v>
      </c>
    </row>
    <row r="15" spans="1:21" x14ac:dyDescent="0.25">
      <c r="A15">
        <v>2037</v>
      </c>
      <c r="B15">
        <v>205602.18599999999</v>
      </c>
      <c r="C15">
        <v>249301.63759999999</v>
      </c>
      <c r="D15" s="8">
        <v>257700</v>
      </c>
      <c r="E15" s="8">
        <v>1000</v>
      </c>
      <c r="F15" s="8">
        <v>3900</v>
      </c>
      <c r="G15" s="8">
        <v>1340869.9498495597</v>
      </c>
      <c r="H15" s="8">
        <v>2127042.0939199994</v>
      </c>
      <c r="I15" s="8">
        <v>1996946.1610000001</v>
      </c>
      <c r="J15" s="8">
        <v>1000</v>
      </c>
      <c r="K15" s="8">
        <v>34000</v>
      </c>
      <c r="L15" s="8">
        <v>981270.91439999978</v>
      </c>
      <c r="M15" s="8">
        <v>1577110.8556000004</v>
      </c>
      <c r="N15" s="8">
        <v>1143231.041</v>
      </c>
      <c r="O15">
        <v>1000</v>
      </c>
      <c r="P15">
        <v>16662.667964091612</v>
      </c>
      <c r="Q15">
        <v>214623.65</v>
      </c>
      <c r="R15">
        <v>403513.36</v>
      </c>
      <c r="S15" s="8">
        <v>519061.86</v>
      </c>
      <c r="T15">
        <v>1000</v>
      </c>
      <c r="U15">
        <v>1</v>
      </c>
    </row>
    <row r="16" spans="1:21" x14ac:dyDescent="0.25">
      <c r="A16">
        <v>2038</v>
      </c>
      <c r="B16">
        <v>202518.1532</v>
      </c>
      <c r="C16">
        <v>245527.30809999999</v>
      </c>
      <c r="D16" s="8">
        <v>257700</v>
      </c>
      <c r="E16" s="8">
        <v>1000</v>
      </c>
      <c r="F16" s="8">
        <v>3900</v>
      </c>
      <c r="G16" s="8">
        <v>1323679.0821586396</v>
      </c>
      <c r="H16" s="8">
        <v>2114005.8668799992</v>
      </c>
      <c r="I16" s="8">
        <v>1996946.1610000001</v>
      </c>
      <c r="J16" s="8">
        <v>1000</v>
      </c>
      <c r="K16" s="8">
        <v>34000</v>
      </c>
      <c r="L16" s="8">
        <v>979358.10559999966</v>
      </c>
      <c r="M16" s="8">
        <v>1574241.6424000005</v>
      </c>
      <c r="N16" s="8">
        <v>1143231.041</v>
      </c>
      <c r="O16">
        <v>1000</v>
      </c>
      <c r="P16">
        <v>16662.667964091612</v>
      </c>
      <c r="Q16">
        <v>210241.6</v>
      </c>
      <c r="R16">
        <v>395243.39</v>
      </c>
      <c r="S16" s="8">
        <v>519061.86</v>
      </c>
      <c r="T16">
        <v>1000</v>
      </c>
      <c r="U16">
        <v>1</v>
      </c>
    </row>
    <row r="17" spans="1:21" x14ac:dyDescent="0.25">
      <c r="A17">
        <v>2039</v>
      </c>
      <c r="B17">
        <v>199480.38089999999</v>
      </c>
      <c r="C17">
        <v>241805.39859999999</v>
      </c>
      <c r="D17" s="8">
        <v>257700</v>
      </c>
      <c r="E17" s="8">
        <v>1000</v>
      </c>
      <c r="F17" s="8">
        <v>3900</v>
      </c>
      <c r="G17" s="8">
        <v>1306488.2144677194</v>
      </c>
      <c r="H17" s="8">
        <v>2100969.6398399994</v>
      </c>
      <c r="I17" s="8">
        <v>1996946.1610000001</v>
      </c>
      <c r="J17" s="8">
        <v>1000</v>
      </c>
      <c r="K17" s="8">
        <v>34000</v>
      </c>
      <c r="L17" s="8">
        <v>977445.29679999966</v>
      </c>
      <c r="M17" s="8">
        <v>1571372.4292000004</v>
      </c>
      <c r="N17" s="8">
        <v>1143231.041</v>
      </c>
      <c r="O17">
        <v>1000</v>
      </c>
      <c r="P17">
        <v>16662.667964091612</v>
      </c>
      <c r="Q17">
        <v>205949.84</v>
      </c>
      <c r="R17">
        <v>387142.59</v>
      </c>
      <c r="S17" s="8">
        <v>519061.86</v>
      </c>
      <c r="T17">
        <v>1000</v>
      </c>
      <c r="U17">
        <v>1</v>
      </c>
    </row>
    <row r="18" spans="1:21" x14ac:dyDescent="0.25">
      <c r="A18">
        <v>2040</v>
      </c>
      <c r="B18">
        <v>196488.1752</v>
      </c>
      <c r="C18">
        <v>238134.9901</v>
      </c>
      <c r="D18" s="8">
        <v>257700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1996946.1610000001</v>
      </c>
      <c r="J18" s="8">
        <v>1000</v>
      </c>
      <c r="K18" s="8">
        <v>30000</v>
      </c>
      <c r="L18" s="8">
        <v>975532.48799999955</v>
      </c>
      <c r="M18" s="8">
        <v>1568503.2160000005</v>
      </c>
      <c r="N18" s="8">
        <v>1143231.041</v>
      </c>
      <c r="O18">
        <v>1000</v>
      </c>
      <c r="P18">
        <v>15965.364846295015</v>
      </c>
      <c r="Q18">
        <v>201747.12</v>
      </c>
      <c r="R18">
        <v>379208.83</v>
      </c>
      <c r="S18" s="8">
        <v>519061.86</v>
      </c>
      <c r="T18">
        <v>1000</v>
      </c>
      <c r="U18">
        <v>1</v>
      </c>
    </row>
    <row r="19" spans="1:21" x14ac:dyDescent="0.25">
      <c r="A19">
        <v>2041</v>
      </c>
      <c r="B19">
        <v>193540.85260000001</v>
      </c>
      <c r="C19">
        <v>234515.065</v>
      </c>
      <c r="D19" s="8">
        <v>257700</v>
      </c>
      <c r="E19" s="8">
        <v>1000</v>
      </c>
      <c r="F19" s="8">
        <v>3100</v>
      </c>
      <c r="G19" s="8">
        <v>1288154.7510168403</v>
      </c>
      <c r="H19" s="8">
        <v>2076927.41784</v>
      </c>
      <c r="I19" s="8">
        <v>1996946.1610000001</v>
      </c>
      <c r="J19" s="8">
        <v>1000</v>
      </c>
      <c r="K19" s="8">
        <v>30000</v>
      </c>
      <c r="L19" s="8">
        <v>973619.67919999966</v>
      </c>
      <c r="M19" s="8">
        <v>1565634.0028000006</v>
      </c>
      <c r="N19" s="8">
        <v>1143231.041</v>
      </c>
      <c r="O19">
        <v>1000</v>
      </c>
      <c r="P19">
        <v>15965.364846295015</v>
      </c>
      <c r="Q19">
        <v>197632.19</v>
      </c>
      <c r="R19">
        <v>371440.05</v>
      </c>
      <c r="S19" s="8">
        <v>519061.86</v>
      </c>
      <c r="T19">
        <v>1000</v>
      </c>
      <c r="U19">
        <v>1</v>
      </c>
    </row>
    <row r="20" spans="1:21" x14ac:dyDescent="0.25">
      <c r="A20">
        <v>2042</v>
      </c>
      <c r="B20">
        <v>190637.73980000001</v>
      </c>
      <c r="C20">
        <v>230944.68799999999</v>
      </c>
      <c r="D20" s="8">
        <v>257700</v>
      </c>
      <c r="E20" s="8">
        <v>1000</v>
      </c>
      <c r="F20" s="8">
        <v>3100</v>
      </c>
      <c r="G20" s="8">
        <v>1288281.7061012802</v>
      </c>
      <c r="H20" s="8">
        <v>2065921.4228800002</v>
      </c>
      <c r="I20" s="8">
        <v>1996946.1610000001</v>
      </c>
      <c r="J20" s="8">
        <v>1000</v>
      </c>
      <c r="K20" s="8">
        <v>30000</v>
      </c>
      <c r="L20" s="8">
        <v>971706.87039999955</v>
      </c>
      <c r="M20" s="8">
        <v>1562764.7896000005</v>
      </c>
      <c r="N20" s="8">
        <v>1143231.041</v>
      </c>
      <c r="O20">
        <v>1000</v>
      </c>
      <c r="P20">
        <v>15965.364846295015</v>
      </c>
      <c r="Q20">
        <v>193603.83</v>
      </c>
      <c r="R20">
        <v>363834.24</v>
      </c>
      <c r="S20" s="8">
        <v>519061.86</v>
      </c>
      <c r="T20">
        <v>1000</v>
      </c>
      <c r="U20">
        <v>1</v>
      </c>
    </row>
    <row r="21" spans="1:21" x14ac:dyDescent="0.25">
      <c r="A21">
        <v>2043</v>
      </c>
      <c r="B21">
        <v>187778.17370000001</v>
      </c>
      <c r="C21">
        <v>227422.96530000001</v>
      </c>
      <c r="D21" s="8">
        <v>257700</v>
      </c>
      <c r="E21" s="8">
        <v>1000</v>
      </c>
      <c r="F21" s="8">
        <v>3100</v>
      </c>
      <c r="G21" s="8">
        <v>1288408.6611857202</v>
      </c>
      <c r="H21" s="8">
        <v>2054915.4279200002</v>
      </c>
      <c r="I21" s="8">
        <v>1996946.1610000001</v>
      </c>
      <c r="J21" s="8">
        <v>1000</v>
      </c>
      <c r="K21" s="8">
        <v>30000</v>
      </c>
      <c r="L21" s="8">
        <v>969794.06159999955</v>
      </c>
      <c r="M21" s="8">
        <v>1559895.5764000006</v>
      </c>
      <c r="N21" s="8">
        <v>1143231.041</v>
      </c>
      <c r="O21">
        <v>1000</v>
      </c>
      <c r="P21">
        <v>15965.364846295015</v>
      </c>
      <c r="Q21">
        <v>189660.87</v>
      </c>
      <c r="R21">
        <v>356389.41</v>
      </c>
      <c r="S21" s="8">
        <v>519061.86</v>
      </c>
      <c r="T21">
        <v>1000</v>
      </c>
      <c r="U21">
        <v>1</v>
      </c>
    </row>
    <row r="22" spans="1:21" x14ac:dyDescent="0.25">
      <c r="A22">
        <v>2044</v>
      </c>
      <c r="B22">
        <v>184961.50109999999</v>
      </c>
      <c r="C22">
        <v>223948.88099999999</v>
      </c>
      <c r="D22" s="8">
        <v>257700</v>
      </c>
      <c r="E22" s="8">
        <v>1000</v>
      </c>
      <c r="F22" s="8">
        <v>3100</v>
      </c>
      <c r="G22" s="8">
        <v>1288535.6162701603</v>
      </c>
      <c r="H22" s="8">
        <v>2043909.4329600004</v>
      </c>
      <c r="I22" s="8">
        <v>1996946.1610000001</v>
      </c>
      <c r="J22" s="8">
        <v>1000</v>
      </c>
      <c r="K22" s="8">
        <v>30000</v>
      </c>
      <c r="L22" s="8">
        <v>967881.25279999943</v>
      </c>
      <c r="M22" s="8">
        <v>1557026.3632000005</v>
      </c>
      <c r="N22" s="8">
        <v>1143231.041</v>
      </c>
      <c r="O22">
        <v>1000</v>
      </c>
      <c r="P22">
        <v>15965.364846295015</v>
      </c>
      <c r="Q22">
        <v>185802.14</v>
      </c>
      <c r="R22">
        <v>349103.66</v>
      </c>
      <c r="S22" s="8">
        <v>519061.86</v>
      </c>
      <c r="T22">
        <v>1000</v>
      </c>
      <c r="U22">
        <v>1</v>
      </c>
    </row>
    <row r="23" spans="1:21" x14ac:dyDescent="0.25">
      <c r="A23">
        <v>2045</v>
      </c>
      <c r="B23">
        <v>182187.07860000001</v>
      </c>
      <c r="C23">
        <v>220521.46350000001</v>
      </c>
      <c r="D23" s="8">
        <v>257700</v>
      </c>
      <c r="E23" s="8">
        <v>1000</v>
      </c>
      <c r="F23" s="8">
        <v>3100</v>
      </c>
      <c r="G23" s="8">
        <v>1288662.5713546001</v>
      </c>
      <c r="H23" s="8">
        <v>2032903.4380000005</v>
      </c>
      <c r="I23" s="8">
        <v>1996946.1610000001</v>
      </c>
      <c r="J23" s="8">
        <v>1000</v>
      </c>
      <c r="K23" s="8">
        <v>30000</v>
      </c>
      <c r="L23" s="8">
        <v>965968.44399999944</v>
      </c>
      <c r="M23" s="8">
        <v>1554157.1500000006</v>
      </c>
      <c r="N23" s="8">
        <v>1143231.041</v>
      </c>
      <c r="O23">
        <v>1000</v>
      </c>
      <c r="P23">
        <v>15965.364846295015</v>
      </c>
      <c r="Q23">
        <v>182026.51</v>
      </c>
      <c r="R23">
        <v>341975.1</v>
      </c>
      <c r="S23" s="8">
        <v>519061.86</v>
      </c>
      <c r="T23">
        <v>1000</v>
      </c>
      <c r="U23">
        <v>1</v>
      </c>
    </row>
    <row r="24" spans="1:21" x14ac:dyDescent="0.25">
      <c r="A24">
        <v>2046</v>
      </c>
      <c r="B24">
        <v>179454.27239999999</v>
      </c>
      <c r="C24">
        <v>217139.74350000001</v>
      </c>
      <c r="D24" s="8">
        <v>257700</v>
      </c>
      <c r="E24" s="8">
        <v>1000</v>
      </c>
      <c r="F24" s="8">
        <v>3100</v>
      </c>
      <c r="G24" s="8">
        <v>1288789.5264390404</v>
      </c>
      <c r="H24" s="8">
        <v>2021897.4430400007</v>
      </c>
      <c r="I24" s="8">
        <v>1996946.1610000001</v>
      </c>
      <c r="J24" s="8">
        <v>1000</v>
      </c>
      <c r="K24" s="8">
        <v>30000</v>
      </c>
      <c r="L24" s="8">
        <v>964055.63519999932</v>
      </c>
      <c r="M24" s="8">
        <v>1551287.9368000007</v>
      </c>
      <c r="N24" s="8">
        <v>1143231.041</v>
      </c>
      <c r="O24">
        <v>1000</v>
      </c>
      <c r="P24">
        <v>15965.364846295015</v>
      </c>
      <c r="Q24">
        <v>178332.87</v>
      </c>
      <c r="R24">
        <v>334991.90000000002</v>
      </c>
      <c r="S24" s="8">
        <v>519061.86</v>
      </c>
      <c r="T24">
        <v>1000</v>
      </c>
      <c r="U24">
        <v>1</v>
      </c>
    </row>
    <row r="25" spans="1:21" x14ac:dyDescent="0.25">
      <c r="A25">
        <v>2047</v>
      </c>
      <c r="B25">
        <v>176762.4583</v>
      </c>
      <c r="C25">
        <v>213802.75769999999</v>
      </c>
      <c r="D25" s="8">
        <v>257700</v>
      </c>
      <c r="E25" s="8">
        <v>1000</v>
      </c>
      <c r="F25" s="8">
        <v>3100</v>
      </c>
      <c r="G25" s="8">
        <v>1288916.4815234803</v>
      </c>
      <c r="H25" s="8">
        <v>2010891.4480800009</v>
      </c>
      <c r="I25" s="8">
        <v>1996946.1610000001</v>
      </c>
      <c r="J25" s="8">
        <v>1000</v>
      </c>
      <c r="K25" s="8">
        <v>30000</v>
      </c>
      <c r="L25" s="8">
        <v>962142.82639999932</v>
      </c>
      <c r="M25" s="8">
        <v>1548418.7236000006</v>
      </c>
      <c r="N25" s="8">
        <v>1143231.041</v>
      </c>
      <c r="O25">
        <v>1000</v>
      </c>
      <c r="P25">
        <v>15965.364846295015</v>
      </c>
      <c r="Q25">
        <v>174720.11</v>
      </c>
      <c r="R25">
        <v>328152.28999999998</v>
      </c>
      <c r="S25" s="8">
        <v>519061.86</v>
      </c>
      <c r="T25">
        <v>1000</v>
      </c>
      <c r="U25">
        <v>1</v>
      </c>
    </row>
    <row r="26" spans="1:21" x14ac:dyDescent="0.25">
      <c r="A26">
        <v>2048</v>
      </c>
      <c r="B26">
        <v>174111.0214</v>
      </c>
      <c r="C26">
        <v>210509.61679999999</v>
      </c>
      <c r="D26" s="8">
        <v>257700</v>
      </c>
      <c r="E26" s="8">
        <v>1000</v>
      </c>
      <c r="F26" s="8">
        <v>3100</v>
      </c>
      <c r="G26" s="8">
        <v>1289043.4366079206</v>
      </c>
      <c r="H26" s="8">
        <v>1999885.4531200009</v>
      </c>
      <c r="I26" s="8">
        <v>1996946.1610000001</v>
      </c>
      <c r="J26" s="8">
        <v>1000</v>
      </c>
      <c r="K26" s="8">
        <v>30000</v>
      </c>
      <c r="L26" s="8">
        <v>960230.01759999921</v>
      </c>
      <c r="M26" s="8">
        <v>1545549.5104000007</v>
      </c>
      <c r="N26" s="8">
        <v>1143231.041</v>
      </c>
      <c r="O26">
        <v>1000</v>
      </c>
      <c r="P26">
        <v>15965.364846295015</v>
      </c>
      <c r="Q26">
        <v>171187.17</v>
      </c>
      <c r="R26">
        <v>321454.53999999998</v>
      </c>
      <c r="S26" s="8">
        <v>519061.86</v>
      </c>
      <c r="T26">
        <v>1000</v>
      </c>
      <c r="U26">
        <v>1</v>
      </c>
    </row>
    <row r="27" spans="1:21" x14ac:dyDescent="0.25">
      <c r="A27">
        <v>2049</v>
      </c>
      <c r="B27">
        <v>171499.3561</v>
      </c>
      <c r="C27">
        <v>207259.3126</v>
      </c>
      <c r="D27" s="8">
        <v>257700</v>
      </c>
      <c r="E27" s="8">
        <v>1000</v>
      </c>
      <c r="F27" s="8">
        <v>3100</v>
      </c>
      <c r="G27" s="8">
        <v>1289170.3916923604</v>
      </c>
      <c r="H27" s="8">
        <v>1988879.4581600011</v>
      </c>
      <c r="I27" s="8">
        <v>1996946.1610000001</v>
      </c>
      <c r="J27" s="8">
        <v>1000</v>
      </c>
      <c r="K27" s="8">
        <v>30000</v>
      </c>
      <c r="L27" s="8">
        <v>958317.20879999921</v>
      </c>
      <c r="M27" s="8">
        <v>1542680.2972000006</v>
      </c>
      <c r="N27" s="8">
        <v>1143231.041</v>
      </c>
      <c r="O27">
        <v>1000</v>
      </c>
      <c r="P27">
        <v>15965.364846295015</v>
      </c>
      <c r="Q27">
        <v>167732.98000000001</v>
      </c>
      <c r="R27">
        <v>314897</v>
      </c>
      <c r="S27" s="8">
        <v>519061.86</v>
      </c>
      <c r="T27">
        <v>1000</v>
      </c>
      <c r="U27">
        <v>1</v>
      </c>
    </row>
    <row r="28" spans="1:21" x14ac:dyDescent="0.25">
      <c r="A28">
        <v>2050</v>
      </c>
      <c r="B28">
        <v>168926.8658</v>
      </c>
      <c r="C28">
        <v>204050.9535</v>
      </c>
      <c r="D28" s="8">
        <v>257700</v>
      </c>
      <c r="E28" s="8">
        <v>1000</v>
      </c>
      <c r="F28" s="8">
        <v>2500</v>
      </c>
      <c r="G28" s="8">
        <v>1289297.3467768</v>
      </c>
      <c r="H28" s="8">
        <v>1977873.4631999999</v>
      </c>
      <c r="I28" s="8">
        <v>1996946.1610000001</v>
      </c>
      <c r="J28" s="8">
        <v>1000</v>
      </c>
      <c r="K28" s="8">
        <v>28000</v>
      </c>
      <c r="L28" s="8">
        <v>956404.40000000026</v>
      </c>
      <c r="M28" s="8">
        <v>1539811.0840000003</v>
      </c>
      <c r="N28" s="8">
        <v>1143231.041</v>
      </c>
      <c r="O28">
        <v>1000</v>
      </c>
      <c r="P28">
        <v>15602.06928231802</v>
      </c>
      <c r="Q28">
        <v>164356.51999999999</v>
      </c>
      <c r="R28">
        <v>308477.99</v>
      </c>
      <c r="S28" s="8">
        <v>519061.86</v>
      </c>
      <c r="T28">
        <v>1000</v>
      </c>
      <c r="U28">
        <v>1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5" x14ac:dyDescent="0.25"/>
  <cols>
    <col min="1" max="1" width="17.42578125" customWidth="1"/>
  </cols>
  <sheetData>
    <row r="1" spans="1:1" x14ac:dyDescent="0.25">
      <c r="A1" s="4" t="s">
        <v>17</v>
      </c>
    </row>
    <row r="2" spans="1:1" x14ac:dyDescent="0.25">
      <c r="A2" s="3" t="s">
        <v>16</v>
      </c>
    </row>
    <row r="3" spans="1:1" x14ac:dyDescent="0.25">
      <c r="A3" s="3"/>
    </row>
    <row r="4" spans="1:1" x14ac:dyDescent="0.25">
      <c r="A4" s="3"/>
    </row>
    <row r="5" spans="1:1" x14ac:dyDescent="0.25">
      <c r="A5" s="3"/>
    </row>
    <row r="6" spans="1:1" x14ac:dyDescent="0.25">
      <c r="A6" s="3"/>
    </row>
    <row r="7" spans="1:1" x14ac:dyDescent="0.25">
      <c r="A7" s="3"/>
    </row>
    <row r="8" spans="1:1" x14ac:dyDescent="0.25">
      <c r="A8" s="3"/>
    </row>
    <row r="9" spans="1:1" x14ac:dyDescent="0.25">
      <c r="A9" s="3"/>
    </row>
    <row r="10" spans="1:1" x14ac:dyDescent="0.25">
      <c r="A10" s="3"/>
    </row>
    <row r="11" spans="1:1" x14ac:dyDescent="0.25">
      <c r="A11" s="3"/>
    </row>
    <row r="12" spans="1:1" x14ac:dyDescent="0.25">
      <c r="A12" s="3"/>
    </row>
    <row r="13" spans="1:1" x14ac:dyDescent="0.25">
      <c r="A13" s="3"/>
    </row>
    <row r="14" spans="1:1" x14ac:dyDescent="0.25">
      <c r="A14" s="3"/>
    </row>
    <row r="15" spans="1:1" x14ac:dyDescent="0.25">
      <c r="A15" s="3"/>
    </row>
    <row r="16" spans="1:1" x14ac:dyDescent="0.25">
      <c r="A16" s="3"/>
    </row>
    <row r="17" spans="1:1" x14ac:dyDescent="0.25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D1" sqref="D1:E2"/>
    </sheetView>
  </sheetViews>
  <sheetFormatPr baseColWidth="10" defaultRowHeight="15" x14ac:dyDescent="0.25"/>
  <cols>
    <col min="4" max="4" width="17.7109375" customWidth="1"/>
  </cols>
  <sheetData>
    <row r="1" spans="1:6" x14ac:dyDescent="0.25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25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25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25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25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25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25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25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25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25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25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25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25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25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25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25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25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25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25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25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25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25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25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25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25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25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25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25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25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25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25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25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25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25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25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25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25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25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25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25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25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25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25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25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25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25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25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25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25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25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25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25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25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25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25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25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25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25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25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25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25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25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25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25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25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25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25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25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25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25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25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25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25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25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25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25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25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25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25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25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25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25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25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25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25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25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25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25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25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25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25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25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25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25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25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25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25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25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25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25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25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25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25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25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25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25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25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25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25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25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25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25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25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25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25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25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25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25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25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25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25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25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25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25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25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25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25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25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25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25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25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25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25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25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25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25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25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25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25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25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25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25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25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25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25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25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25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25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25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25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25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25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25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25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25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25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25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25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25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25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25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25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25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25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25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25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25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25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25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25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25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25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25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25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25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25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25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25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25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25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25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25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25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25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25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25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25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25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25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25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25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25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25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25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25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25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25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25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25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25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25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25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25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25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25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25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25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25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25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25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25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25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25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25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25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25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25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25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25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25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25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25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25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25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25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25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25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25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25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25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25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25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25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25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25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25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25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25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25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25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25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25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25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25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25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25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25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25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25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25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25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25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25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25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25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25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25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25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25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25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25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25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25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25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25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25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25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25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25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25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25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25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25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25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25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25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25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25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25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25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25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25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25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25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25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25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25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25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25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25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25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25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25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25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25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25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25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25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25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25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25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25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25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25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25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25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25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25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25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25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25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25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25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25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25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25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25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25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25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25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25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25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25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25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25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workbookViewId="0">
      <selection activeCell="B7" sqref="B7"/>
    </sheetView>
  </sheetViews>
  <sheetFormatPr baseColWidth="10" defaultRowHeight="15" x14ac:dyDescent="0.25"/>
  <cols>
    <col min="2" max="2" width="14.42578125" customWidth="1"/>
    <col min="3" max="3" width="18" customWidth="1"/>
    <col min="6" max="6" width="17.42578125" customWidth="1"/>
    <col min="7" max="7" width="18.28515625" customWidth="1"/>
    <col min="8" max="8" width="18" customWidth="1"/>
    <col min="9" max="9" width="19.28515625" customWidth="1"/>
    <col min="10" max="10" width="21.85546875" customWidth="1"/>
    <col min="14" max="14" width="20.140625" customWidth="1"/>
    <col min="20" max="20" width="20.5703125" customWidth="1"/>
  </cols>
  <sheetData>
    <row r="1" spans="1:27" x14ac:dyDescent="0.25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25">
      <c r="A2" s="3" t="s">
        <v>27</v>
      </c>
      <c r="B2" s="10">
        <v>211115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9.8000000000000004E-2</v>
      </c>
      <c r="J2" s="6">
        <v>0.2</v>
      </c>
      <c r="K2" s="5">
        <v>0.5</v>
      </c>
      <c r="L2" s="5">
        <v>0.8</v>
      </c>
      <c r="M2">
        <v>25</v>
      </c>
      <c r="N2" s="5">
        <v>5</v>
      </c>
      <c r="O2" s="5">
        <v>5</v>
      </c>
      <c r="P2" s="6">
        <v>70.922028124999997</v>
      </c>
      <c r="Q2" s="6">
        <v>70.922028124999997</v>
      </c>
      <c r="R2" s="13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25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5000</v>
      </c>
      <c r="H3" s="5">
        <v>0</v>
      </c>
      <c r="I3" s="6">
        <v>8.5999999999999993E-2</v>
      </c>
      <c r="J3" s="6">
        <v>0.2</v>
      </c>
      <c r="K3" s="5">
        <v>0.5</v>
      </c>
      <c r="L3" s="5">
        <v>0.8</v>
      </c>
      <c r="M3">
        <v>20</v>
      </c>
      <c r="N3" s="5">
        <v>5</v>
      </c>
      <c r="O3" s="5">
        <v>5</v>
      </c>
      <c r="P3" s="6">
        <v>171.04915999999997</v>
      </c>
      <c r="Q3" s="6">
        <v>171.04915999999997</v>
      </c>
      <c r="R3" s="13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25">
      <c r="A4" s="3" t="s">
        <v>41</v>
      </c>
      <c r="B4" s="7">
        <v>195370</v>
      </c>
      <c r="C4" s="7">
        <v>0</v>
      </c>
      <c r="D4">
        <v>200</v>
      </c>
      <c r="E4" s="5">
        <v>0.25</v>
      </c>
      <c r="F4" s="5">
        <v>0</v>
      </c>
      <c r="G4" s="6">
        <v>20000</v>
      </c>
      <c r="H4" s="5">
        <v>0</v>
      </c>
      <c r="I4" s="6">
        <v>8.5999999999999993E-2</v>
      </c>
      <c r="J4" s="6">
        <v>0.2</v>
      </c>
      <c r="K4" s="5">
        <v>0.5</v>
      </c>
      <c r="L4" s="5">
        <v>0.8</v>
      </c>
      <c r="M4" s="9">
        <v>20</v>
      </c>
      <c r="N4" s="5">
        <v>5</v>
      </c>
      <c r="O4" s="5">
        <v>5</v>
      </c>
      <c r="P4" s="6">
        <v>162.10234999999997</v>
      </c>
      <c r="Q4" s="6">
        <v>162.10234999999997</v>
      </c>
      <c r="R4" s="13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25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0.3</v>
      </c>
      <c r="J5" s="6">
        <v>0.3</v>
      </c>
      <c r="K5" s="5">
        <v>0.5</v>
      </c>
      <c r="L5" s="5">
        <v>0.8</v>
      </c>
      <c r="M5">
        <v>30</v>
      </c>
      <c r="N5" s="5">
        <v>5</v>
      </c>
      <c r="O5" s="5">
        <v>5</v>
      </c>
      <c r="P5" s="6">
        <v>20</v>
      </c>
      <c r="Q5" s="6">
        <v>20</v>
      </c>
      <c r="R5" s="13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25">
      <c r="A6" s="3"/>
    </row>
    <row r="7" spans="1:27" x14ac:dyDescent="0.25">
      <c r="A7" s="3"/>
    </row>
    <row r="8" spans="1:27" x14ac:dyDescent="0.25">
      <c r="A8" s="3"/>
    </row>
    <row r="9" spans="1:27" x14ac:dyDescent="0.25">
      <c r="A9" s="3"/>
    </row>
    <row r="10" spans="1:27" x14ac:dyDescent="0.25">
      <c r="A10" s="3"/>
    </row>
    <row r="11" spans="1:27" x14ac:dyDescent="0.25">
      <c r="A11" s="3"/>
    </row>
    <row r="12" spans="1:27" x14ac:dyDescent="0.25">
      <c r="A12" s="3"/>
    </row>
    <row r="13" spans="1:27" x14ac:dyDescent="0.25">
      <c r="A13" s="3"/>
    </row>
    <row r="14" spans="1:27" x14ac:dyDescent="0.25">
      <c r="A14" s="3"/>
    </row>
    <row r="15" spans="1:27" x14ac:dyDescent="0.25">
      <c r="A15" s="3"/>
    </row>
    <row r="16" spans="1:27" x14ac:dyDescent="0.25">
      <c r="A16" s="3"/>
    </row>
    <row r="17" spans="1:1" x14ac:dyDescent="0.25">
      <c r="A17" s="3"/>
    </row>
    <row r="18" spans="1:1" x14ac:dyDescent="0.25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25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25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25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25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25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25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25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25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25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25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25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25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25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25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25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25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25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25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25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25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25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25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25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25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25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25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12" sqref="B12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25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25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25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25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25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25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25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25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25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25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25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25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25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25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25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25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25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25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25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25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25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25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25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25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F47" sqref="F47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25">
      <c r="A3">
        <v>2025</v>
      </c>
      <c r="B3">
        <v>68120</v>
      </c>
      <c r="C3">
        <v>2100</v>
      </c>
      <c r="D3">
        <v>15280</v>
      </c>
      <c r="E3">
        <v>999999</v>
      </c>
    </row>
    <row r="4" spans="1:5" x14ac:dyDescent="0.25">
      <c r="A4">
        <v>2026</v>
      </c>
      <c r="B4">
        <v>70844.800000000003</v>
      </c>
      <c r="C4">
        <v>3960</v>
      </c>
      <c r="D4">
        <v>15850</v>
      </c>
      <c r="E4">
        <v>999999</v>
      </c>
    </row>
    <row r="5" spans="1:5" x14ac:dyDescent="0.25">
      <c r="A5">
        <v>2027</v>
      </c>
      <c r="B5">
        <v>73678.592000000004</v>
      </c>
      <c r="C5">
        <v>3420</v>
      </c>
      <c r="D5">
        <v>18700</v>
      </c>
      <c r="E5">
        <v>999999</v>
      </c>
    </row>
    <row r="6" spans="1:5" x14ac:dyDescent="0.25">
      <c r="A6">
        <v>2028</v>
      </c>
      <c r="B6">
        <v>76625.735680000013</v>
      </c>
      <c r="C6">
        <v>4990</v>
      </c>
      <c r="D6">
        <v>20440</v>
      </c>
      <c r="E6">
        <v>999999</v>
      </c>
    </row>
    <row r="7" spans="1:5" x14ac:dyDescent="0.25">
      <c r="A7">
        <v>2029</v>
      </c>
      <c r="B7">
        <v>79690.765107200001</v>
      </c>
      <c r="C7">
        <v>6410</v>
      </c>
      <c r="D7">
        <v>20900</v>
      </c>
      <c r="E7">
        <v>999999</v>
      </c>
    </row>
    <row r="8" spans="1:5" x14ac:dyDescent="0.25">
      <c r="A8">
        <v>2030</v>
      </c>
      <c r="B8">
        <v>82878.395711488018</v>
      </c>
      <c r="C8">
        <v>6310</v>
      </c>
      <c r="D8">
        <v>21800</v>
      </c>
      <c r="E8">
        <v>999999</v>
      </c>
    </row>
    <row r="9" spans="1:5" x14ac:dyDescent="0.25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25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25">
      <c r="A11">
        <v>2033</v>
      </c>
      <c r="B11">
        <v>82878.395711488018</v>
      </c>
      <c r="C11">
        <v>12220.984907583746</v>
      </c>
      <c r="D11">
        <v>26155.674757396799</v>
      </c>
      <c r="E11">
        <v>999999</v>
      </c>
    </row>
    <row r="12" spans="1:5" x14ac:dyDescent="0.25">
      <c r="A12">
        <v>2034</v>
      </c>
      <c r="B12">
        <v>82878.395711488018</v>
      </c>
      <c r="C12">
        <v>15233.457687303138</v>
      </c>
      <c r="D12">
        <v>27793.019997209838</v>
      </c>
      <c r="E12">
        <v>999999</v>
      </c>
    </row>
    <row r="13" spans="1:5" x14ac:dyDescent="0.25">
      <c r="A13">
        <v>2035</v>
      </c>
      <c r="B13">
        <v>82878.395711488018</v>
      </c>
      <c r="C13">
        <v>18988.505007223361</v>
      </c>
      <c r="D13">
        <v>29532.863049035175</v>
      </c>
      <c r="E13">
        <v>999999</v>
      </c>
    </row>
    <row r="14" spans="1:5" x14ac:dyDescent="0.25">
      <c r="A14">
        <v>2036</v>
      </c>
      <c r="B14">
        <v>82878.395711488018</v>
      </c>
      <c r="C14">
        <v>20887.355507945696</v>
      </c>
      <c r="D14">
        <v>31009.506201486936</v>
      </c>
      <c r="E14">
        <v>999999</v>
      </c>
    </row>
    <row r="15" spans="1:5" x14ac:dyDescent="0.25">
      <c r="A15">
        <v>2037</v>
      </c>
      <c r="B15">
        <v>82878.395711488018</v>
      </c>
      <c r="C15">
        <v>22976.091058740265</v>
      </c>
      <c r="D15">
        <v>32559.981511561284</v>
      </c>
      <c r="E15">
        <v>999999</v>
      </c>
    </row>
    <row r="16" spans="1:5" x14ac:dyDescent="0.25">
      <c r="A16">
        <v>2038</v>
      </c>
      <c r="B16">
        <v>82878.395711488018</v>
      </c>
      <c r="C16">
        <v>25273.700164614293</v>
      </c>
      <c r="D16">
        <v>34187.980587139347</v>
      </c>
      <c r="E16">
        <v>999999</v>
      </c>
    </row>
    <row r="17" spans="1:5" x14ac:dyDescent="0.25">
      <c r="A17">
        <v>2039</v>
      </c>
      <c r="B17">
        <v>82878.395711488018</v>
      </c>
      <c r="C17">
        <v>27801.070181075727</v>
      </c>
      <c r="D17">
        <v>35897.379616496313</v>
      </c>
      <c r="E17">
        <v>999999</v>
      </c>
    </row>
    <row r="18" spans="1:5" x14ac:dyDescent="0.25">
      <c r="A18">
        <v>2040</v>
      </c>
      <c r="B18">
        <v>82878.395711488018</v>
      </c>
      <c r="C18">
        <v>30581.177199183301</v>
      </c>
      <c r="D18">
        <v>37692.24859732113</v>
      </c>
      <c r="E18">
        <v>999999</v>
      </c>
    </row>
    <row r="19" spans="1:5" x14ac:dyDescent="0.25">
      <c r="A19">
        <v>2041</v>
      </c>
      <c r="B19">
        <v>82878.395711488018</v>
      </c>
      <c r="C19">
        <v>30581.177199183301</v>
      </c>
      <c r="D19">
        <v>37692.24859732113</v>
      </c>
      <c r="E19">
        <v>999999</v>
      </c>
    </row>
    <row r="20" spans="1:5" x14ac:dyDescent="0.25">
      <c r="A20">
        <v>2042</v>
      </c>
      <c r="B20">
        <v>82878.395711488018</v>
      </c>
      <c r="C20">
        <v>30581.177199183301</v>
      </c>
      <c r="D20">
        <v>37692.24859732113</v>
      </c>
      <c r="E20">
        <v>999999</v>
      </c>
    </row>
    <row r="21" spans="1:5" x14ac:dyDescent="0.25">
      <c r="A21">
        <v>2043</v>
      </c>
      <c r="B21">
        <v>82878.395711488018</v>
      </c>
      <c r="C21">
        <v>30581.177199183301</v>
      </c>
      <c r="D21">
        <v>37692.24859732113</v>
      </c>
      <c r="E21">
        <v>999999</v>
      </c>
    </row>
    <row r="22" spans="1:5" x14ac:dyDescent="0.25">
      <c r="A22">
        <v>2044</v>
      </c>
      <c r="B22">
        <v>82878.395711488018</v>
      </c>
      <c r="C22">
        <v>30581.177199183301</v>
      </c>
      <c r="D22">
        <v>37692.24859732113</v>
      </c>
      <c r="E22">
        <v>999999</v>
      </c>
    </row>
    <row r="23" spans="1:5" x14ac:dyDescent="0.25">
      <c r="A23">
        <v>2045</v>
      </c>
      <c r="B23">
        <v>82878.395711488018</v>
      </c>
      <c r="C23">
        <v>30581.177199183301</v>
      </c>
      <c r="D23">
        <v>37692.24859732113</v>
      </c>
      <c r="E23">
        <v>999999</v>
      </c>
    </row>
    <row r="24" spans="1:5" x14ac:dyDescent="0.25">
      <c r="A24">
        <v>2046</v>
      </c>
      <c r="B24">
        <v>82878.395711488018</v>
      </c>
      <c r="C24">
        <v>30581.177199183301</v>
      </c>
      <c r="D24">
        <v>37692.24859732113</v>
      </c>
      <c r="E24">
        <v>999999</v>
      </c>
    </row>
    <row r="25" spans="1:5" x14ac:dyDescent="0.25">
      <c r="A25">
        <v>2047</v>
      </c>
      <c r="B25">
        <v>82878.395711488018</v>
      </c>
      <c r="C25">
        <v>30581.177199183301</v>
      </c>
      <c r="D25">
        <v>37692.24859732113</v>
      </c>
      <c r="E25">
        <v>999999</v>
      </c>
    </row>
    <row r="26" spans="1:5" x14ac:dyDescent="0.25">
      <c r="A26">
        <v>2048</v>
      </c>
      <c r="B26">
        <v>82878.395711488018</v>
      </c>
      <c r="C26">
        <v>30581.177199183301</v>
      </c>
      <c r="D26">
        <v>37692.24859732113</v>
      </c>
      <c r="E26">
        <v>999999</v>
      </c>
    </row>
    <row r="27" spans="1:5" x14ac:dyDescent="0.25">
      <c r="A27">
        <v>2049</v>
      </c>
      <c r="B27">
        <v>82878.395711488018</v>
      </c>
      <c r="C27">
        <v>30581.177199183301</v>
      </c>
      <c r="D27">
        <v>37692.24859732113</v>
      </c>
      <c r="E27">
        <v>999999</v>
      </c>
    </row>
    <row r="28" spans="1:5" x14ac:dyDescent="0.25">
      <c r="A28">
        <v>2050</v>
      </c>
      <c r="B28">
        <v>82878.395711488018</v>
      </c>
      <c r="C28">
        <v>30581.177199183301</v>
      </c>
      <c r="D28">
        <v>37692.24859732113</v>
      </c>
      <c r="E28">
        <v>999999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E109"/>
  <sheetViews>
    <sheetView workbookViewId="0">
      <selection activeCell="I124" sqref="I124"/>
    </sheetView>
  </sheetViews>
  <sheetFormatPr baseColWidth="10" defaultRowHeight="15" x14ac:dyDescent="0.25"/>
  <cols>
    <col min="2" max="2" width="17.5703125" customWidth="1"/>
    <col min="3" max="3" width="8.7109375" customWidth="1"/>
    <col min="5" max="5" width="8.28515625" customWidth="1"/>
  </cols>
  <sheetData>
    <row r="1" spans="1:5" x14ac:dyDescent="0.25">
      <c r="A1" s="11" t="s">
        <v>67</v>
      </c>
      <c r="B1" s="11" t="s">
        <v>60</v>
      </c>
      <c r="C1" s="11" t="s">
        <v>61</v>
      </c>
      <c r="D1" s="11" t="s">
        <v>62</v>
      </c>
    </row>
    <row r="2" spans="1:5" x14ac:dyDescent="0.25">
      <c r="A2" s="18">
        <v>2024</v>
      </c>
      <c r="B2" s="11" t="s">
        <v>69</v>
      </c>
      <c r="C2" s="2">
        <v>270613611.10000002</v>
      </c>
      <c r="D2">
        <v>29.19</v>
      </c>
    </row>
    <row r="3" spans="1:5" x14ac:dyDescent="0.25">
      <c r="A3" s="18"/>
      <c r="B3" s="11" t="s">
        <v>70</v>
      </c>
      <c r="C3" s="2">
        <v>1047284444</v>
      </c>
      <c r="D3">
        <v>42.69</v>
      </c>
      <c r="E3" s="2"/>
    </row>
    <row r="4" spans="1:5" x14ac:dyDescent="0.25">
      <c r="A4" s="18"/>
      <c r="B4" s="11" t="s">
        <v>71</v>
      </c>
      <c r="C4" s="2">
        <v>2930833333</v>
      </c>
      <c r="D4">
        <v>150</v>
      </c>
    </row>
    <row r="5" spans="1:5" x14ac:dyDescent="0.25">
      <c r="A5" s="18"/>
      <c r="B5" s="11" t="s">
        <v>68</v>
      </c>
      <c r="C5" s="2">
        <v>484006334</v>
      </c>
      <c r="D5">
        <v>22.68</v>
      </c>
    </row>
    <row r="6" spans="1:5" x14ac:dyDescent="0.25">
      <c r="A6" s="18">
        <v>2025</v>
      </c>
      <c r="B6" s="11" t="s">
        <v>69</v>
      </c>
      <c r="C6" s="2">
        <v>270613611.10000002</v>
      </c>
      <c r="D6">
        <v>29.19</v>
      </c>
    </row>
    <row r="7" spans="1:5" x14ac:dyDescent="0.25">
      <c r="A7" s="18"/>
      <c r="B7" s="11" t="s">
        <v>70</v>
      </c>
      <c r="C7" s="2">
        <v>1047284444</v>
      </c>
      <c r="D7">
        <v>42.69</v>
      </c>
    </row>
    <row r="8" spans="1:5" x14ac:dyDescent="0.25">
      <c r="A8" s="18"/>
      <c r="B8" s="11" t="s">
        <v>71</v>
      </c>
      <c r="C8" s="2">
        <v>2930833333</v>
      </c>
      <c r="D8">
        <v>150</v>
      </c>
    </row>
    <row r="9" spans="1:5" x14ac:dyDescent="0.25">
      <c r="A9" s="18"/>
      <c r="B9" s="11" t="s">
        <v>68</v>
      </c>
      <c r="C9" s="2">
        <f>SUM(C5*(1-0.04052))</f>
        <v>464394397.34631997</v>
      </c>
      <c r="D9">
        <v>22.545000000000002</v>
      </c>
    </row>
    <row r="10" spans="1:5" x14ac:dyDescent="0.25">
      <c r="A10" s="18">
        <v>2026</v>
      </c>
      <c r="B10" s="11" t="s">
        <v>69</v>
      </c>
      <c r="C10" s="2">
        <v>270613611.10000002</v>
      </c>
      <c r="D10">
        <v>29.19</v>
      </c>
    </row>
    <row r="11" spans="1:5" x14ac:dyDescent="0.25">
      <c r="A11" s="18"/>
      <c r="B11" s="11" t="s">
        <v>70</v>
      </c>
      <c r="C11" s="2">
        <v>1047284444</v>
      </c>
      <c r="D11">
        <v>42.69</v>
      </c>
    </row>
    <row r="12" spans="1:5" x14ac:dyDescent="0.25">
      <c r="A12" s="18"/>
      <c r="B12" s="11" t="s">
        <v>71</v>
      </c>
      <c r="C12" s="2">
        <v>2930833333</v>
      </c>
      <c r="D12">
        <v>150</v>
      </c>
    </row>
    <row r="13" spans="1:5" x14ac:dyDescent="0.25">
      <c r="A13" s="18"/>
      <c r="B13" s="11" t="s">
        <v>68</v>
      </c>
      <c r="C13" s="2">
        <f>SUM(C9*(1-0.04052))</f>
        <v>445577136.36584711</v>
      </c>
      <c r="D13">
        <v>22.41</v>
      </c>
    </row>
    <row r="14" spans="1:5" x14ac:dyDescent="0.25">
      <c r="A14" s="18">
        <v>2027</v>
      </c>
      <c r="B14" s="11" t="s">
        <v>69</v>
      </c>
      <c r="C14" s="2">
        <v>270613611.10000002</v>
      </c>
      <c r="D14">
        <v>29.19</v>
      </c>
    </row>
    <row r="15" spans="1:5" x14ac:dyDescent="0.25">
      <c r="A15" s="18"/>
      <c r="B15" s="11" t="s">
        <v>70</v>
      </c>
      <c r="C15" s="2">
        <v>1047284444</v>
      </c>
      <c r="D15">
        <v>42.69</v>
      </c>
    </row>
    <row r="16" spans="1:5" x14ac:dyDescent="0.25">
      <c r="A16" s="18"/>
      <c r="B16" s="11" t="s">
        <v>71</v>
      </c>
      <c r="C16" s="2">
        <v>2930833333</v>
      </c>
      <c r="D16">
        <v>150</v>
      </c>
    </row>
    <row r="17" spans="1:4" x14ac:dyDescent="0.25">
      <c r="A17" s="18"/>
      <c r="B17" s="11" t="s">
        <v>68</v>
      </c>
      <c r="C17" s="2">
        <f>SUM(C13*(1-0.04052))</f>
        <v>427522350.80030298</v>
      </c>
      <c r="D17">
        <v>22.274999999999999</v>
      </c>
    </row>
    <row r="18" spans="1:4" x14ac:dyDescent="0.25">
      <c r="A18" s="18">
        <v>2028</v>
      </c>
      <c r="B18" s="11" t="s">
        <v>69</v>
      </c>
      <c r="C18" s="2">
        <v>270613611.10000002</v>
      </c>
      <c r="D18">
        <v>29.19</v>
      </c>
    </row>
    <row r="19" spans="1:4" x14ac:dyDescent="0.25">
      <c r="A19" s="18"/>
      <c r="B19" s="11" t="s">
        <v>70</v>
      </c>
      <c r="C19" s="2">
        <v>1047284444</v>
      </c>
      <c r="D19">
        <v>42.69</v>
      </c>
    </row>
    <row r="20" spans="1:4" x14ac:dyDescent="0.25">
      <c r="A20" s="18"/>
      <c r="B20" s="11" t="s">
        <v>71</v>
      </c>
      <c r="C20" s="2">
        <v>2930833333</v>
      </c>
      <c r="D20">
        <v>150</v>
      </c>
    </row>
    <row r="21" spans="1:4" x14ac:dyDescent="0.25">
      <c r="A21" s="18"/>
      <c r="B21" s="11" t="s">
        <v>68</v>
      </c>
      <c r="C21" s="2">
        <f>SUM(C17*(1-0.04052))</f>
        <v>410199145.14587468</v>
      </c>
      <c r="D21">
        <v>22.14</v>
      </c>
    </row>
    <row r="22" spans="1:4" x14ac:dyDescent="0.25">
      <c r="A22" s="18">
        <v>2029</v>
      </c>
      <c r="B22" s="11" t="s">
        <v>69</v>
      </c>
      <c r="C22" s="2">
        <v>270613611.10000002</v>
      </c>
      <c r="D22">
        <v>29.19</v>
      </c>
    </row>
    <row r="23" spans="1:4" x14ac:dyDescent="0.25">
      <c r="A23" s="18"/>
      <c r="B23" s="11" t="s">
        <v>70</v>
      </c>
      <c r="C23" s="2">
        <v>1047284444</v>
      </c>
      <c r="D23">
        <v>42.69</v>
      </c>
    </row>
    <row r="24" spans="1:4" x14ac:dyDescent="0.25">
      <c r="A24" s="18"/>
      <c r="B24" s="11" t="s">
        <v>71</v>
      </c>
      <c r="C24" s="2">
        <v>2930833333</v>
      </c>
      <c r="D24">
        <v>150</v>
      </c>
    </row>
    <row r="25" spans="1:4" x14ac:dyDescent="0.25">
      <c r="A25" s="18"/>
      <c r="B25" s="11" t="s">
        <v>68</v>
      </c>
      <c r="C25" s="2">
        <f>SUM(C21*(1-0.04052))</f>
        <v>393577875.78456384</v>
      </c>
      <c r="D25">
        <v>22.004999999999999</v>
      </c>
    </row>
    <row r="26" spans="1:4" x14ac:dyDescent="0.25">
      <c r="A26" s="18">
        <v>2030</v>
      </c>
      <c r="B26" s="11" t="s">
        <v>69</v>
      </c>
      <c r="C26" s="2">
        <v>270613611.10000002</v>
      </c>
      <c r="D26">
        <v>29.19</v>
      </c>
    </row>
    <row r="27" spans="1:4" x14ac:dyDescent="0.25">
      <c r="A27" s="18"/>
      <c r="B27" s="11" t="s">
        <v>70</v>
      </c>
      <c r="C27" s="2">
        <v>1047284444</v>
      </c>
      <c r="D27">
        <v>42.69</v>
      </c>
    </row>
    <row r="28" spans="1:4" x14ac:dyDescent="0.25">
      <c r="A28" s="18"/>
      <c r="B28" s="11" t="s">
        <v>71</v>
      </c>
      <c r="C28" s="2">
        <v>2930833333</v>
      </c>
      <c r="D28">
        <v>150</v>
      </c>
    </row>
    <row r="29" spans="1:4" x14ac:dyDescent="0.25">
      <c r="A29" s="18"/>
      <c r="B29" s="11" t="s">
        <v>68</v>
      </c>
      <c r="C29" s="2">
        <f>SUM(C25*(1-0.04052))</f>
        <v>377630100.25777334</v>
      </c>
      <c r="D29">
        <v>21.87</v>
      </c>
    </row>
    <row r="30" spans="1:4" x14ac:dyDescent="0.25">
      <c r="A30" s="18">
        <v>2031</v>
      </c>
      <c r="B30" s="11" t="s">
        <v>69</v>
      </c>
      <c r="C30" s="2">
        <v>270613611.10000002</v>
      </c>
      <c r="D30">
        <v>29.19</v>
      </c>
    </row>
    <row r="31" spans="1:4" x14ac:dyDescent="0.25">
      <c r="A31" s="18"/>
      <c r="B31" s="11" t="s">
        <v>70</v>
      </c>
      <c r="C31" s="2">
        <v>1047284444</v>
      </c>
      <c r="D31">
        <v>42.69</v>
      </c>
    </row>
    <row r="32" spans="1:4" x14ac:dyDescent="0.25">
      <c r="A32" s="18"/>
      <c r="B32" s="11" t="s">
        <v>71</v>
      </c>
      <c r="C32" s="2">
        <v>2930833333</v>
      </c>
      <c r="D32">
        <v>150</v>
      </c>
    </row>
    <row r="33" spans="1:4" x14ac:dyDescent="0.25">
      <c r="A33" s="18"/>
      <c r="B33" s="11" t="s">
        <v>68</v>
      </c>
      <c r="C33" s="2">
        <f>SUM(C29*(1-0.04052))</f>
        <v>362328528.59532839</v>
      </c>
      <c r="D33">
        <v>21.734999999999999</v>
      </c>
    </row>
    <row r="34" spans="1:4" x14ac:dyDescent="0.25">
      <c r="A34" s="18">
        <v>2032</v>
      </c>
      <c r="B34" s="11" t="s">
        <v>69</v>
      </c>
      <c r="C34" s="2">
        <v>270613611.10000002</v>
      </c>
      <c r="D34">
        <v>29.19</v>
      </c>
    </row>
    <row r="35" spans="1:4" x14ac:dyDescent="0.25">
      <c r="A35" s="18"/>
      <c r="B35" s="11" t="s">
        <v>70</v>
      </c>
      <c r="C35" s="2">
        <v>1047284444</v>
      </c>
      <c r="D35">
        <v>42.69</v>
      </c>
    </row>
    <row r="36" spans="1:4" x14ac:dyDescent="0.25">
      <c r="A36" s="18"/>
      <c r="B36" s="11" t="s">
        <v>71</v>
      </c>
      <c r="C36" s="2">
        <v>2930833333</v>
      </c>
      <c r="D36">
        <v>150</v>
      </c>
    </row>
    <row r="37" spans="1:4" x14ac:dyDescent="0.25">
      <c r="A37" s="18"/>
      <c r="B37" s="11" t="s">
        <v>68</v>
      </c>
      <c r="C37" s="2">
        <f>SUM(C33*(1-0.04052))</f>
        <v>347646976.61664569</v>
      </c>
      <c r="D37">
        <v>21.6</v>
      </c>
    </row>
    <row r="38" spans="1:4" x14ac:dyDescent="0.25">
      <c r="A38" s="18">
        <v>2033</v>
      </c>
      <c r="B38" s="11" t="s">
        <v>69</v>
      </c>
      <c r="C38" s="2">
        <v>270613611.10000002</v>
      </c>
      <c r="D38">
        <v>29.19</v>
      </c>
    </row>
    <row r="39" spans="1:4" x14ac:dyDescent="0.25">
      <c r="A39" s="18"/>
      <c r="B39" s="11" t="s">
        <v>70</v>
      </c>
      <c r="C39" s="2">
        <v>1047284444</v>
      </c>
      <c r="D39">
        <v>42.69</v>
      </c>
    </row>
    <row r="40" spans="1:4" x14ac:dyDescent="0.25">
      <c r="A40" s="18"/>
      <c r="B40" s="11" t="s">
        <v>71</v>
      </c>
      <c r="C40" s="2">
        <v>2930833333</v>
      </c>
      <c r="D40">
        <v>150</v>
      </c>
    </row>
    <row r="41" spans="1:4" x14ac:dyDescent="0.25">
      <c r="A41" s="18"/>
      <c r="B41" s="11" t="s">
        <v>68</v>
      </c>
      <c r="C41" s="2">
        <f>SUM(C37*(1-0.04052))</f>
        <v>333560321.12413919</v>
      </c>
      <c r="D41">
        <v>21.465</v>
      </c>
    </row>
    <row r="42" spans="1:4" x14ac:dyDescent="0.25">
      <c r="A42" s="18">
        <v>2034</v>
      </c>
      <c r="B42" s="11" t="s">
        <v>69</v>
      </c>
      <c r="C42" s="2">
        <v>270613611.10000002</v>
      </c>
      <c r="D42">
        <v>29.19</v>
      </c>
    </row>
    <row r="43" spans="1:4" x14ac:dyDescent="0.25">
      <c r="A43" s="18"/>
      <c r="B43" s="11" t="s">
        <v>70</v>
      </c>
      <c r="C43" s="2">
        <v>1047284444</v>
      </c>
      <c r="D43">
        <v>42.69</v>
      </c>
    </row>
    <row r="44" spans="1:4" x14ac:dyDescent="0.25">
      <c r="A44" s="18"/>
      <c r="B44" s="11" t="s">
        <v>71</v>
      </c>
      <c r="C44" s="2">
        <v>2930833333</v>
      </c>
      <c r="D44">
        <v>150</v>
      </c>
    </row>
    <row r="45" spans="1:4" x14ac:dyDescent="0.25">
      <c r="A45" s="18"/>
      <c r="B45" s="11" t="s">
        <v>68</v>
      </c>
      <c r="C45" s="2">
        <f>SUM(C41*(1-0.04052))</f>
        <v>320044456.91218907</v>
      </c>
      <c r="D45">
        <v>21.33</v>
      </c>
    </row>
    <row r="46" spans="1:4" x14ac:dyDescent="0.25">
      <c r="A46" s="18">
        <v>2035</v>
      </c>
      <c r="B46" s="11" t="s">
        <v>69</v>
      </c>
      <c r="C46" s="2">
        <v>270613611.10000002</v>
      </c>
      <c r="D46">
        <v>29.19</v>
      </c>
    </row>
    <row r="47" spans="1:4" x14ac:dyDescent="0.25">
      <c r="A47" s="18"/>
      <c r="B47" s="11" t="s">
        <v>70</v>
      </c>
      <c r="C47" s="2">
        <v>1047284444</v>
      </c>
      <c r="D47">
        <v>42.69</v>
      </c>
    </row>
    <row r="48" spans="1:4" x14ac:dyDescent="0.25">
      <c r="A48" s="18"/>
      <c r="B48" s="11" t="s">
        <v>71</v>
      </c>
      <c r="C48" s="2">
        <v>2930833333</v>
      </c>
      <c r="D48">
        <v>150</v>
      </c>
    </row>
    <row r="49" spans="1:4" x14ac:dyDescent="0.25">
      <c r="A49" s="18"/>
      <c r="B49" s="11" t="s">
        <v>68</v>
      </c>
      <c r="C49" s="2">
        <f>SUM(C45*(1-0.04052))</f>
        <v>307076255.51810718</v>
      </c>
      <c r="D49">
        <v>21.195</v>
      </c>
    </row>
    <row r="50" spans="1:4" x14ac:dyDescent="0.25">
      <c r="A50" s="18">
        <v>2036</v>
      </c>
      <c r="B50" s="11" t="s">
        <v>69</v>
      </c>
      <c r="C50" s="2">
        <v>270613611.10000002</v>
      </c>
      <c r="D50">
        <v>29.19</v>
      </c>
    </row>
    <row r="51" spans="1:4" x14ac:dyDescent="0.25">
      <c r="A51" s="18"/>
      <c r="B51" s="11" t="s">
        <v>70</v>
      </c>
      <c r="C51" s="2">
        <v>1047284444</v>
      </c>
      <c r="D51">
        <v>42.69</v>
      </c>
    </row>
    <row r="52" spans="1:4" x14ac:dyDescent="0.25">
      <c r="A52" s="18"/>
      <c r="B52" s="11" t="s">
        <v>71</v>
      </c>
      <c r="C52" s="2">
        <v>2930833333</v>
      </c>
      <c r="D52">
        <v>150</v>
      </c>
    </row>
    <row r="53" spans="1:4" x14ac:dyDescent="0.25">
      <c r="A53" s="18"/>
      <c r="B53" s="11" t="s">
        <v>68</v>
      </c>
      <c r="C53" s="2">
        <f>SUM(C49*(1-0.04052))</f>
        <v>294633525.64451349</v>
      </c>
      <c r="D53">
        <v>21.06</v>
      </c>
    </row>
    <row r="54" spans="1:4" x14ac:dyDescent="0.25">
      <c r="A54" s="18">
        <v>2037</v>
      </c>
      <c r="B54" s="11" t="s">
        <v>69</v>
      </c>
      <c r="C54" s="2">
        <v>270613611.10000002</v>
      </c>
      <c r="D54">
        <v>29.19</v>
      </c>
    </row>
    <row r="55" spans="1:4" x14ac:dyDescent="0.25">
      <c r="A55" s="18"/>
      <c r="B55" s="11" t="s">
        <v>70</v>
      </c>
      <c r="C55" s="2">
        <v>1047284444</v>
      </c>
      <c r="D55">
        <v>42.69</v>
      </c>
    </row>
    <row r="56" spans="1:4" x14ac:dyDescent="0.25">
      <c r="A56" s="18"/>
      <c r="B56" s="11" t="s">
        <v>71</v>
      </c>
      <c r="C56" s="2">
        <v>2930833333</v>
      </c>
      <c r="D56">
        <v>150</v>
      </c>
    </row>
    <row r="57" spans="1:4" x14ac:dyDescent="0.25">
      <c r="A57" s="18"/>
      <c r="B57" s="11" t="s">
        <v>68</v>
      </c>
      <c r="C57" s="2">
        <f>SUM(C53*(1-0.04052))</f>
        <v>282694975.1853978</v>
      </c>
      <c r="D57">
        <v>20.925000000000001</v>
      </c>
    </row>
    <row r="58" spans="1:4" x14ac:dyDescent="0.25">
      <c r="A58" s="18">
        <v>2038</v>
      </c>
      <c r="B58" s="11" t="s">
        <v>69</v>
      </c>
      <c r="C58" s="2">
        <v>270613611.10000002</v>
      </c>
      <c r="D58">
        <v>29.19</v>
      </c>
    </row>
    <row r="59" spans="1:4" x14ac:dyDescent="0.25">
      <c r="A59" s="18"/>
      <c r="B59" s="11" t="s">
        <v>70</v>
      </c>
      <c r="C59" s="2">
        <v>1047284444</v>
      </c>
      <c r="D59">
        <v>42.69</v>
      </c>
    </row>
    <row r="60" spans="1:4" x14ac:dyDescent="0.25">
      <c r="A60" s="18"/>
      <c r="B60" s="11" t="s">
        <v>71</v>
      </c>
      <c r="C60" s="2">
        <v>2930833333</v>
      </c>
      <c r="D60">
        <v>150</v>
      </c>
    </row>
    <row r="61" spans="1:4" x14ac:dyDescent="0.25">
      <c r="A61" s="18"/>
      <c r="B61" s="11" t="s">
        <v>68</v>
      </c>
      <c r="C61" s="2">
        <f>SUM(C57*(1-0.04052))</f>
        <v>271240174.79088551</v>
      </c>
      <c r="D61">
        <v>20.79</v>
      </c>
    </row>
    <row r="62" spans="1:4" x14ac:dyDescent="0.25">
      <c r="A62" s="18">
        <v>2039</v>
      </c>
      <c r="B62" s="11" t="s">
        <v>69</v>
      </c>
      <c r="C62" s="2">
        <v>270613611.10000002</v>
      </c>
      <c r="D62">
        <v>29.19</v>
      </c>
    </row>
    <row r="63" spans="1:4" x14ac:dyDescent="0.25">
      <c r="A63" s="18"/>
      <c r="B63" s="11" t="s">
        <v>70</v>
      </c>
      <c r="C63" s="2">
        <v>1047284444</v>
      </c>
      <c r="D63">
        <v>42.69</v>
      </c>
    </row>
    <row r="64" spans="1:4" x14ac:dyDescent="0.25">
      <c r="A64" s="18"/>
      <c r="B64" s="11" t="s">
        <v>71</v>
      </c>
      <c r="C64" s="2">
        <v>2930833333</v>
      </c>
      <c r="D64">
        <v>150</v>
      </c>
    </row>
    <row r="65" spans="1:4" x14ac:dyDescent="0.25">
      <c r="A65" s="18"/>
      <c r="B65" s="11" t="s">
        <v>68</v>
      </c>
      <c r="C65" s="2">
        <f>SUM(C61*(1-0.04052))</f>
        <v>260249522.90835881</v>
      </c>
      <c r="D65">
        <v>20.655000000000001</v>
      </c>
    </row>
    <row r="66" spans="1:4" x14ac:dyDescent="0.25">
      <c r="A66" s="18">
        <v>2040</v>
      </c>
      <c r="B66" s="11" t="s">
        <v>69</v>
      </c>
      <c r="C66" s="2">
        <v>270613611.10000002</v>
      </c>
      <c r="D66">
        <v>29.19</v>
      </c>
    </row>
    <row r="67" spans="1:4" x14ac:dyDescent="0.25">
      <c r="A67" s="18"/>
      <c r="B67" s="11" t="s">
        <v>70</v>
      </c>
      <c r="C67" s="2">
        <v>1047284444</v>
      </c>
      <c r="D67">
        <v>42.69</v>
      </c>
    </row>
    <row r="68" spans="1:4" x14ac:dyDescent="0.25">
      <c r="A68" s="18"/>
      <c r="B68" s="11" t="s">
        <v>71</v>
      </c>
      <c r="C68" s="2">
        <v>2930833333</v>
      </c>
      <c r="D68">
        <v>150</v>
      </c>
    </row>
    <row r="69" spans="1:4" x14ac:dyDescent="0.25">
      <c r="A69" s="18"/>
      <c r="B69" s="11" t="s">
        <v>68</v>
      </c>
      <c r="C69" s="2">
        <f>SUM(C65*(1-0.04052))</f>
        <v>249704212.24011213</v>
      </c>
      <c r="D69">
        <v>20.52</v>
      </c>
    </row>
    <row r="70" spans="1:4" x14ac:dyDescent="0.25">
      <c r="A70" s="18">
        <v>2041</v>
      </c>
      <c r="B70" s="11" t="s">
        <v>69</v>
      </c>
      <c r="C70" s="2">
        <v>270613611.10000002</v>
      </c>
      <c r="D70">
        <v>29.19</v>
      </c>
    </row>
    <row r="71" spans="1:4" x14ac:dyDescent="0.25">
      <c r="A71" s="18"/>
      <c r="B71" s="11" t="s">
        <v>70</v>
      </c>
      <c r="C71" s="2">
        <v>1047284444</v>
      </c>
      <c r="D71">
        <v>42.69</v>
      </c>
    </row>
    <row r="72" spans="1:4" x14ac:dyDescent="0.25">
      <c r="A72" s="18"/>
      <c r="B72" s="11" t="s">
        <v>71</v>
      </c>
      <c r="C72" s="2">
        <v>2930833333</v>
      </c>
      <c r="D72">
        <v>150</v>
      </c>
    </row>
    <row r="73" spans="1:4" x14ac:dyDescent="0.25">
      <c r="A73" s="18"/>
      <c r="B73" s="11" t="s">
        <v>68</v>
      </c>
      <c r="C73" s="2">
        <f>SUM(C69*(1-0.04052))</f>
        <v>239586197.56014279</v>
      </c>
      <c r="D73">
        <v>20.52</v>
      </c>
    </row>
    <row r="74" spans="1:4" x14ac:dyDescent="0.25">
      <c r="A74" s="18">
        <v>2042</v>
      </c>
      <c r="B74" s="11" t="s">
        <v>69</v>
      </c>
      <c r="C74" s="2">
        <v>270613611.10000002</v>
      </c>
      <c r="D74">
        <v>29.19</v>
      </c>
    </row>
    <row r="75" spans="1:4" x14ac:dyDescent="0.25">
      <c r="A75" s="18"/>
      <c r="B75" s="11" t="s">
        <v>70</v>
      </c>
      <c r="C75" s="2">
        <v>1047284444</v>
      </c>
      <c r="D75">
        <v>42.69</v>
      </c>
    </row>
    <row r="76" spans="1:4" x14ac:dyDescent="0.25">
      <c r="A76" s="18"/>
      <c r="B76" s="11" t="s">
        <v>71</v>
      </c>
      <c r="C76" s="2">
        <v>2930833333</v>
      </c>
      <c r="D76">
        <v>150</v>
      </c>
    </row>
    <row r="77" spans="1:4" x14ac:dyDescent="0.25">
      <c r="A77" s="18"/>
      <c r="B77" s="11" t="s">
        <v>68</v>
      </c>
      <c r="C77" s="2">
        <f>SUM(C73*(1-0.04052))</f>
        <v>229878164.83500579</v>
      </c>
      <c r="D77">
        <v>20.52</v>
      </c>
    </row>
    <row r="78" spans="1:4" x14ac:dyDescent="0.25">
      <c r="A78" s="18">
        <v>2043</v>
      </c>
      <c r="B78" s="11" t="s">
        <v>69</v>
      </c>
      <c r="C78" s="2">
        <v>270613611.10000002</v>
      </c>
      <c r="D78">
        <v>29.19</v>
      </c>
    </row>
    <row r="79" spans="1:4" x14ac:dyDescent="0.25">
      <c r="A79" s="18"/>
      <c r="B79" s="11" t="s">
        <v>70</v>
      </c>
      <c r="C79" s="2">
        <v>1047284444</v>
      </c>
      <c r="D79">
        <v>42.69</v>
      </c>
    </row>
    <row r="80" spans="1:4" x14ac:dyDescent="0.25">
      <c r="A80" s="18"/>
      <c r="B80" s="11" t="s">
        <v>71</v>
      </c>
      <c r="C80" s="2">
        <v>2930833333</v>
      </c>
      <c r="D80">
        <v>150</v>
      </c>
    </row>
    <row r="81" spans="1:4" x14ac:dyDescent="0.25">
      <c r="A81" s="18"/>
      <c r="B81" s="11" t="s">
        <v>68</v>
      </c>
      <c r="C81" s="2">
        <f>SUM(C77*(1-0.04052))</f>
        <v>220563501.59589136</v>
      </c>
      <c r="D81">
        <v>20.52</v>
      </c>
    </row>
    <row r="82" spans="1:4" x14ac:dyDescent="0.25">
      <c r="A82" s="18">
        <v>2044</v>
      </c>
      <c r="B82" s="11" t="s">
        <v>69</v>
      </c>
      <c r="C82" s="2">
        <v>270613611.10000002</v>
      </c>
      <c r="D82">
        <v>29.19</v>
      </c>
    </row>
    <row r="83" spans="1:4" x14ac:dyDescent="0.25">
      <c r="A83" s="18"/>
      <c r="B83" s="11" t="s">
        <v>70</v>
      </c>
      <c r="C83" s="2">
        <v>1047284444</v>
      </c>
      <c r="D83">
        <v>42.69</v>
      </c>
    </row>
    <row r="84" spans="1:4" x14ac:dyDescent="0.25">
      <c r="A84" s="18"/>
      <c r="B84" s="11" t="s">
        <v>71</v>
      </c>
      <c r="C84" s="2">
        <v>2930833333</v>
      </c>
      <c r="D84">
        <v>150</v>
      </c>
    </row>
    <row r="85" spans="1:4" x14ac:dyDescent="0.25">
      <c r="A85" s="18"/>
      <c r="B85" s="11" t="s">
        <v>68</v>
      </c>
      <c r="C85" s="2">
        <f>SUM(C81*(1-0.04052))</f>
        <v>211626268.51122585</v>
      </c>
      <c r="D85">
        <v>20.52</v>
      </c>
    </row>
    <row r="86" spans="1:4" x14ac:dyDescent="0.25">
      <c r="A86" s="18">
        <v>2045</v>
      </c>
      <c r="B86" s="11" t="s">
        <v>69</v>
      </c>
      <c r="C86" s="2">
        <v>270613611.10000002</v>
      </c>
      <c r="D86">
        <v>29.19</v>
      </c>
    </row>
    <row r="87" spans="1:4" x14ac:dyDescent="0.25">
      <c r="A87" s="18"/>
      <c r="B87" s="11" t="s">
        <v>70</v>
      </c>
      <c r="C87" s="2">
        <v>1047284444</v>
      </c>
      <c r="D87">
        <v>42.69</v>
      </c>
    </row>
    <row r="88" spans="1:4" x14ac:dyDescent="0.25">
      <c r="A88" s="18"/>
      <c r="B88" s="11" t="s">
        <v>71</v>
      </c>
      <c r="C88" s="2">
        <v>2930833333</v>
      </c>
      <c r="D88">
        <v>150</v>
      </c>
    </row>
    <row r="89" spans="1:4" x14ac:dyDescent="0.25">
      <c r="A89" s="18"/>
      <c r="B89" s="11" t="s">
        <v>68</v>
      </c>
      <c r="C89" s="2">
        <f>SUM(C85*(1-0.04052))</f>
        <v>203051172.11115098</v>
      </c>
      <c r="D89">
        <v>20.52</v>
      </c>
    </row>
    <row r="90" spans="1:4" x14ac:dyDescent="0.25">
      <c r="A90" s="18">
        <v>2046</v>
      </c>
      <c r="B90" s="11" t="s">
        <v>69</v>
      </c>
      <c r="C90" s="2">
        <v>270613611.10000002</v>
      </c>
      <c r="D90">
        <v>29.19</v>
      </c>
    </row>
    <row r="91" spans="1:4" x14ac:dyDescent="0.25">
      <c r="A91" s="18"/>
      <c r="B91" s="11" t="s">
        <v>70</v>
      </c>
      <c r="C91" s="2">
        <v>1047284444</v>
      </c>
      <c r="D91">
        <v>42.69</v>
      </c>
    </row>
    <row r="92" spans="1:4" x14ac:dyDescent="0.25">
      <c r="A92" s="18"/>
      <c r="B92" s="11" t="s">
        <v>71</v>
      </c>
      <c r="C92" s="2">
        <v>2930833333</v>
      </c>
      <c r="D92">
        <v>150</v>
      </c>
    </row>
    <row r="93" spans="1:4" x14ac:dyDescent="0.25">
      <c r="A93" s="18"/>
      <c r="B93" s="11" t="s">
        <v>68</v>
      </c>
      <c r="C93" s="2">
        <f>SUM(C89*(1-0.04052))</f>
        <v>194823538.61720714</v>
      </c>
      <c r="D93">
        <v>20.52</v>
      </c>
    </row>
    <row r="94" spans="1:4" x14ac:dyDescent="0.25">
      <c r="A94" s="18">
        <v>2047</v>
      </c>
      <c r="B94" s="11" t="s">
        <v>69</v>
      </c>
      <c r="C94" s="2">
        <v>270613611.10000002</v>
      </c>
      <c r="D94">
        <v>29.19</v>
      </c>
    </row>
    <row r="95" spans="1:4" x14ac:dyDescent="0.25">
      <c r="A95" s="18"/>
      <c r="B95" s="11" t="s">
        <v>70</v>
      </c>
      <c r="C95" s="2">
        <v>1047284444</v>
      </c>
      <c r="D95">
        <v>42.69</v>
      </c>
    </row>
    <row r="96" spans="1:4" x14ac:dyDescent="0.25">
      <c r="A96" s="18"/>
      <c r="B96" s="11" t="s">
        <v>71</v>
      </c>
      <c r="C96" s="2">
        <v>2930833333</v>
      </c>
      <c r="D96">
        <v>150</v>
      </c>
    </row>
    <row r="97" spans="1:4" x14ac:dyDescent="0.25">
      <c r="A97" s="18"/>
      <c r="B97" s="11" t="s">
        <v>68</v>
      </c>
      <c r="C97" s="2">
        <f>SUM(C93*(1-0.04052))</f>
        <v>186929288.8324379</v>
      </c>
      <c r="D97">
        <v>20.52</v>
      </c>
    </row>
    <row r="98" spans="1:4" x14ac:dyDescent="0.25">
      <c r="A98" s="18">
        <v>2048</v>
      </c>
      <c r="B98" s="11" t="s">
        <v>69</v>
      </c>
      <c r="C98" s="2">
        <v>270613611.10000002</v>
      </c>
      <c r="D98">
        <v>29.19</v>
      </c>
    </row>
    <row r="99" spans="1:4" x14ac:dyDescent="0.25">
      <c r="A99" s="18"/>
      <c r="B99" s="11" t="s">
        <v>70</v>
      </c>
      <c r="C99" s="2">
        <v>1047284444</v>
      </c>
      <c r="D99">
        <v>42.69</v>
      </c>
    </row>
    <row r="100" spans="1:4" x14ac:dyDescent="0.25">
      <c r="A100" s="18"/>
      <c r="B100" s="11" t="s">
        <v>71</v>
      </c>
      <c r="C100" s="2">
        <v>2930833333</v>
      </c>
      <c r="D100">
        <v>150</v>
      </c>
    </row>
    <row r="101" spans="1:4" x14ac:dyDescent="0.25">
      <c r="A101" s="18"/>
      <c r="B101" s="11" t="s">
        <v>68</v>
      </c>
      <c r="C101" s="2">
        <f>SUM(C97*(1-0.04052))</f>
        <v>179354914.04894751</v>
      </c>
      <c r="D101">
        <v>20.52</v>
      </c>
    </row>
    <row r="102" spans="1:4" x14ac:dyDescent="0.25">
      <c r="A102" s="18">
        <v>2049</v>
      </c>
      <c r="B102" s="11" t="s">
        <v>69</v>
      </c>
      <c r="C102" s="2">
        <v>270613611.10000002</v>
      </c>
      <c r="D102">
        <v>29.19</v>
      </c>
    </row>
    <row r="103" spans="1:4" x14ac:dyDescent="0.25">
      <c r="A103" s="18"/>
      <c r="B103" s="11" t="s">
        <v>70</v>
      </c>
      <c r="C103" s="2">
        <v>1047284444</v>
      </c>
      <c r="D103">
        <v>42.69</v>
      </c>
    </row>
    <row r="104" spans="1:4" x14ac:dyDescent="0.25">
      <c r="A104" s="18"/>
      <c r="B104" s="11" t="s">
        <v>71</v>
      </c>
      <c r="C104" s="2">
        <v>2930833333</v>
      </c>
      <c r="D104">
        <v>150</v>
      </c>
    </row>
    <row r="105" spans="1:4" x14ac:dyDescent="0.25">
      <c r="A105" s="18"/>
      <c r="B105" s="11" t="s">
        <v>68</v>
      </c>
      <c r="C105" s="2">
        <f>SUM(C101*(1-0.04052))</f>
        <v>172087452.93168417</v>
      </c>
      <c r="D105">
        <v>20.52</v>
      </c>
    </row>
    <row r="106" spans="1:4" x14ac:dyDescent="0.25">
      <c r="A106" s="18">
        <v>2050</v>
      </c>
      <c r="B106" s="11" t="s">
        <v>69</v>
      </c>
      <c r="C106" s="2">
        <v>270613611.10000002</v>
      </c>
      <c r="D106">
        <v>29.19</v>
      </c>
    </row>
    <row r="107" spans="1:4" x14ac:dyDescent="0.25">
      <c r="A107" s="18"/>
      <c r="B107" s="11" t="s">
        <v>70</v>
      </c>
      <c r="C107" s="2">
        <v>1047284444</v>
      </c>
      <c r="D107">
        <v>42.69</v>
      </c>
    </row>
    <row r="108" spans="1:4" x14ac:dyDescent="0.25">
      <c r="A108" s="18"/>
      <c r="B108" s="11" t="s">
        <v>71</v>
      </c>
      <c r="C108" s="2">
        <v>2930833333</v>
      </c>
      <c r="D108">
        <v>150</v>
      </c>
    </row>
    <row r="109" spans="1:4" x14ac:dyDescent="0.25">
      <c r="A109" s="18"/>
      <c r="B109" s="11" t="s">
        <v>68</v>
      </c>
      <c r="C109" s="2">
        <f>SUM(C105*(1-0.04052))</f>
        <v>165114469.33889231</v>
      </c>
      <c r="D109">
        <v>20.52</v>
      </c>
    </row>
  </sheetData>
  <autoFilter ref="B1:B109" xr:uid="{DB5FB19D-A699-4685-BD4E-A72E73D671DD}"/>
  <mergeCells count="27">
    <mergeCell ref="A2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  <mergeCell ref="A42:A45"/>
    <mergeCell ref="A46:A49"/>
    <mergeCell ref="A50:A53"/>
    <mergeCell ref="A54:A57"/>
    <mergeCell ref="A58:A61"/>
    <mergeCell ref="A62:A65"/>
    <mergeCell ref="A66:A69"/>
    <mergeCell ref="A70:A73"/>
    <mergeCell ref="A74:A77"/>
    <mergeCell ref="A78:A81"/>
    <mergeCell ref="A102:A105"/>
    <mergeCell ref="A106:A109"/>
    <mergeCell ref="A82:A85"/>
    <mergeCell ref="A86:A89"/>
    <mergeCell ref="A90:A93"/>
    <mergeCell ref="A94:A97"/>
    <mergeCell ref="A98:A101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0D52F-0ADA-4AC5-8A50-4699398C8904}">
  <dimension ref="A1:H15"/>
  <sheetViews>
    <sheetView workbookViewId="0">
      <selection activeCell="C14" sqref="C14"/>
    </sheetView>
  </sheetViews>
  <sheetFormatPr baseColWidth="10" defaultRowHeight="15" x14ac:dyDescent="0.25"/>
  <sheetData>
    <row r="1" spans="1:8" x14ac:dyDescent="0.25">
      <c r="A1" t="s">
        <v>91</v>
      </c>
      <c r="B1" t="s">
        <v>82</v>
      </c>
      <c r="C1" t="s">
        <v>83</v>
      </c>
      <c r="D1" t="s">
        <v>72</v>
      </c>
      <c r="E1" t="s">
        <v>73</v>
      </c>
      <c r="F1" t="s">
        <v>105</v>
      </c>
      <c r="G1" t="s">
        <v>74</v>
      </c>
      <c r="H1" t="s">
        <v>78</v>
      </c>
    </row>
    <row r="2" spans="1:8" x14ac:dyDescent="0.25">
      <c r="A2" t="s">
        <v>16</v>
      </c>
      <c r="B2" t="s">
        <v>75</v>
      </c>
      <c r="C2" t="s">
        <v>109</v>
      </c>
      <c r="D2">
        <v>1</v>
      </c>
      <c r="E2" s="12">
        <v>150</v>
      </c>
      <c r="F2" s="7">
        <v>24000</v>
      </c>
      <c r="G2">
        <v>0</v>
      </c>
    </row>
    <row r="3" spans="1:8" x14ac:dyDescent="0.25">
      <c r="A3" t="s">
        <v>16</v>
      </c>
      <c r="B3" t="s">
        <v>75</v>
      </c>
      <c r="C3" t="s">
        <v>92</v>
      </c>
      <c r="D3">
        <v>1</v>
      </c>
      <c r="E3" s="12">
        <v>125</v>
      </c>
      <c r="F3" s="7">
        <v>2000</v>
      </c>
      <c r="G3">
        <v>0</v>
      </c>
    </row>
    <row r="4" spans="1:8" x14ac:dyDescent="0.25">
      <c r="A4" t="s">
        <v>16</v>
      </c>
      <c r="B4" t="s">
        <v>75</v>
      </c>
      <c r="C4" t="s">
        <v>86</v>
      </c>
      <c r="D4">
        <v>1</v>
      </c>
      <c r="E4" s="12">
        <v>76</v>
      </c>
      <c r="F4" s="7">
        <v>7000</v>
      </c>
      <c r="G4">
        <v>0</v>
      </c>
    </row>
    <row r="5" spans="1:8" x14ac:dyDescent="0.25">
      <c r="A5" t="s">
        <v>16</v>
      </c>
      <c r="B5" t="s">
        <v>75</v>
      </c>
      <c r="C5" t="s">
        <v>87</v>
      </c>
      <c r="D5">
        <v>1</v>
      </c>
      <c r="E5" s="12">
        <v>75</v>
      </c>
      <c r="F5" s="7">
        <v>22000</v>
      </c>
      <c r="G5">
        <v>1</v>
      </c>
      <c r="H5" t="s">
        <v>79</v>
      </c>
    </row>
    <row r="6" spans="1:8" x14ac:dyDescent="0.25">
      <c r="A6" t="s">
        <v>16</v>
      </c>
      <c r="B6" t="s">
        <v>76</v>
      </c>
      <c r="C6" t="s">
        <v>126</v>
      </c>
      <c r="D6">
        <v>1</v>
      </c>
      <c r="E6" s="12">
        <v>60</v>
      </c>
      <c r="F6">
        <v>27000</v>
      </c>
      <c r="G6">
        <v>0</v>
      </c>
      <c r="H6" t="s">
        <v>80</v>
      </c>
    </row>
    <row r="7" spans="1:8" x14ac:dyDescent="0.25">
      <c r="A7" t="s">
        <v>16</v>
      </c>
      <c r="B7" t="s">
        <v>76</v>
      </c>
      <c r="C7" t="s">
        <v>127</v>
      </c>
      <c r="D7">
        <v>1</v>
      </c>
      <c r="E7" s="12">
        <v>55</v>
      </c>
      <c r="F7">
        <v>27000</v>
      </c>
      <c r="G7">
        <v>0</v>
      </c>
      <c r="H7" t="s">
        <v>80</v>
      </c>
    </row>
    <row r="8" spans="1:8" x14ac:dyDescent="0.25">
      <c r="A8" t="s">
        <v>16</v>
      </c>
      <c r="B8" t="s">
        <v>76</v>
      </c>
      <c r="C8" t="s">
        <v>128</v>
      </c>
      <c r="D8">
        <v>1</v>
      </c>
      <c r="E8" s="12">
        <v>35</v>
      </c>
      <c r="F8">
        <v>27000</v>
      </c>
      <c r="G8">
        <v>0</v>
      </c>
      <c r="H8" t="s">
        <v>80</v>
      </c>
    </row>
    <row r="9" spans="1:8" x14ac:dyDescent="0.25">
      <c r="A9" t="s">
        <v>16</v>
      </c>
      <c r="B9" t="s">
        <v>76</v>
      </c>
      <c r="C9" t="s">
        <v>129</v>
      </c>
      <c r="D9">
        <v>1</v>
      </c>
      <c r="E9" s="12">
        <v>0</v>
      </c>
      <c r="F9" s="12">
        <v>100000</v>
      </c>
      <c r="G9">
        <v>1</v>
      </c>
      <c r="H9" t="s">
        <v>112</v>
      </c>
    </row>
    <row r="10" spans="1:8" x14ac:dyDescent="0.25">
      <c r="A10" t="s">
        <v>16</v>
      </c>
      <c r="B10" t="s">
        <v>77</v>
      </c>
      <c r="C10" t="s">
        <v>130</v>
      </c>
      <c r="D10">
        <v>1</v>
      </c>
      <c r="E10" s="12">
        <v>60</v>
      </c>
      <c r="F10">
        <v>100</v>
      </c>
      <c r="G10">
        <v>0</v>
      </c>
      <c r="H10" t="s">
        <v>81</v>
      </c>
    </row>
    <row r="11" spans="1:8" x14ac:dyDescent="0.25">
      <c r="A11" t="s">
        <v>16</v>
      </c>
      <c r="B11" t="s">
        <v>77</v>
      </c>
      <c r="C11" t="s">
        <v>131</v>
      </c>
      <c r="D11">
        <v>1</v>
      </c>
      <c r="E11" s="12">
        <v>55</v>
      </c>
      <c r="F11">
        <v>1</v>
      </c>
      <c r="G11">
        <v>0</v>
      </c>
    </row>
    <row r="12" spans="1:8" x14ac:dyDescent="0.25">
      <c r="A12" t="s">
        <v>16</v>
      </c>
      <c r="B12" t="s">
        <v>77</v>
      </c>
      <c r="C12" t="s">
        <v>132</v>
      </c>
      <c r="D12">
        <v>1</v>
      </c>
      <c r="E12" s="12">
        <v>35</v>
      </c>
      <c r="F12">
        <v>1</v>
      </c>
      <c r="G12">
        <v>0</v>
      </c>
    </row>
    <row r="13" spans="1:8" x14ac:dyDescent="0.25">
      <c r="A13" t="s">
        <v>16</v>
      </c>
      <c r="B13" t="s">
        <v>77</v>
      </c>
      <c r="C13" t="s">
        <v>133</v>
      </c>
      <c r="D13">
        <v>1</v>
      </c>
      <c r="E13" s="12">
        <v>0</v>
      </c>
      <c r="F13" s="12">
        <v>100000</v>
      </c>
      <c r="G13">
        <v>1</v>
      </c>
    </row>
    <row r="14" spans="1:8" x14ac:dyDescent="0.25">
      <c r="A14" t="s">
        <v>16</v>
      </c>
      <c r="B14" t="s">
        <v>89</v>
      </c>
      <c r="C14" t="s">
        <v>119</v>
      </c>
      <c r="D14">
        <v>1</v>
      </c>
      <c r="E14" s="12">
        <v>0</v>
      </c>
      <c r="F14">
        <v>0</v>
      </c>
      <c r="G14">
        <v>0</v>
      </c>
    </row>
    <row r="15" spans="1:8" x14ac:dyDescent="0.25">
      <c r="A15" t="s">
        <v>16</v>
      </c>
      <c r="B15" t="s">
        <v>89</v>
      </c>
      <c r="C15" t="s">
        <v>94</v>
      </c>
      <c r="D15">
        <v>1</v>
      </c>
      <c r="E15" s="12">
        <v>0</v>
      </c>
      <c r="F15" s="12">
        <v>0</v>
      </c>
      <c r="G15">
        <v>1</v>
      </c>
      <c r="H15" t="s">
        <v>112</v>
      </c>
    </row>
  </sheetData>
  <phoneticPr fontId="7" type="noConversion"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1A697-84AA-4F97-BE70-81695B57512E}">
  <dimension ref="A1:F46"/>
  <sheetViews>
    <sheetView tabSelected="1" workbookViewId="0">
      <selection activeCell="C35" sqref="C35"/>
    </sheetView>
  </sheetViews>
  <sheetFormatPr baseColWidth="10" defaultRowHeight="15" x14ac:dyDescent="0.25"/>
  <cols>
    <col min="3" max="3" width="25.85546875" customWidth="1"/>
    <col min="6" max="6" width="12" customWidth="1"/>
  </cols>
  <sheetData>
    <row r="1" spans="1:6" x14ac:dyDescent="0.25">
      <c r="A1" t="s">
        <v>82</v>
      </c>
      <c r="B1" t="s">
        <v>83</v>
      </c>
      <c r="C1" t="s">
        <v>84</v>
      </c>
      <c r="D1" t="s">
        <v>101</v>
      </c>
      <c r="E1" t="s">
        <v>102</v>
      </c>
      <c r="F1" t="s">
        <v>100</v>
      </c>
    </row>
    <row r="2" spans="1:6" x14ac:dyDescent="0.25">
      <c r="A2" s="12" t="s">
        <v>75</v>
      </c>
      <c r="B2" s="12" t="s">
        <v>87</v>
      </c>
      <c r="C2" s="12" t="s">
        <v>142</v>
      </c>
      <c r="D2" s="12">
        <v>11.080597014925374</v>
      </c>
      <c r="E2" s="12">
        <v>11.080597014925374</v>
      </c>
      <c r="F2" s="12" t="s">
        <v>116</v>
      </c>
    </row>
    <row r="3" spans="1:6" x14ac:dyDescent="0.25">
      <c r="A3" s="12" t="s">
        <v>75</v>
      </c>
      <c r="B3" s="12" t="s">
        <v>87</v>
      </c>
      <c r="C3" s="12" t="s">
        <v>88</v>
      </c>
      <c r="D3" s="12">
        <v>46.4</v>
      </c>
      <c r="E3" s="12">
        <v>46.4</v>
      </c>
      <c r="F3" s="12" t="s">
        <v>115</v>
      </c>
    </row>
    <row r="4" spans="1:6" x14ac:dyDescent="0.25">
      <c r="A4" s="12" t="s">
        <v>75</v>
      </c>
      <c r="B4" s="12" t="s">
        <v>87</v>
      </c>
      <c r="C4" s="12" t="s">
        <v>114</v>
      </c>
      <c r="D4" s="12">
        <v>7.6179104477611936</v>
      </c>
      <c r="E4" s="12">
        <v>7.6179104477611936</v>
      </c>
      <c r="F4" s="12" t="s">
        <v>85</v>
      </c>
    </row>
    <row r="5" spans="1:6" x14ac:dyDescent="0.25">
      <c r="A5" s="12" t="s">
        <v>75</v>
      </c>
      <c r="B5" s="12" t="s">
        <v>87</v>
      </c>
      <c r="C5" s="12" t="s">
        <v>143</v>
      </c>
      <c r="D5" s="12">
        <v>0.62328358208955215</v>
      </c>
      <c r="E5" s="12">
        <v>0.62328358208955215</v>
      </c>
      <c r="F5" s="12" t="s">
        <v>117</v>
      </c>
    </row>
    <row r="6" spans="1:6" x14ac:dyDescent="0.25">
      <c r="A6" s="12" t="s">
        <v>75</v>
      </c>
      <c r="B6" s="12" t="s">
        <v>86</v>
      </c>
      <c r="C6" s="12" t="s">
        <v>144</v>
      </c>
      <c r="D6" s="12">
        <v>2.0776119402985072E-2</v>
      </c>
      <c r="E6" s="12">
        <v>2.0776119402985072E-2</v>
      </c>
      <c r="F6" s="12" t="s">
        <v>118</v>
      </c>
    </row>
    <row r="7" spans="1:6" x14ac:dyDescent="0.25">
      <c r="A7" s="12" t="s">
        <v>75</v>
      </c>
      <c r="B7" s="12" t="s">
        <v>109</v>
      </c>
      <c r="C7" s="12" t="s">
        <v>145</v>
      </c>
      <c r="D7" s="12">
        <v>3.047164179104477</v>
      </c>
      <c r="E7" s="12">
        <v>3.047164179104477</v>
      </c>
      <c r="F7" s="12" t="s">
        <v>117</v>
      </c>
    </row>
    <row r="8" spans="1:6" x14ac:dyDescent="0.25">
      <c r="A8" s="12" t="s">
        <v>75</v>
      </c>
      <c r="B8" s="12" t="s">
        <v>86</v>
      </c>
      <c r="C8" s="12" t="s">
        <v>142</v>
      </c>
      <c r="D8" s="12">
        <v>0.20776119402985074</v>
      </c>
      <c r="E8" s="12">
        <v>0.20776119402985074</v>
      </c>
      <c r="F8" s="12" t="s">
        <v>116</v>
      </c>
    </row>
    <row r="9" spans="1:6" x14ac:dyDescent="0.25">
      <c r="A9" s="23" t="s">
        <v>76</v>
      </c>
      <c r="B9" s="23" t="s">
        <v>126</v>
      </c>
      <c r="C9" s="23" t="s">
        <v>122</v>
      </c>
      <c r="D9" s="23">
        <v>1</v>
      </c>
      <c r="E9" s="23">
        <v>1</v>
      </c>
      <c r="F9" s="21">
        <v>0</v>
      </c>
    </row>
    <row r="10" spans="1:6" x14ac:dyDescent="0.25">
      <c r="A10" s="23" t="s">
        <v>76</v>
      </c>
      <c r="B10" s="23" t="s">
        <v>127</v>
      </c>
      <c r="C10" s="23" t="s">
        <v>124</v>
      </c>
      <c r="D10" s="23">
        <v>1</v>
      </c>
      <c r="E10" s="23">
        <v>1</v>
      </c>
      <c r="F10" s="21">
        <v>0</v>
      </c>
    </row>
    <row r="11" spans="1:6" x14ac:dyDescent="0.25">
      <c r="A11" s="23" t="s">
        <v>76</v>
      </c>
      <c r="B11" s="23" t="s">
        <v>128</v>
      </c>
      <c r="C11" s="23" t="s">
        <v>146</v>
      </c>
      <c r="D11" s="23">
        <v>0.80645121600000003</v>
      </c>
      <c r="E11" s="23">
        <v>0.80645121600000003</v>
      </c>
      <c r="F11" s="22" t="s">
        <v>85</v>
      </c>
    </row>
    <row r="12" spans="1:6" x14ac:dyDescent="0.25">
      <c r="A12" s="23" t="s">
        <v>76</v>
      </c>
      <c r="B12" s="23" t="s">
        <v>128</v>
      </c>
      <c r="C12" s="23" t="s">
        <v>147</v>
      </c>
      <c r="D12" s="23">
        <v>2.4417760000000005E-3</v>
      </c>
      <c r="E12" s="23">
        <v>2.4417760000000005E-3</v>
      </c>
      <c r="F12" s="22" t="s">
        <v>85</v>
      </c>
    </row>
    <row r="13" spans="1:6" x14ac:dyDescent="0.25">
      <c r="A13" s="23" t="s">
        <v>76</v>
      </c>
      <c r="B13" s="23" t="s">
        <v>128</v>
      </c>
      <c r="C13" s="23" t="s">
        <v>148</v>
      </c>
      <c r="D13" s="23">
        <v>0.99598527400000014</v>
      </c>
      <c r="E13" s="23">
        <v>0.99598527400000014</v>
      </c>
      <c r="F13" s="22" t="s">
        <v>85</v>
      </c>
    </row>
    <row r="14" spans="1:6" x14ac:dyDescent="0.25">
      <c r="A14" s="23" t="s">
        <v>76</v>
      </c>
      <c r="B14" s="23" t="s">
        <v>128</v>
      </c>
      <c r="C14" s="23" t="s">
        <v>149</v>
      </c>
      <c r="D14" s="23">
        <v>1.8875200000000002E-3</v>
      </c>
      <c r="E14" s="23">
        <v>1.8875200000000002E-3</v>
      </c>
      <c r="F14" s="22" t="s">
        <v>85</v>
      </c>
    </row>
    <row r="15" spans="1:6" x14ac:dyDescent="0.25">
      <c r="A15" s="23" t="s">
        <v>76</v>
      </c>
      <c r="B15" s="23" t="s">
        <v>128</v>
      </c>
      <c r="C15" s="23" t="s">
        <v>150</v>
      </c>
      <c r="D15" s="23">
        <v>4.4819000000000006E-5</v>
      </c>
      <c r="E15" s="23">
        <v>4.4819000000000006E-5</v>
      </c>
      <c r="F15" s="22" t="s">
        <v>85</v>
      </c>
    </row>
    <row r="16" spans="1:6" x14ac:dyDescent="0.25">
      <c r="A16" s="23" t="s">
        <v>76</v>
      </c>
      <c r="B16" s="23" t="s">
        <v>127</v>
      </c>
      <c r="C16" s="23" t="s">
        <v>151</v>
      </c>
      <c r="D16" s="23">
        <v>4.6005630000000002E-3</v>
      </c>
      <c r="E16" s="23">
        <v>4.6005630000000002E-3</v>
      </c>
      <c r="F16" s="22" t="s">
        <v>85</v>
      </c>
    </row>
    <row r="17" spans="1:6" x14ac:dyDescent="0.25">
      <c r="A17" s="23" t="s">
        <v>76</v>
      </c>
      <c r="B17" s="23" t="s">
        <v>127</v>
      </c>
      <c r="C17" s="23" t="s">
        <v>152</v>
      </c>
      <c r="D17" s="23">
        <v>9.0565300000000008E-4</v>
      </c>
      <c r="E17" s="23">
        <v>9.0565300000000008E-4</v>
      </c>
      <c r="F17" s="22" t="s">
        <v>85</v>
      </c>
    </row>
    <row r="18" spans="1:6" x14ac:dyDescent="0.25">
      <c r="A18" s="23" t="s">
        <v>76</v>
      </c>
      <c r="B18" s="23" t="s">
        <v>128</v>
      </c>
      <c r="C18" s="23" t="s">
        <v>153</v>
      </c>
      <c r="D18" s="23">
        <v>1.9774658839999999</v>
      </c>
      <c r="E18" s="23">
        <v>1.9774658839999999</v>
      </c>
      <c r="F18" s="22" t="s">
        <v>85</v>
      </c>
    </row>
    <row r="19" spans="1:6" x14ac:dyDescent="0.25">
      <c r="A19" s="23" t="s">
        <v>76</v>
      </c>
      <c r="B19" s="23" t="s">
        <v>128</v>
      </c>
      <c r="C19" s="23" t="s">
        <v>154</v>
      </c>
      <c r="D19" s="23">
        <v>3.9663748000000006E-2</v>
      </c>
      <c r="E19" s="23">
        <v>3.9663748000000006E-2</v>
      </c>
      <c r="F19" s="22" t="s">
        <v>85</v>
      </c>
    </row>
    <row r="20" spans="1:6" x14ac:dyDescent="0.25">
      <c r="A20" s="23" t="s">
        <v>76</v>
      </c>
      <c r="B20" s="23" t="s">
        <v>128</v>
      </c>
      <c r="C20" s="23" t="s">
        <v>155</v>
      </c>
      <c r="D20" s="23">
        <v>2.1210528159999997</v>
      </c>
      <c r="E20" s="23">
        <v>2.1210528159999997</v>
      </c>
      <c r="F20" s="22" t="s">
        <v>85</v>
      </c>
    </row>
    <row r="21" spans="1:6" x14ac:dyDescent="0.25">
      <c r="A21" s="23" t="s">
        <v>76</v>
      </c>
      <c r="B21" s="23" t="s">
        <v>128</v>
      </c>
      <c r="C21" s="23" t="s">
        <v>156</v>
      </c>
      <c r="D21" s="23">
        <v>3.0464200000000004E-4</v>
      </c>
      <c r="E21" s="23">
        <v>3.0464200000000004E-4</v>
      </c>
      <c r="F21" s="22" t="s">
        <v>85</v>
      </c>
    </row>
    <row r="22" spans="1:6" x14ac:dyDescent="0.25">
      <c r="A22" s="23" t="s">
        <v>76</v>
      </c>
      <c r="B22" s="23" t="s">
        <v>128</v>
      </c>
      <c r="C22" s="23" t="s">
        <v>157</v>
      </c>
      <c r="D22" s="23">
        <v>5.3289600000000004E-4</v>
      </c>
      <c r="E22" s="23">
        <v>5.3289600000000004E-4</v>
      </c>
      <c r="F22" s="22" t="s">
        <v>85</v>
      </c>
    </row>
    <row r="23" spans="1:6" x14ac:dyDescent="0.25">
      <c r="A23" s="23" t="s">
        <v>76</v>
      </c>
      <c r="B23" s="23" t="s">
        <v>128</v>
      </c>
      <c r="C23" s="23" t="s">
        <v>158</v>
      </c>
      <c r="D23" s="23">
        <v>2.3000000000000001E-8</v>
      </c>
      <c r="E23" s="23">
        <v>2.3000000000000001E-8</v>
      </c>
      <c r="F23" s="22" t="s">
        <v>85</v>
      </c>
    </row>
    <row r="24" spans="1:6" x14ac:dyDescent="0.25">
      <c r="A24" s="23" t="s">
        <v>76</v>
      </c>
      <c r="B24" s="23" t="s">
        <v>128</v>
      </c>
      <c r="C24" s="23" t="s">
        <v>159</v>
      </c>
      <c r="D24" s="23">
        <v>5.0735241E-2</v>
      </c>
      <c r="E24" s="23">
        <v>5.0735241E-2</v>
      </c>
      <c r="F24" s="22" t="s">
        <v>85</v>
      </c>
    </row>
    <row r="25" spans="1:6" x14ac:dyDescent="0.25">
      <c r="A25" s="23" t="s">
        <v>76</v>
      </c>
      <c r="B25" s="23" t="s">
        <v>128</v>
      </c>
      <c r="C25" s="23" t="s">
        <v>160</v>
      </c>
      <c r="D25" s="23">
        <v>1.5200000000000001E-7</v>
      </c>
      <c r="E25" s="23">
        <v>1.5200000000000001E-7</v>
      </c>
      <c r="F25" s="22" t="s">
        <v>85</v>
      </c>
    </row>
    <row r="26" spans="1:6" x14ac:dyDescent="0.25">
      <c r="A26" s="23" t="s">
        <v>77</v>
      </c>
      <c r="B26" s="23" t="s">
        <v>130</v>
      </c>
      <c r="C26" s="23" t="s">
        <v>123</v>
      </c>
      <c r="D26" s="23">
        <v>1</v>
      </c>
      <c r="E26" s="23">
        <v>1</v>
      </c>
      <c r="F26" s="21">
        <v>0</v>
      </c>
    </row>
    <row r="27" spans="1:6" x14ac:dyDescent="0.25">
      <c r="A27" s="23" t="s">
        <v>77</v>
      </c>
      <c r="B27" s="23" t="s">
        <v>131</v>
      </c>
      <c r="C27" s="23" t="s">
        <v>125</v>
      </c>
      <c r="D27" s="23">
        <v>1</v>
      </c>
      <c r="E27" s="23">
        <v>1</v>
      </c>
      <c r="F27" s="21">
        <v>0</v>
      </c>
    </row>
    <row r="28" spans="1:6" x14ac:dyDescent="0.25">
      <c r="A28" s="23" t="s">
        <v>77</v>
      </c>
      <c r="B28" s="23" t="s">
        <v>132</v>
      </c>
      <c r="C28" s="23" t="s">
        <v>146</v>
      </c>
      <c r="D28" s="23">
        <v>0.76185761500000004</v>
      </c>
      <c r="E28" s="23">
        <v>0.76185761500000004</v>
      </c>
      <c r="F28" s="22" t="s">
        <v>85</v>
      </c>
    </row>
    <row r="29" spans="1:6" x14ac:dyDescent="0.25">
      <c r="A29" s="23" t="s">
        <v>77</v>
      </c>
      <c r="B29" s="23" t="s">
        <v>132</v>
      </c>
      <c r="C29" s="23" t="s">
        <v>161</v>
      </c>
      <c r="D29" s="23">
        <v>2.0542469999999995E-3</v>
      </c>
      <c r="E29" s="23">
        <v>2.0542469999999995E-3</v>
      </c>
      <c r="F29" s="22" t="s">
        <v>85</v>
      </c>
    </row>
    <row r="30" spans="1:6" x14ac:dyDescent="0.25">
      <c r="A30" s="23" t="s">
        <v>77</v>
      </c>
      <c r="B30" s="23" t="s">
        <v>132</v>
      </c>
      <c r="C30" s="23" t="s">
        <v>147</v>
      </c>
      <c r="D30" s="23">
        <v>1.3319019999999998E-3</v>
      </c>
      <c r="E30" s="23">
        <v>1.3319019999999998E-3</v>
      </c>
      <c r="F30" s="22" t="s">
        <v>85</v>
      </c>
    </row>
    <row r="31" spans="1:6" x14ac:dyDescent="0.25">
      <c r="A31" s="23" t="s">
        <v>77</v>
      </c>
      <c r="B31" s="23" t="s">
        <v>132</v>
      </c>
      <c r="C31" s="23" t="s">
        <v>148</v>
      </c>
      <c r="D31" s="23">
        <v>1.5534533760000002</v>
      </c>
      <c r="E31" s="23">
        <v>1.5534533760000002</v>
      </c>
      <c r="F31" s="22" t="s">
        <v>85</v>
      </c>
    </row>
    <row r="32" spans="1:6" x14ac:dyDescent="0.25">
      <c r="A32" s="23" t="s">
        <v>77</v>
      </c>
      <c r="B32" s="23" t="s">
        <v>132</v>
      </c>
      <c r="C32" s="23" t="s">
        <v>149</v>
      </c>
      <c r="D32" s="23">
        <v>6.5629390000000003E-3</v>
      </c>
      <c r="E32" s="23">
        <v>6.5629390000000003E-3</v>
      </c>
      <c r="F32" s="22" t="s">
        <v>85</v>
      </c>
    </row>
    <row r="33" spans="1:6" x14ac:dyDescent="0.25">
      <c r="A33" s="23" t="s">
        <v>77</v>
      </c>
      <c r="B33" s="23" t="s">
        <v>132</v>
      </c>
      <c r="C33" s="23" t="s">
        <v>150</v>
      </c>
      <c r="D33" s="23">
        <v>1.592E-5</v>
      </c>
      <c r="E33" s="23">
        <v>1.592E-5</v>
      </c>
      <c r="F33" s="22" t="s">
        <v>85</v>
      </c>
    </row>
    <row r="34" spans="1:6" x14ac:dyDescent="0.25">
      <c r="A34" s="23" t="s">
        <v>77</v>
      </c>
      <c r="B34" s="23" t="s">
        <v>131</v>
      </c>
      <c r="C34" s="23" t="s">
        <v>151</v>
      </c>
      <c r="D34" s="23">
        <v>6.3938059999999993E-3</v>
      </c>
      <c r="E34" s="23">
        <v>6.3938059999999993E-3</v>
      </c>
      <c r="F34" s="22" t="s">
        <v>85</v>
      </c>
    </row>
    <row r="35" spans="1:6" x14ac:dyDescent="0.25">
      <c r="A35" s="23" t="s">
        <v>77</v>
      </c>
      <c r="B35" s="23" t="s">
        <v>131</v>
      </c>
      <c r="C35" s="23" t="s">
        <v>152</v>
      </c>
      <c r="D35" s="23">
        <v>1.2656820000000002E-3</v>
      </c>
      <c r="E35" s="23">
        <v>1.2656820000000002E-3</v>
      </c>
      <c r="F35" s="22" t="s">
        <v>85</v>
      </c>
    </row>
    <row r="36" spans="1:6" x14ac:dyDescent="0.25">
      <c r="A36" s="23" t="s">
        <v>77</v>
      </c>
      <c r="B36" s="23" t="s">
        <v>132</v>
      </c>
      <c r="C36" s="23" t="s">
        <v>153</v>
      </c>
      <c r="D36" s="23">
        <v>1.0573537260000001</v>
      </c>
      <c r="E36" s="23">
        <v>1.0573537260000001</v>
      </c>
      <c r="F36" s="22" t="s">
        <v>85</v>
      </c>
    </row>
    <row r="37" spans="1:6" x14ac:dyDescent="0.25">
      <c r="A37" s="23" t="s">
        <v>77</v>
      </c>
      <c r="B37" s="23" t="s">
        <v>132</v>
      </c>
      <c r="C37" s="23" t="s">
        <v>162</v>
      </c>
      <c r="D37" s="23">
        <v>3.7349899999999996E-4</v>
      </c>
      <c r="E37" s="23">
        <v>3.7349899999999996E-4</v>
      </c>
      <c r="F37" s="22" t="s">
        <v>85</v>
      </c>
    </row>
    <row r="38" spans="1:6" x14ac:dyDescent="0.25">
      <c r="A38" s="23" t="s">
        <v>77</v>
      </c>
      <c r="B38" s="23" t="s">
        <v>132</v>
      </c>
      <c r="C38" s="23" t="s">
        <v>154</v>
      </c>
      <c r="D38" s="23">
        <v>0.10560918700000001</v>
      </c>
      <c r="E38" s="23">
        <v>0.10560918700000001</v>
      </c>
      <c r="F38" s="22" t="s">
        <v>85</v>
      </c>
    </row>
    <row r="39" spans="1:6" x14ac:dyDescent="0.25">
      <c r="A39" s="23" t="s">
        <v>77</v>
      </c>
      <c r="B39" s="23" t="s">
        <v>132</v>
      </c>
      <c r="C39" s="23" t="s">
        <v>155</v>
      </c>
      <c r="D39" s="23">
        <v>0.86241605300000002</v>
      </c>
      <c r="E39" s="23">
        <v>0.86241605300000002</v>
      </c>
      <c r="F39" s="22" t="s">
        <v>85</v>
      </c>
    </row>
    <row r="40" spans="1:6" x14ac:dyDescent="0.25">
      <c r="A40" s="23" t="s">
        <v>77</v>
      </c>
      <c r="B40" s="23" t="s">
        <v>132</v>
      </c>
      <c r="C40" s="23" t="s">
        <v>156</v>
      </c>
      <c r="D40" s="23">
        <v>1.59808E-4</v>
      </c>
      <c r="E40" s="23">
        <v>1.59808E-4</v>
      </c>
      <c r="F40" s="22" t="s">
        <v>85</v>
      </c>
    </row>
    <row r="41" spans="1:6" x14ac:dyDescent="0.25">
      <c r="A41" s="23" t="s">
        <v>77</v>
      </c>
      <c r="B41" s="23" t="s">
        <v>132</v>
      </c>
      <c r="C41" s="23" t="s">
        <v>157</v>
      </c>
      <c r="D41" s="23">
        <v>4.3179209999999996E-2</v>
      </c>
      <c r="E41" s="23">
        <v>4.3179209999999996E-2</v>
      </c>
      <c r="F41" s="22" t="s">
        <v>85</v>
      </c>
    </row>
    <row r="42" spans="1:6" x14ac:dyDescent="0.25">
      <c r="A42" s="23" t="s">
        <v>77</v>
      </c>
      <c r="B42" s="23" t="s">
        <v>132</v>
      </c>
      <c r="C42" s="23" t="s">
        <v>158</v>
      </c>
      <c r="D42" s="23">
        <v>3.7350900000000006E-4</v>
      </c>
      <c r="E42" s="23">
        <v>3.7350900000000006E-4</v>
      </c>
      <c r="F42" s="22" t="s">
        <v>85</v>
      </c>
    </row>
    <row r="43" spans="1:6" x14ac:dyDescent="0.25">
      <c r="A43" s="23" t="s">
        <v>77</v>
      </c>
      <c r="B43" s="23" t="s">
        <v>132</v>
      </c>
      <c r="C43" s="23" t="s">
        <v>159</v>
      </c>
      <c r="D43" s="23">
        <v>2.6648077999999999E-2</v>
      </c>
      <c r="E43" s="23">
        <v>2.6648077999999999E-2</v>
      </c>
      <c r="F43" s="22" t="s">
        <v>85</v>
      </c>
    </row>
    <row r="44" spans="1:6" x14ac:dyDescent="0.25">
      <c r="A44" s="23" t="s">
        <v>77</v>
      </c>
      <c r="B44" s="23" t="s">
        <v>132</v>
      </c>
      <c r="C44" s="23" t="s">
        <v>160</v>
      </c>
      <c r="D44" s="23">
        <v>4.3999999999999997E-8</v>
      </c>
      <c r="E44" s="23">
        <v>4.3999999999999997E-8</v>
      </c>
      <c r="F44" s="22" t="s">
        <v>85</v>
      </c>
    </row>
    <row r="45" spans="1:6" x14ac:dyDescent="0.25">
      <c r="A45" t="s">
        <v>89</v>
      </c>
      <c r="B45" t="s">
        <v>119</v>
      </c>
      <c r="C45" s="20" t="s">
        <v>152</v>
      </c>
      <c r="D45">
        <v>50</v>
      </c>
      <c r="E45">
        <v>50</v>
      </c>
      <c r="F45">
        <v>0</v>
      </c>
    </row>
    <row r="46" spans="1:6" x14ac:dyDescent="0.25">
      <c r="A46" t="s">
        <v>89</v>
      </c>
      <c r="B46" t="s">
        <v>119</v>
      </c>
      <c r="C46" s="19" t="s">
        <v>147</v>
      </c>
      <c r="D46">
        <v>50</v>
      </c>
      <c r="E46">
        <v>50</v>
      </c>
      <c r="F46">
        <v>0</v>
      </c>
    </row>
  </sheetData>
  <phoneticPr fontId="7" type="noConversion"/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8E9E-004D-4F86-817A-29F43A769A51}">
  <dimension ref="A1:Z28"/>
  <sheetViews>
    <sheetView topLeftCell="E1" workbookViewId="0">
      <selection activeCell="H36" sqref="H36"/>
    </sheetView>
  </sheetViews>
  <sheetFormatPr baseColWidth="10" defaultRowHeight="15" x14ac:dyDescent="0.25"/>
  <sheetData>
    <row r="1" spans="1:26" x14ac:dyDescent="0.25">
      <c r="A1" t="s">
        <v>15</v>
      </c>
      <c r="B1" t="s">
        <v>146</v>
      </c>
      <c r="C1" t="s">
        <v>183</v>
      </c>
      <c r="D1" t="s">
        <v>184</v>
      </c>
      <c r="E1" t="s">
        <v>166</v>
      </c>
      <c r="F1" t="s">
        <v>185</v>
      </c>
      <c r="G1" t="s">
        <v>186</v>
      </c>
      <c r="H1" t="s">
        <v>163</v>
      </c>
      <c r="I1" t="s">
        <v>164</v>
      </c>
      <c r="J1" t="s">
        <v>165</v>
      </c>
      <c r="K1" t="s">
        <v>167</v>
      </c>
      <c r="L1" t="s">
        <v>168</v>
      </c>
      <c r="M1" t="s">
        <v>169</v>
      </c>
      <c r="N1" t="s">
        <v>170</v>
      </c>
      <c r="O1" t="s">
        <v>171</v>
      </c>
      <c r="P1" t="s">
        <v>172</v>
      </c>
      <c r="Q1" t="s">
        <v>173</v>
      </c>
      <c r="R1" t="s">
        <v>174</v>
      </c>
      <c r="S1" t="s">
        <v>175</v>
      </c>
      <c r="T1" t="s">
        <v>176</v>
      </c>
      <c r="U1" t="s">
        <v>177</v>
      </c>
      <c r="V1" t="s">
        <v>178</v>
      </c>
      <c r="W1" t="s">
        <v>179</v>
      </c>
      <c r="X1" t="s">
        <v>180</v>
      </c>
      <c r="Y1" t="s">
        <v>181</v>
      </c>
      <c r="Z1" t="s">
        <v>182</v>
      </c>
    </row>
    <row r="2" spans="1:26" x14ac:dyDescent="0.25">
      <c r="A2" s="14">
        <v>2024</v>
      </c>
      <c r="B2" s="15">
        <v>1760000</v>
      </c>
      <c r="C2" s="15">
        <v>57100000</v>
      </c>
      <c r="D2" s="15">
        <v>58100000</v>
      </c>
      <c r="E2" s="15">
        <v>960000</v>
      </c>
      <c r="F2" s="15">
        <v>1961</v>
      </c>
      <c r="G2" s="15">
        <v>167000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25">
      <c r="A3" s="14">
        <v>2025</v>
      </c>
      <c r="B3" s="15">
        <v>1760000</v>
      </c>
      <c r="C3" s="15">
        <v>57100000</v>
      </c>
      <c r="D3" s="15">
        <v>58100000</v>
      </c>
      <c r="E3" s="15">
        <v>960000</v>
      </c>
      <c r="F3" s="15">
        <v>1961</v>
      </c>
      <c r="G3" s="15">
        <v>167000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</row>
    <row r="4" spans="1:26" x14ac:dyDescent="0.25">
      <c r="A4" s="14">
        <v>2026</v>
      </c>
      <c r="B4" s="15">
        <v>1760000</v>
      </c>
      <c r="C4" s="15">
        <v>57100000</v>
      </c>
      <c r="D4" s="15">
        <v>58100000</v>
      </c>
      <c r="E4" s="15">
        <v>960000</v>
      </c>
      <c r="F4" s="15">
        <v>1961</v>
      </c>
      <c r="G4" s="15">
        <v>167000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</row>
    <row r="5" spans="1:26" x14ac:dyDescent="0.25">
      <c r="A5" s="14">
        <v>2027</v>
      </c>
      <c r="B5" s="15">
        <v>1760000</v>
      </c>
      <c r="C5" s="15">
        <v>57100000</v>
      </c>
      <c r="D5" s="15">
        <v>58100000</v>
      </c>
      <c r="E5" s="15">
        <v>960000</v>
      </c>
      <c r="F5" s="15">
        <v>1961</v>
      </c>
      <c r="G5" s="15">
        <v>167000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</row>
    <row r="6" spans="1:26" x14ac:dyDescent="0.25">
      <c r="A6" s="14">
        <v>2028</v>
      </c>
      <c r="B6" s="15">
        <v>1760000</v>
      </c>
      <c r="C6" s="15">
        <v>57100000</v>
      </c>
      <c r="D6" s="15">
        <v>58100000</v>
      </c>
      <c r="E6" s="15">
        <v>960000</v>
      </c>
      <c r="F6" s="15">
        <v>1961</v>
      </c>
      <c r="G6" s="15">
        <v>167000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</row>
    <row r="7" spans="1:26" x14ac:dyDescent="0.25">
      <c r="A7" s="14">
        <v>2029</v>
      </c>
      <c r="B7" s="15">
        <v>1760000</v>
      </c>
      <c r="C7" s="15">
        <v>57100000</v>
      </c>
      <c r="D7" s="15">
        <v>58100000</v>
      </c>
      <c r="E7" s="15">
        <v>960000</v>
      </c>
      <c r="F7" s="15">
        <v>1961</v>
      </c>
      <c r="G7" s="15">
        <v>167000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</row>
    <row r="8" spans="1:26" x14ac:dyDescent="0.25">
      <c r="A8" s="14">
        <v>2030</v>
      </c>
      <c r="B8" s="15">
        <v>1760000</v>
      </c>
      <c r="C8" s="15">
        <v>57100000</v>
      </c>
      <c r="D8" s="15">
        <v>58100000</v>
      </c>
      <c r="E8" s="15">
        <v>960000</v>
      </c>
      <c r="F8" s="15">
        <v>1961</v>
      </c>
      <c r="G8" s="15">
        <v>167000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</row>
    <row r="9" spans="1:26" x14ac:dyDescent="0.25">
      <c r="A9" s="14">
        <v>2031</v>
      </c>
      <c r="B9" s="15">
        <v>1760000</v>
      </c>
      <c r="C9" s="15">
        <v>57100000</v>
      </c>
      <c r="D9" s="15">
        <v>58100000</v>
      </c>
      <c r="E9" s="15">
        <v>960000</v>
      </c>
      <c r="F9" s="15">
        <v>1961</v>
      </c>
      <c r="G9" s="15">
        <v>167000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</row>
    <row r="10" spans="1:26" x14ac:dyDescent="0.25">
      <c r="A10" s="14">
        <v>2032</v>
      </c>
      <c r="B10" s="15">
        <v>1760000</v>
      </c>
      <c r="C10" s="15">
        <v>57100000</v>
      </c>
      <c r="D10" s="15">
        <v>58100000</v>
      </c>
      <c r="E10" s="15">
        <v>960000</v>
      </c>
      <c r="F10" s="15">
        <v>1961</v>
      </c>
      <c r="G10" s="15">
        <v>167000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</row>
    <row r="11" spans="1:26" x14ac:dyDescent="0.25">
      <c r="A11" s="14">
        <v>2033</v>
      </c>
      <c r="B11" s="15">
        <v>1760000</v>
      </c>
      <c r="C11" s="15">
        <v>57100000</v>
      </c>
      <c r="D11" s="15">
        <v>58100000</v>
      </c>
      <c r="E11" s="15">
        <v>960000</v>
      </c>
      <c r="F11" s="15">
        <v>1961</v>
      </c>
      <c r="G11" s="15">
        <v>167000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</row>
    <row r="12" spans="1:26" x14ac:dyDescent="0.25">
      <c r="A12" s="14">
        <v>2034</v>
      </c>
      <c r="B12" s="15">
        <v>1760000</v>
      </c>
      <c r="C12" s="15">
        <v>57100000</v>
      </c>
      <c r="D12" s="15">
        <v>58100000</v>
      </c>
      <c r="E12" s="15">
        <v>960000</v>
      </c>
      <c r="F12" s="15">
        <v>1961</v>
      </c>
      <c r="G12" s="15">
        <v>167000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</row>
    <row r="13" spans="1:26" x14ac:dyDescent="0.25">
      <c r="A13" s="14">
        <v>2035</v>
      </c>
      <c r="B13" s="15">
        <v>1760000</v>
      </c>
      <c r="C13" s="15">
        <v>57100000</v>
      </c>
      <c r="D13" s="15">
        <v>58100000</v>
      </c>
      <c r="E13" s="15">
        <v>960000</v>
      </c>
      <c r="F13" s="15">
        <v>1961</v>
      </c>
      <c r="G13" s="15">
        <v>167000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25">
      <c r="A14" s="14">
        <v>2036</v>
      </c>
      <c r="B14" s="15">
        <v>1760000</v>
      </c>
      <c r="C14" s="15">
        <v>57100000</v>
      </c>
      <c r="D14" s="15">
        <v>58100000</v>
      </c>
      <c r="E14" s="15">
        <v>960000</v>
      </c>
      <c r="F14" s="15">
        <v>1961</v>
      </c>
      <c r="G14" s="15">
        <v>167000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</row>
    <row r="15" spans="1:26" x14ac:dyDescent="0.25">
      <c r="A15" s="14">
        <v>2037</v>
      </c>
      <c r="B15" s="15">
        <v>1760000</v>
      </c>
      <c r="C15" s="15">
        <v>57100000</v>
      </c>
      <c r="D15" s="15">
        <v>58100000</v>
      </c>
      <c r="E15" s="15">
        <v>960000</v>
      </c>
      <c r="F15" s="15">
        <v>1961</v>
      </c>
      <c r="G15" s="15">
        <v>167000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</row>
    <row r="16" spans="1:26" x14ac:dyDescent="0.25">
      <c r="A16" s="14">
        <v>2038</v>
      </c>
      <c r="B16" s="15">
        <v>1760000</v>
      </c>
      <c r="C16" s="15">
        <v>57100000</v>
      </c>
      <c r="D16" s="15">
        <v>58100000</v>
      </c>
      <c r="E16" s="15">
        <v>960000</v>
      </c>
      <c r="F16" s="15">
        <v>1961</v>
      </c>
      <c r="G16" s="15">
        <v>167000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</row>
    <row r="17" spans="1:26" x14ac:dyDescent="0.25">
      <c r="A17" s="14">
        <v>2039</v>
      </c>
      <c r="B17" s="15">
        <v>1760000</v>
      </c>
      <c r="C17" s="15">
        <v>57100000</v>
      </c>
      <c r="D17" s="15">
        <v>58100000</v>
      </c>
      <c r="E17" s="15">
        <v>960000</v>
      </c>
      <c r="F17" s="15">
        <v>1961</v>
      </c>
      <c r="G17" s="15">
        <v>167000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</row>
    <row r="18" spans="1:26" x14ac:dyDescent="0.25">
      <c r="A18" s="14">
        <v>2040</v>
      </c>
      <c r="B18" s="15">
        <v>1760000</v>
      </c>
      <c r="C18" s="15">
        <v>57100000</v>
      </c>
      <c r="D18" s="15">
        <v>58100000</v>
      </c>
      <c r="E18" s="15">
        <v>960000</v>
      </c>
      <c r="F18" s="15">
        <v>1961</v>
      </c>
      <c r="G18" s="15">
        <v>167000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</row>
    <row r="19" spans="1:26" x14ac:dyDescent="0.25">
      <c r="A19" s="14">
        <v>2041</v>
      </c>
      <c r="B19" s="15">
        <v>1760000</v>
      </c>
      <c r="C19" s="15">
        <v>57100000</v>
      </c>
      <c r="D19" s="15">
        <v>58100000</v>
      </c>
      <c r="E19" s="15">
        <v>960000</v>
      </c>
      <c r="F19" s="15">
        <v>1961</v>
      </c>
      <c r="G19" s="15">
        <v>167000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</row>
    <row r="20" spans="1:26" x14ac:dyDescent="0.25">
      <c r="A20" s="14">
        <v>2042</v>
      </c>
      <c r="B20" s="15">
        <v>1760000</v>
      </c>
      <c r="C20" s="15">
        <v>57100000</v>
      </c>
      <c r="D20" s="15">
        <v>58100000</v>
      </c>
      <c r="E20" s="15">
        <v>960000</v>
      </c>
      <c r="F20" s="15">
        <v>1961</v>
      </c>
      <c r="G20" s="15">
        <v>167000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</row>
    <row r="21" spans="1:26" x14ac:dyDescent="0.25">
      <c r="A21" s="14">
        <v>2043</v>
      </c>
      <c r="B21" s="15">
        <v>1760000</v>
      </c>
      <c r="C21" s="15">
        <v>57100000</v>
      </c>
      <c r="D21" s="15">
        <v>58100000</v>
      </c>
      <c r="E21" s="15">
        <v>960000</v>
      </c>
      <c r="F21" s="15">
        <v>1961</v>
      </c>
      <c r="G21" s="15">
        <v>167000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</row>
    <row r="22" spans="1:26" x14ac:dyDescent="0.25">
      <c r="A22" s="14">
        <v>2044</v>
      </c>
      <c r="B22" s="15">
        <v>1760000</v>
      </c>
      <c r="C22" s="15">
        <v>57100000</v>
      </c>
      <c r="D22" s="15">
        <v>58100000</v>
      </c>
      <c r="E22" s="15">
        <v>960000</v>
      </c>
      <c r="F22" s="15">
        <v>1961</v>
      </c>
      <c r="G22" s="15">
        <v>167000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</row>
    <row r="23" spans="1:26" x14ac:dyDescent="0.25">
      <c r="A23" s="14">
        <v>2045</v>
      </c>
      <c r="B23" s="15">
        <v>1760000</v>
      </c>
      <c r="C23" s="15">
        <v>57100000</v>
      </c>
      <c r="D23" s="15">
        <v>58100000</v>
      </c>
      <c r="E23" s="15">
        <v>960000</v>
      </c>
      <c r="F23" s="15">
        <v>1961</v>
      </c>
      <c r="G23" s="15">
        <v>167000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</row>
    <row r="24" spans="1:26" x14ac:dyDescent="0.25">
      <c r="A24" s="14">
        <v>2046</v>
      </c>
      <c r="B24" s="15">
        <v>1760000</v>
      </c>
      <c r="C24" s="15">
        <v>57100000</v>
      </c>
      <c r="D24" s="15">
        <v>58100000</v>
      </c>
      <c r="E24" s="15">
        <v>960000</v>
      </c>
      <c r="F24" s="15">
        <v>1961</v>
      </c>
      <c r="G24" s="15">
        <v>167000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</row>
    <row r="25" spans="1:26" x14ac:dyDescent="0.25">
      <c r="A25" s="14">
        <v>2047</v>
      </c>
      <c r="B25" s="15">
        <v>1760000</v>
      </c>
      <c r="C25" s="15">
        <v>57100000</v>
      </c>
      <c r="D25" s="15">
        <v>58100000</v>
      </c>
      <c r="E25" s="15">
        <v>960000</v>
      </c>
      <c r="F25" s="15">
        <v>1961</v>
      </c>
      <c r="G25" s="15">
        <v>167000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</row>
    <row r="26" spans="1:26" x14ac:dyDescent="0.25">
      <c r="A26" s="14">
        <v>2048</v>
      </c>
      <c r="B26" s="15">
        <v>1760000</v>
      </c>
      <c r="C26" s="15">
        <v>57100000</v>
      </c>
      <c r="D26" s="15">
        <v>58100000</v>
      </c>
      <c r="E26" s="15">
        <v>960000</v>
      </c>
      <c r="F26" s="15">
        <v>1961</v>
      </c>
      <c r="G26" s="15">
        <v>167000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</row>
    <row r="27" spans="1:26" x14ac:dyDescent="0.25">
      <c r="A27" s="14">
        <v>2049</v>
      </c>
      <c r="B27" s="15">
        <v>1760000</v>
      </c>
      <c r="C27" s="15">
        <v>57100000</v>
      </c>
      <c r="D27" s="15">
        <v>58100000</v>
      </c>
      <c r="E27" s="15">
        <v>960000</v>
      </c>
      <c r="F27" s="15">
        <v>1961</v>
      </c>
      <c r="G27" s="15">
        <v>167000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</row>
    <row r="28" spans="1:26" x14ac:dyDescent="0.25">
      <c r="A28" s="14">
        <v>2050</v>
      </c>
      <c r="B28" s="15">
        <v>1760000</v>
      </c>
      <c r="C28" s="15">
        <v>57100000</v>
      </c>
      <c r="D28" s="15">
        <v>58100000</v>
      </c>
      <c r="E28" s="15">
        <v>960000</v>
      </c>
      <c r="F28" s="15">
        <v>1961</v>
      </c>
      <c r="G28" s="15">
        <v>167000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7A18D-E10F-4371-B6A4-3051915122F0}">
  <dimension ref="A1:Z28"/>
  <sheetViews>
    <sheetView topLeftCell="E1" workbookViewId="0">
      <selection activeCell="Z2" sqref="H2:Z28"/>
    </sheetView>
  </sheetViews>
  <sheetFormatPr baseColWidth="10" defaultRowHeight="15" x14ac:dyDescent="0.25"/>
  <sheetData>
    <row r="1" spans="1:26" x14ac:dyDescent="0.25">
      <c r="A1" t="s">
        <v>15</v>
      </c>
      <c r="B1" t="s">
        <v>146</v>
      </c>
      <c r="C1" t="s">
        <v>183</v>
      </c>
      <c r="D1" t="s">
        <v>184</v>
      </c>
      <c r="E1" t="s">
        <v>166</v>
      </c>
      <c r="F1" t="s">
        <v>185</v>
      </c>
      <c r="G1" t="s">
        <v>186</v>
      </c>
      <c r="H1" t="s">
        <v>163</v>
      </c>
      <c r="I1" t="s">
        <v>164</v>
      </c>
      <c r="J1" t="s">
        <v>165</v>
      </c>
      <c r="K1" t="s">
        <v>167</v>
      </c>
      <c r="L1" t="s">
        <v>168</v>
      </c>
      <c r="M1" t="s">
        <v>169</v>
      </c>
      <c r="N1" t="s">
        <v>170</v>
      </c>
      <c r="O1" t="s">
        <v>171</v>
      </c>
      <c r="P1" t="s">
        <v>172</v>
      </c>
      <c r="Q1" t="s">
        <v>173</v>
      </c>
      <c r="R1" t="s">
        <v>174</v>
      </c>
      <c r="S1" t="s">
        <v>175</v>
      </c>
      <c r="T1" t="s">
        <v>176</v>
      </c>
      <c r="U1" t="s">
        <v>177</v>
      </c>
      <c r="V1" t="s">
        <v>178</v>
      </c>
      <c r="W1" t="s">
        <v>179</v>
      </c>
      <c r="X1" t="s">
        <v>180</v>
      </c>
      <c r="Y1" t="s">
        <v>181</v>
      </c>
      <c r="Z1" t="s">
        <v>182</v>
      </c>
    </row>
    <row r="2" spans="1:26" x14ac:dyDescent="0.25">
      <c r="A2" s="14">
        <v>2024</v>
      </c>
      <c r="B2">
        <v>3135</v>
      </c>
      <c r="C2">
        <v>360</v>
      </c>
      <c r="D2">
        <v>1760</v>
      </c>
      <c r="E2">
        <v>12905</v>
      </c>
      <c r="F2">
        <v>2500000</v>
      </c>
      <c r="G2">
        <v>2484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</row>
    <row r="3" spans="1:26" x14ac:dyDescent="0.25">
      <c r="A3" s="14">
        <v>2025</v>
      </c>
      <c r="B3">
        <v>3135</v>
      </c>
      <c r="C3">
        <v>360</v>
      </c>
      <c r="D3">
        <v>1760</v>
      </c>
      <c r="E3">
        <v>12905</v>
      </c>
      <c r="F3">
        <v>2500000</v>
      </c>
      <c r="G3">
        <v>2484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</row>
    <row r="4" spans="1:26" x14ac:dyDescent="0.25">
      <c r="A4" s="14">
        <v>2026</v>
      </c>
      <c r="B4">
        <v>3135</v>
      </c>
      <c r="C4">
        <v>360</v>
      </c>
      <c r="D4">
        <v>1760</v>
      </c>
      <c r="E4">
        <v>12905</v>
      </c>
      <c r="F4">
        <v>2500000</v>
      </c>
      <c r="G4">
        <v>2484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</row>
    <row r="5" spans="1:26" x14ac:dyDescent="0.25">
      <c r="A5" s="14">
        <v>2027</v>
      </c>
      <c r="B5">
        <v>3135</v>
      </c>
      <c r="C5">
        <v>360</v>
      </c>
      <c r="D5">
        <v>1760</v>
      </c>
      <c r="E5">
        <v>12905</v>
      </c>
      <c r="F5">
        <v>2500000</v>
      </c>
      <c r="G5">
        <v>2484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</row>
    <row r="6" spans="1:26" x14ac:dyDescent="0.25">
      <c r="A6" s="14">
        <v>2028</v>
      </c>
      <c r="B6">
        <v>3135</v>
      </c>
      <c r="C6">
        <v>360</v>
      </c>
      <c r="D6">
        <v>1760</v>
      </c>
      <c r="E6">
        <v>12905</v>
      </c>
      <c r="F6">
        <v>2500000</v>
      </c>
      <c r="G6">
        <v>2484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</row>
    <row r="7" spans="1:26" x14ac:dyDescent="0.25">
      <c r="A7" s="14">
        <v>2029</v>
      </c>
      <c r="B7">
        <v>3135</v>
      </c>
      <c r="C7">
        <v>360</v>
      </c>
      <c r="D7">
        <v>1760</v>
      </c>
      <c r="E7">
        <v>12905</v>
      </c>
      <c r="F7">
        <v>2500000</v>
      </c>
      <c r="G7">
        <v>2484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</row>
    <row r="8" spans="1:26" x14ac:dyDescent="0.25">
      <c r="A8" s="14">
        <v>2030</v>
      </c>
      <c r="B8">
        <v>3135</v>
      </c>
      <c r="C8">
        <v>360</v>
      </c>
      <c r="D8">
        <v>1760</v>
      </c>
      <c r="E8">
        <v>12905</v>
      </c>
      <c r="F8">
        <v>2500000</v>
      </c>
      <c r="G8">
        <v>2484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</row>
    <row r="9" spans="1:26" x14ac:dyDescent="0.25">
      <c r="A9" s="14">
        <v>2031</v>
      </c>
      <c r="B9">
        <v>3135</v>
      </c>
      <c r="C9">
        <v>360</v>
      </c>
      <c r="D9">
        <v>1760</v>
      </c>
      <c r="E9">
        <v>12905</v>
      </c>
      <c r="F9">
        <v>2500000</v>
      </c>
      <c r="G9">
        <v>2484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</row>
    <row r="10" spans="1:26" x14ac:dyDescent="0.25">
      <c r="A10" s="14">
        <v>2032</v>
      </c>
      <c r="B10">
        <v>3135</v>
      </c>
      <c r="C10">
        <v>360</v>
      </c>
      <c r="D10">
        <v>1760</v>
      </c>
      <c r="E10">
        <v>12905</v>
      </c>
      <c r="F10">
        <v>2500000</v>
      </c>
      <c r="G10">
        <v>2484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</row>
    <row r="11" spans="1:26" x14ac:dyDescent="0.25">
      <c r="A11" s="14">
        <v>2033</v>
      </c>
      <c r="B11">
        <v>3135</v>
      </c>
      <c r="C11">
        <v>360</v>
      </c>
      <c r="D11">
        <v>1760</v>
      </c>
      <c r="E11">
        <v>12905</v>
      </c>
      <c r="F11">
        <v>2500000</v>
      </c>
      <c r="G11">
        <v>2484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</row>
    <row r="12" spans="1:26" x14ac:dyDescent="0.25">
      <c r="A12" s="14">
        <v>2034</v>
      </c>
      <c r="B12">
        <v>3135</v>
      </c>
      <c r="C12">
        <v>360</v>
      </c>
      <c r="D12">
        <v>1760</v>
      </c>
      <c r="E12">
        <v>12905</v>
      </c>
      <c r="F12">
        <v>2500000</v>
      </c>
      <c r="G12">
        <v>2484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</row>
    <row r="13" spans="1:26" x14ac:dyDescent="0.25">
      <c r="A13" s="14">
        <v>2035</v>
      </c>
      <c r="B13">
        <v>3135</v>
      </c>
      <c r="C13">
        <v>360</v>
      </c>
      <c r="D13">
        <v>1760</v>
      </c>
      <c r="E13">
        <v>12905</v>
      </c>
      <c r="F13">
        <v>2500000</v>
      </c>
      <c r="G13">
        <v>2484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</row>
    <row r="14" spans="1:26" x14ac:dyDescent="0.25">
      <c r="A14" s="14">
        <v>2036</v>
      </c>
      <c r="B14">
        <v>3135</v>
      </c>
      <c r="C14">
        <v>360</v>
      </c>
      <c r="D14">
        <v>1760</v>
      </c>
      <c r="E14">
        <v>12905</v>
      </c>
      <c r="F14">
        <v>2500000</v>
      </c>
      <c r="G14">
        <v>2484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</row>
    <row r="15" spans="1:26" x14ac:dyDescent="0.25">
      <c r="A15" s="14">
        <v>2037</v>
      </c>
      <c r="B15">
        <v>3135</v>
      </c>
      <c r="C15">
        <v>360</v>
      </c>
      <c r="D15">
        <v>1760</v>
      </c>
      <c r="E15">
        <v>12905</v>
      </c>
      <c r="F15">
        <v>2500000</v>
      </c>
      <c r="G15">
        <v>2484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</row>
    <row r="16" spans="1:26" x14ac:dyDescent="0.25">
      <c r="A16" s="14">
        <v>2038</v>
      </c>
      <c r="B16">
        <v>3135</v>
      </c>
      <c r="C16">
        <v>360</v>
      </c>
      <c r="D16">
        <v>1760</v>
      </c>
      <c r="E16">
        <v>12905</v>
      </c>
      <c r="F16">
        <v>2500000</v>
      </c>
      <c r="G16">
        <v>2484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</row>
    <row r="17" spans="1:26" x14ac:dyDescent="0.25">
      <c r="A17" s="14">
        <v>2039</v>
      </c>
      <c r="B17">
        <v>3135</v>
      </c>
      <c r="C17">
        <v>360</v>
      </c>
      <c r="D17">
        <v>1760</v>
      </c>
      <c r="E17">
        <v>12905</v>
      </c>
      <c r="F17">
        <v>2500000</v>
      </c>
      <c r="G17">
        <v>2484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5">
      <c r="A18" s="14">
        <v>2040</v>
      </c>
      <c r="B18">
        <v>3135</v>
      </c>
      <c r="C18">
        <v>360</v>
      </c>
      <c r="D18">
        <v>1760</v>
      </c>
      <c r="E18">
        <v>12905</v>
      </c>
      <c r="F18">
        <v>2500000</v>
      </c>
      <c r="G18">
        <v>2484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</row>
    <row r="19" spans="1:26" x14ac:dyDescent="0.25">
      <c r="A19" s="14">
        <v>2041</v>
      </c>
      <c r="B19">
        <v>3135</v>
      </c>
      <c r="C19">
        <v>360</v>
      </c>
      <c r="D19">
        <v>1760</v>
      </c>
      <c r="E19">
        <v>12905</v>
      </c>
      <c r="F19">
        <v>2500000</v>
      </c>
      <c r="G19">
        <v>2484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</row>
    <row r="20" spans="1:26" x14ac:dyDescent="0.25">
      <c r="A20" s="14">
        <v>2042</v>
      </c>
      <c r="B20">
        <v>3135</v>
      </c>
      <c r="C20">
        <v>360</v>
      </c>
      <c r="D20">
        <v>1760</v>
      </c>
      <c r="E20">
        <v>12905</v>
      </c>
      <c r="F20">
        <v>2500000</v>
      </c>
      <c r="G20">
        <v>2484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5">
      <c r="A21" s="14">
        <v>2043</v>
      </c>
      <c r="B21">
        <v>3135</v>
      </c>
      <c r="C21">
        <v>360</v>
      </c>
      <c r="D21">
        <v>1760</v>
      </c>
      <c r="E21">
        <v>12905</v>
      </c>
      <c r="F21">
        <v>2500000</v>
      </c>
      <c r="G21">
        <v>2484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5">
      <c r="A22" s="14">
        <v>2044</v>
      </c>
      <c r="B22">
        <v>3135</v>
      </c>
      <c r="C22">
        <v>360</v>
      </c>
      <c r="D22">
        <v>1760</v>
      </c>
      <c r="E22">
        <v>12905</v>
      </c>
      <c r="F22">
        <v>2500000</v>
      </c>
      <c r="G22">
        <v>2484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</row>
    <row r="23" spans="1:26" x14ac:dyDescent="0.25">
      <c r="A23" s="14">
        <v>2045</v>
      </c>
      <c r="B23">
        <v>3135</v>
      </c>
      <c r="C23">
        <v>360</v>
      </c>
      <c r="D23">
        <v>1760</v>
      </c>
      <c r="E23">
        <v>12905</v>
      </c>
      <c r="F23">
        <v>2500000</v>
      </c>
      <c r="G23">
        <v>2484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</row>
    <row r="24" spans="1:26" x14ac:dyDescent="0.25">
      <c r="A24" s="14">
        <v>2046</v>
      </c>
      <c r="B24">
        <v>3135</v>
      </c>
      <c r="C24">
        <v>360</v>
      </c>
      <c r="D24">
        <v>1760</v>
      </c>
      <c r="E24">
        <v>12905</v>
      </c>
      <c r="F24">
        <v>2500000</v>
      </c>
      <c r="G24">
        <v>2484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5">
      <c r="A25" s="14">
        <v>2047</v>
      </c>
      <c r="B25">
        <v>3135</v>
      </c>
      <c r="C25">
        <v>360</v>
      </c>
      <c r="D25">
        <v>1760</v>
      </c>
      <c r="E25">
        <v>12905</v>
      </c>
      <c r="F25">
        <v>2500000</v>
      </c>
      <c r="G25">
        <v>2484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</row>
    <row r="26" spans="1:26" x14ac:dyDescent="0.25">
      <c r="A26" s="14">
        <v>2048</v>
      </c>
      <c r="B26">
        <v>3135</v>
      </c>
      <c r="C26">
        <v>360</v>
      </c>
      <c r="D26">
        <v>1760</v>
      </c>
      <c r="E26">
        <v>12905</v>
      </c>
      <c r="F26">
        <v>2500000</v>
      </c>
      <c r="G26">
        <v>2484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</row>
    <row r="27" spans="1:26" x14ac:dyDescent="0.25">
      <c r="A27" s="14">
        <v>2049</v>
      </c>
      <c r="B27">
        <v>3135</v>
      </c>
      <c r="C27">
        <v>360</v>
      </c>
      <c r="D27">
        <v>1760</v>
      </c>
      <c r="E27">
        <v>12905</v>
      </c>
      <c r="F27">
        <v>2500000</v>
      </c>
      <c r="G27">
        <v>2484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</row>
    <row r="28" spans="1:26" x14ac:dyDescent="0.25">
      <c r="A28" s="14">
        <v>2050</v>
      </c>
      <c r="B28">
        <v>3135</v>
      </c>
      <c r="C28">
        <v>360</v>
      </c>
      <c r="D28">
        <v>1760</v>
      </c>
      <c r="E28">
        <v>12905</v>
      </c>
      <c r="F28">
        <v>2500000</v>
      </c>
      <c r="G28">
        <v>2484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3026C-02E1-4FD1-A973-B34B54E790E8}">
  <dimension ref="A1:Z28"/>
  <sheetViews>
    <sheetView topLeftCell="D1" workbookViewId="0">
      <selection activeCell="H2" sqref="H2:Z28"/>
    </sheetView>
  </sheetViews>
  <sheetFormatPr baseColWidth="10" defaultRowHeight="15" x14ac:dyDescent="0.25"/>
  <sheetData>
    <row r="1" spans="1:26" x14ac:dyDescent="0.25">
      <c r="A1" t="s">
        <v>15</v>
      </c>
      <c r="B1" t="s">
        <v>146</v>
      </c>
      <c r="C1" t="s">
        <v>183</v>
      </c>
      <c r="D1" t="s">
        <v>184</v>
      </c>
      <c r="E1" t="s">
        <v>166</v>
      </c>
      <c r="F1" t="s">
        <v>185</v>
      </c>
      <c r="G1" t="s">
        <v>186</v>
      </c>
      <c r="H1" t="s">
        <v>163</v>
      </c>
      <c r="I1" t="s">
        <v>164</v>
      </c>
      <c r="J1" t="s">
        <v>165</v>
      </c>
      <c r="K1" t="s">
        <v>167</v>
      </c>
      <c r="L1" t="s">
        <v>168</v>
      </c>
      <c r="M1" t="s">
        <v>169</v>
      </c>
      <c r="N1" t="s">
        <v>170</v>
      </c>
      <c r="O1" t="s">
        <v>171</v>
      </c>
      <c r="P1" t="s">
        <v>172</v>
      </c>
      <c r="Q1" t="s">
        <v>173</v>
      </c>
      <c r="R1" t="s">
        <v>174</v>
      </c>
      <c r="S1" t="s">
        <v>175</v>
      </c>
      <c r="T1" t="s">
        <v>176</v>
      </c>
      <c r="U1" t="s">
        <v>177</v>
      </c>
      <c r="V1" t="s">
        <v>178</v>
      </c>
      <c r="W1" t="s">
        <v>179</v>
      </c>
      <c r="X1" t="s">
        <v>180</v>
      </c>
      <c r="Y1" t="s">
        <v>181</v>
      </c>
      <c r="Z1" t="s">
        <v>182</v>
      </c>
    </row>
    <row r="2" spans="1:26" x14ac:dyDescent="0.25">
      <c r="A2" s="14">
        <v>2024</v>
      </c>
      <c r="B2">
        <v>3135</v>
      </c>
      <c r="C2">
        <v>360</v>
      </c>
      <c r="D2">
        <v>1760</v>
      </c>
      <c r="E2">
        <v>12905</v>
      </c>
      <c r="F2">
        <v>2500000</v>
      </c>
      <c r="G2">
        <v>2484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</row>
    <row r="3" spans="1:26" x14ac:dyDescent="0.25">
      <c r="A3" s="14">
        <v>2025</v>
      </c>
      <c r="B3">
        <v>3135</v>
      </c>
      <c r="C3">
        <v>360</v>
      </c>
      <c r="D3">
        <v>1760</v>
      </c>
      <c r="E3">
        <v>12905</v>
      </c>
      <c r="F3">
        <v>2500000</v>
      </c>
      <c r="G3">
        <v>2484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</row>
    <row r="4" spans="1:26" x14ac:dyDescent="0.25">
      <c r="A4" s="14">
        <v>2026</v>
      </c>
      <c r="B4">
        <v>3135</v>
      </c>
      <c r="C4">
        <v>360</v>
      </c>
      <c r="D4">
        <v>1760</v>
      </c>
      <c r="E4">
        <v>12905</v>
      </c>
      <c r="F4">
        <v>2500000</v>
      </c>
      <c r="G4">
        <v>2484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</row>
    <row r="5" spans="1:26" x14ac:dyDescent="0.25">
      <c r="A5" s="14">
        <v>2027</v>
      </c>
      <c r="B5">
        <v>3135</v>
      </c>
      <c r="C5">
        <v>360</v>
      </c>
      <c r="D5">
        <v>1760</v>
      </c>
      <c r="E5">
        <v>12905</v>
      </c>
      <c r="F5">
        <v>2500000</v>
      </c>
      <c r="G5">
        <v>2484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</row>
    <row r="6" spans="1:26" x14ac:dyDescent="0.25">
      <c r="A6" s="14">
        <v>2028</v>
      </c>
      <c r="B6">
        <v>3135</v>
      </c>
      <c r="C6">
        <v>360</v>
      </c>
      <c r="D6">
        <v>1760</v>
      </c>
      <c r="E6">
        <v>12905</v>
      </c>
      <c r="F6">
        <v>2500000</v>
      </c>
      <c r="G6">
        <v>2484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</row>
    <row r="7" spans="1:26" x14ac:dyDescent="0.25">
      <c r="A7" s="14">
        <v>2029</v>
      </c>
      <c r="B7">
        <v>3135</v>
      </c>
      <c r="C7">
        <v>360</v>
      </c>
      <c r="D7">
        <v>1760</v>
      </c>
      <c r="E7">
        <v>12905</v>
      </c>
      <c r="F7">
        <v>2500000</v>
      </c>
      <c r="G7">
        <v>2484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</row>
    <row r="8" spans="1:26" x14ac:dyDescent="0.25">
      <c r="A8" s="14">
        <v>2030</v>
      </c>
      <c r="B8">
        <v>3135</v>
      </c>
      <c r="C8">
        <v>360</v>
      </c>
      <c r="D8">
        <v>1760</v>
      </c>
      <c r="E8">
        <v>12905</v>
      </c>
      <c r="F8">
        <v>2500000</v>
      </c>
      <c r="G8">
        <v>2484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</row>
    <row r="9" spans="1:26" x14ac:dyDescent="0.25">
      <c r="A9" s="14">
        <v>2031</v>
      </c>
      <c r="B9">
        <v>3135</v>
      </c>
      <c r="C9">
        <v>360</v>
      </c>
      <c r="D9">
        <v>1760</v>
      </c>
      <c r="E9">
        <v>12905</v>
      </c>
      <c r="F9">
        <v>2500000</v>
      </c>
      <c r="G9">
        <v>2484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</row>
    <row r="10" spans="1:26" x14ac:dyDescent="0.25">
      <c r="A10" s="14">
        <v>2032</v>
      </c>
      <c r="B10">
        <v>3135</v>
      </c>
      <c r="C10">
        <v>360</v>
      </c>
      <c r="D10">
        <v>1760</v>
      </c>
      <c r="E10">
        <v>12905</v>
      </c>
      <c r="F10">
        <v>2500000</v>
      </c>
      <c r="G10">
        <v>2484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</row>
    <row r="11" spans="1:26" x14ac:dyDescent="0.25">
      <c r="A11" s="14">
        <v>2033</v>
      </c>
      <c r="B11">
        <v>3135</v>
      </c>
      <c r="C11">
        <v>360</v>
      </c>
      <c r="D11">
        <v>1760</v>
      </c>
      <c r="E11">
        <v>12905</v>
      </c>
      <c r="F11">
        <v>2500000</v>
      </c>
      <c r="G11">
        <v>2484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</row>
    <row r="12" spans="1:26" x14ac:dyDescent="0.25">
      <c r="A12" s="14">
        <v>2034</v>
      </c>
      <c r="B12">
        <v>3135</v>
      </c>
      <c r="C12">
        <v>360</v>
      </c>
      <c r="D12">
        <v>1760</v>
      </c>
      <c r="E12">
        <v>12905</v>
      </c>
      <c r="F12">
        <v>2500000</v>
      </c>
      <c r="G12">
        <v>2484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</row>
    <row r="13" spans="1:26" x14ac:dyDescent="0.25">
      <c r="A13" s="14">
        <v>2035</v>
      </c>
      <c r="B13">
        <v>3135</v>
      </c>
      <c r="C13">
        <v>360</v>
      </c>
      <c r="D13">
        <v>1760</v>
      </c>
      <c r="E13">
        <v>12905</v>
      </c>
      <c r="F13">
        <v>2500000</v>
      </c>
      <c r="G13">
        <v>2484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</row>
    <row r="14" spans="1:26" x14ac:dyDescent="0.25">
      <c r="A14" s="14">
        <v>2036</v>
      </c>
      <c r="B14">
        <v>3135</v>
      </c>
      <c r="C14">
        <v>360</v>
      </c>
      <c r="D14">
        <v>1760</v>
      </c>
      <c r="E14">
        <v>12905</v>
      </c>
      <c r="F14">
        <v>2500000</v>
      </c>
      <c r="G14">
        <v>2484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</row>
    <row r="15" spans="1:26" x14ac:dyDescent="0.25">
      <c r="A15" s="14">
        <v>2037</v>
      </c>
      <c r="B15">
        <v>3135</v>
      </c>
      <c r="C15">
        <v>360</v>
      </c>
      <c r="D15">
        <v>1760</v>
      </c>
      <c r="E15">
        <v>12905</v>
      </c>
      <c r="F15">
        <v>2500000</v>
      </c>
      <c r="G15">
        <v>2484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</row>
    <row r="16" spans="1:26" x14ac:dyDescent="0.25">
      <c r="A16" s="14">
        <v>2038</v>
      </c>
      <c r="B16">
        <v>3135</v>
      </c>
      <c r="C16">
        <v>360</v>
      </c>
      <c r="D16">
        <v>1760</v>
      </c>
      <c r="E16">
        <v>12905</v>
      </c>
      <c r="F16">
        <v>2500000</v>
      </c>
      <c r="G16">
        <v>2484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</row>
    <row r="17" spans="1:26" x14ac:dyDescent="0.25">
      <c r="A17" s="14">
        <v>2039</v>
      </c>
      <c r="B17">
        <v>3135</v>
      </c>
      <c r="C17">
        <v>360</v>
      </c>
      <c r="D17">
        <v>1760</v>
      </c>
      <c r="E17">
        <v>12905</v>
      </c>
      <c r="F17">
        <v>2500000</v>
      </c>
      <c r="G17">
        <v>2484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5">
      <c r="A18" s="14">
        <v>2040</v>
      </c>
      <c r="B18">
        <v>3135</v>
      </c>
      <c r="C18">
        <v>360</v>
      </c>
      <c r="D18">
        <v>1760</v>
      </c>
      <c r="E18">
        <v>12905</v>
      </c>
      <c r="F18">
        <v>2500000</v>
      </c>
      <c r="G18">
        <v>2484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</row>
    <row r="19" spans="1:26" x14ac:dyDescent="0.25">
      <c r="A19" s="14">
        <v>2041</v>
      </c>
      <c r="B19">
        <v>3135</v>
      </c>
      <c r="C19">
        <v>360</v>
      </c>
      <c r="D19">
        <v>1760</v>
      </c>
      <c r="E19">
        <v>12905</v>
      </c>
      <c r="F19">
        <v>2500000</v>
      </c>
      <c r="G19">
        <v>2484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</row>
    <row r="20" spans="1:26" x14ac:dyDescent="0.25">
      <c r="A20" s="14">
        <v>2042</v>
      </c>
      <c r="B20">
        <v>3135</v>
      </c>
      <c r="C20">
        <v>360</v>
      </c>
      <c r="D20">
        <v>1760</v>
      </c>
      <c r="E20">
        <v>12905</v>
      </c>
      <c r="F20">
        <v>2500000</v>
      </c>
      <c r="G20">
        <v>2484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5">
      <c r="A21" s="14">
        <v>2043</v>
      </c>
      <c r="B21">
        <v>3135</v>
      </c>
      <c r="C21">
        <v>360</v>
      </c>
      <c r="D21">
        <v>1760</v>
      </c>
      <c r="E21">
        <v>12905</v>
      </c>
      <c r="F21">
        <v>2500000</v>
      </c>
      <c r="G21">
        <v>2484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5">
      <c r="A22" s="14">
        <v>2044</v>
      </c>
      <c r="B22">
        <v>3135</v>
      </c>
      <c r="C22">
        <v>360</v>
      </c>
      <c r="D22">
        <v>1760</v>
      </c>
      <c r="E22">
        <v>12905</v>
      </c>
      <c r="F22">
        <v>2500000</v>
      </c>
      <c r="G22">
        <v>2484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</row>
    <row r="23" spans="1:26" x14ac:dyDescent="0.25">
      <c r="A23" s="14">
        <v>2045</v>
      </c>
      <c r="B23">
        <v>3135</v>
      </c>
      <c r="C23">
        <v>360</v>
      </c>
      <c r="D23">
        <v>1760</v>
      </c>
      <c r="E23">
        <v>12905</v>
      </c>
      <c r="F23">
        <v>2500000</v>
      </c>
      <c r="G23">
        <v>2484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</row>
    <row r="24" spans="1:26" x14ac:dyDescent="0.25">
      <c r="A24" s="14">
        <v>2046</v>
      </c>
      <c r="B24">
        <v>3135</v>
      </c>
      <c r="C24">
        <v>360</v>
      </c>
      <c r="D24">
        <v>1760</v>
      </c>
      <c r="E24">
        <v>12905</v>
      </c>
      <c r="F24">
        <v>2500000</v>
      </c>
      <c r="G24">
        <v>2484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5">
      <c r="A25" s="14">
        <v>2047</v>
      </c>
      <c r="B25">
        <v>3135</v>
      </c>
      <c r="C25">
        <v>360</v>
      </c>
      <c r="D25">
        <v>1760</v>
      </c>
      <c r="E25">
        <v>12905</v>
      </c>
      <c r="F25">
        <v>2500000</v>
      </c>
      <c r="G25">
        <v>2484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</row>
    <row r="26" spans="1:26" x14ac:dyDescent="0.25">
      <c r="A26" s="14">
        <v>2048</v>
      </c>
      <c r="B26">
        <v>3135</v>
      </c>
      <c r="C26">
        <v>360</v>
      </c>
      <c r="D26">
        <v>1760</v>
      </c>
      <c r="E26">
        <v>12905</v>
      </c>
      <c r="F26">
        <v>2500000</v>
      </c>
      <c r="G26">
        <v>2484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</row>
    <row r="27" spans="1:26" x14ac:dyDescent="0.25">
      <c r="A27" s="14">
        <v>2049</v>
      </c>
      <c r="B27">
        <v>3135</v>
      </c>
      <c r="C27">
        <v>360</v>
      </c>
      <c r="D27">
        <v>1760</v>
      </c>
      <c r="E27">
        <v>12905</v>
      </c>
      <c r="F27">
        <v>2500000</v>
      </c>
      <c r="G27">
        <v>2484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</row>
    <row r="28" spans="1:26" x14ac:dyDescent="0.25">
      <c r="A28" s="14">
        <v>2050</v>
      </c>
      <c r="B28">
        <v>3135</v>
      </c>
      <c r="C28">
        <v>360</v>
      </c>
      <c r="D28">
        <v>1760</v>
      </c>
      <c r="E28">
        <v>12905</v>
      </c>
      <c r="F28">
        <v>2500000</v>
      </c>
      <c r="G28">
        <v>2484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76978-BEE9-428F-A843-1F40BF462E1E}">
  <dimension ref="A1:Z28"/>
  <sheetViews>
    <sheetView topLeftCell="D1" workbookViewId="0">
      <selection activeCell="H2" sqref="H2:Z28"/>
    </sheetView>
  </sheetViews>
  <sheetFormatPr baseColWidth="10" defaultRowHeight="15" x14ac:dyDescent="0.25"/>
  <sheetData>
    <row r="1" spans="1:26" x14ac:dyDescent="0.25">
      <c r="A1" t="s">
        <v>15</v>
      </c>
      <c r="B1" t="s">
        <v>146</v>
      </c>
      <c r="C1" t="s">
        <v>183</v>
      </c>
      <c r="D1" t="s">
        <v>184</v>
      </c>
      <c r="E1" t="s">
        <v>166</v>
      </c>
      <c r="F1" t="s">
        <v>185</v>
      </c>
      <c r="G1" t="s">
        <v>186</v>
      </c>
      <c r="H1" t="s">
        <v>163</v>
      </c>
      <c r="I1" t="s">
        <v>164</v>
      </c>
      <c r="J1" t="s">
        <v>165</v>
      </c>
      <c r="K1" t="s">
        <v>167</v>
      </c>
      <c r="L1" t="s">
        <v>168</v>
      </c>
      <c r="M1" t="s">
        <v>169</v>
      </c>
      <c r="N1" t="s">
        <v>170</v>
      </c>
      <c r="O1" t="s">
        <v>171</v>
      </c>
      <c r="P1" t="s">
        <v>172</v>
      </c>
      <c r="Q1" t="s">
        <v>173</v>
      </c>
      <c r="R1" t="s">
        <v>174</v>
      </c>
      <c r="S1" t="s">
        <v>175</v>
      </c>
      <c r="T1" t="s">
        <v>176</v>
      </c>
      <c r="U1" t="s">
        <v>177</v>
      </c>
      <c r="V1" t="s">
        <v>178</v>
      </c>
      <c r="W1" t="s">
        <v>179</v>
      </c>
      <c r="X1" t="s">
        <v>180</v>
      </c>
      <c r="Y1" t="s">
        <v>181</v>
      </c>
      <c r="Z1" t="s">
        <v>182</v>
      </c>
    </row>
    <row r="2" spans="1:26" x14ac:dyDescent="0.25">
      <c r="A2" s="14">
        <v>2024</v>
      </c>
      <c r="B2">
        <v>0.25</v>
      </c>
      <c r="C2">
        <v>0.02</v>
      </c>
      <c r="D2">
        <v>0</v>
      </c>
      <c r="E2">
        <v>6.5000000000000002E-2</v>
      </c>
      <c r="F2">
        <v>0.25</v>
      </c>
      <c r="G2">
        <v>0.06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</row>
    <row r="3" spans="1:26" x14ac:dyDescent="0.25">
      <c r="A3" s="14">
        <v>2025</v>
      </c>
      <c r="B3">
        <v>0.25</v>
      </c>
      <c r="C3">
        <v>0.02</v>
      </c>
      <c r="D3">
        <v>0</v>
      </c>
      <c r="E3">
        <v>6.5000000000000002E-2</v>
      </c>
      <c r="F3">
        <v>0.25</v>
      </c>
      <c r="G3">
        <v>0.06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</row>
    <row r="4" spans="1:26" x14ac:dyDescent="0.25">
      <c r="A4" s="14">
        <v>2026</v>
      </c>
      <c r="B4">
        <v>0.25</v>
      </c>
      <c r="C4">
        <v>0.02</v>
      </c>
      <c r="D4">
        <v>0</v>
      </c>
      <c r="E4">
        <v>6.5000000000000002E-2</v>
      </c>
      <c r="F4">
        <v>0.25</v>
      </c>
      <c r="G4">
        <v>0.06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</row>
    <row r="5" spans="1:26" x14ac:dyDescent="0.25">
      <c r="A5" s="14">
        <v>2027</v>
      </c>
      <c r="B5">
        <v>0.25</v>
      </c>
      <c r="C5">
        <v>0.02</v>
      </c>
      <c r="D5">
        <v>0</v>
      </c>
      <c r="E5">
        <v>6.5000000000000002E-2</v>
      </c>
      <c r="F5">
        <v>0.25</v>
      </c>
      <c r="G5">
        <v>0.06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</row>
    <row r="6" spans="1:26" x14ac:dyDescent="0.25">
      <c r="A6" s="14">
        <v>2028</v>
      </c>
      <c r="B6">
        <v>0.25</v>
      </c>
      <c r="C6">
        <v>0.02</v>
      </c>
      <c r="D6">
        <v>0</v>
      </c>
      <c r="E6">
        <v>6.5000000000000002E-2</v>
      </c>
      <c r="F6">
        <v>0.25</v>
      </c>
      <c r="G6">
        <v>0.06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</row>
    <row r="7" spans="1:26" x14ac:dyDescent="0.25">
      <c r="A7" s="14">
        <v>2029</v>
      </c>
      <c r="B7">
        <v>0.25</v>
      </c>
      <c r="C7">
        <v>0.02</v>
      </c>
      <c r="D7">
        <v>0</v>
      </c>
      <c r="E7">
        <v>6.5000000000000002E-2</v>
      </c>
      <c r="F7">
        <v>0.25</v>
      </c>
      <c r="G7">
        <v>0.06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</row>
    <row r="8" spans="1:26" x14ac:dyDescent="0.25">
      <c r="A8" s="14">
        <v>2030</v>
      </c>
      <c r="B8">
        <v>0.25</v>
      </c>
      <c r="C8">
        <v>0.02</v>
      </c>
      <c r="D8">
        <v>0</v>
      </c>
      <c r="E8">
        <v>6.5000000000000002E-2</v>
      </c>
      <c r="F8">
        <v>0.25</v>
      </c>
      <c r="G8">
        <v>0.06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</row>
    <row r="9" spans="1:26" x14ac:dyDescent="0.25">
      <c r="A9" s="14">
        <v>2031</v>
      </c>
      <c r="B9">
        <v>0.25</v>
      </c>
      <c r="C9">
        <v>0.02</v>
      </c>
      <c r="D9">
        <v>0</v>
      </c>
      <c r="E9">
        <v>6.5000000000000002E-2</v>
      </c>
      <c r="F9">
        <v>0.25</v>
      </c>
      <c r="G9">
        <v>0.06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</row>
    <row r="10" spans="1:26" x14ac:dyDescent="0.25">
      <c r="A10" s="14">
        <v>2032</v>
      </c>
      <c r="B10">
        <v>0.25</v>
      </c>
      <c r="C10">
        <v>0.02</v>
      </c>
      <c r="D10">
        <v>0</v>
      </c>
      <c r="E10">
        <v>6.5000000000000002E-2</v>
      </c>
      <c r="F10">
        <v>0.25</v>
      </c>
      <c r="G10">
        <v>0.06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</row>
    <row r="11" spans="1:26" x14ac:dyDescent="0.25">
      <c r="A11" s="14">
        <v>2033</v>
      </c>
      <c r="B11">
        <v>0.25</v>
      </c>
      <c r="C11">
        <v>0.02</v>
      </c>
      <c r="D11">
        <v>0</v>
      </c>
      <c r="E11">
        <v>6.5000000000000002E-2</v>
      </c>
      <c r="F11">
        <v>0.25</v>
      </c>
      <c r="G11">
        <v>0.06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</row>
    <row r="12" spans="1:26" x14ac:dyDescent="0.25">
      <c r="A12" s="14">
        <v>2034</v>
      </c>
      <c r="B12">
        <v>0.25</v>
      </c>
      <c r="C12">
        <v>0.02</v>
      </c>
      <c r="D12">
        <v>0</v>
      </c>
      <c r="E12">
        <v>6.5000000000000002E-2</v>
      </c>
      <c r="F12">
        <v>0.25</v>
      </c>
      <c r="G12">
        <v>0.06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</row>
    <row r="13" spans="1:26" x14ac:dyDescent="0.25">
      <c r="A13" s="14">
        <v>2035</v>
      </c>
      <c r="B13">
        <v>0.25</v>
      </c>
      <c r="C13">
        <v>0.02</v>
      </c>
      <c r="D13">
        <v>0</v>
      </c>
      <c r="E13">
        <v>6.5000000000000002E-2</v>
      </c>
      <c r="F13">
        <v>0.25</v>
      </c>
      <c r="G13">
        <v>0.06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</row>
    <row r="14" spans="1:26" x14ac:dyDescent="0.25">
      <c r="A14" s="14">
        <v>2036</v>
      </c>
      <c r="B14">
        <v>0.25</v>
      </c>
      <c r="C14">
        <v>0.02</v>
      </c>
      <c r="D14">
        <v>0</v>
      </c>
      <c r="E14">
        <v>6.5000000000000002E-2</v>
      </c>
      <c r="F14">
        <v>0.25</v>
      </c>
      <c r="G14">
        <v>0.06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</row>
    <row r="15" spans="1:26" x14ac:dyDescent="0.25">
      <c r="A15" s="14">
        <v>2037</v>
      </c>
      <c r="B15">
        <v>0.25</v>
      </c>
      <c r="C15">
        <v>0.02</v>
      </c>
      <c r="D15">
        <v>0</v>
      </c>
      <c r="E15">
        <v>6.5000000000000002E-2</v>
      </c>
      <c r="F15">
        <v>0.25</v>
      </c>
      <c r="G15">
        <v>0.06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</row>
    <row r="16" spans="1:26" x14ac:dyDescent="0.25">
      <c r="A16" s="14">
        <v>2038</v>
      </c>
      <c r="B16">
        <v>0.25</v>
      </c>
      <c r="C16">
        <v>0.02</v>
      </c>
      <c r="D16">
        <v>0</v>
      </c>
      <c r="E16">
        <v>6.5000000000000002E-2</v>
      </c>
      <c r="F16">
        <v>0.25</v>
      </c>
      <c r="G16">
        <v>0.06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</row>
    <row r="17" spans="1:26" x14ac:dyDescent="0.25">
      <c r="A17" s="14">
        <v>2039</v>
      </c>
      <c r="B17">
        <v>0.25</v>
      </c>
      <c r="C17">
        <v>0.02</v>
      </c>
      <c r="D17">
        <v>0</v>
      </c>
      <c r="E17">
        <v>6.5000000000000002E-2</v>
      </c>
      <c r="F17">
        <v>0.25</v>
      </c>
      <c r="G17">
        <v>0.06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5">
      <c r="A18" s="14">
        <v>2040</v>
      </c>
      <c r="B18">
        <v>0.25</v>
      </c>
      <c r="C18">
        <v>0.02</v>
      </c>
      <c r="D18">
        <v>0</v>
      </c>
      <c r="E18">
        <v>6.5000000000000002E-2</v>
      </c>
      <c r="F18">
        <v>0.25</v>
      </c>
      <c r="G18">
        <v>0.06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</row>
    <row r="19" spans="1:26" x14ac:dyDescent="0.25">
      <c r="A19" s="14">
        <v>2041</v>
      </c>
      <c r="B19">
        <v>0.25</v>
      </c>
      <c r="C19">
        <v>0.02</v>
      </c>
      <c r="D19">
        <v>0</v>
      </c>
      <c r="E19">
        <v>6.5000000000000002E-2</v>
      </c>
      <c r="F19">
        <v>0.25</v>
      </c>
      <c r="G19">
        <v>0.06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</row>
    <row r="20" spans="1:26" x14ac:dyDescent="0.25">
      <c r="A20" s="14">
        <v>2042</v>
      </c>
      <c r="B20">
        <v>0.25</v>
      </c>
      <c r="C20">
        <v>0.02</v>
      </c>
      <c r="D20">
        <v>0</v>
      </c>
      <c r="E20">
        <v>6.5000000000000002E-2</v>
      </c>
      <c r="F20">
        <v>0.25</v>
      </c>
      <c r="G20">
        <v>0.06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5">
      <c r="A21" s="14">
        <v>2043</v>
      </c>
      <c r="B21">
        <v>0.25</v>
      </c>
      <c r="C21">
        <v>0.02</v>
      </c>
      <c r="D21">
        <v>0</v>
      </c>
      <c r="E21">
        <v>6.5000000000000002E-2</v>
      </c>
      <c r="F21">
        <v>0.25</v>
      </c>
      <c r="G21">
        <v>0.06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5">
      <c r="A22" s="14">
        <v>2044</v>
      </c>
      <c r="B22">
        <v>0.25</v>
      </c>
      <c r="C22">
        <v>0.02</v>
      </c>
      <c r="D22">
        <v>0</v>
      </c>
      <c r="E22">
        <v>6.5000000000000002E-2</v>
      </c>
      <c r="F22">
        <v>0.25</v>
      </c>
      <c r="G22">
        <v>0.06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</row>
    <row r="23" spans="1:26" x14ac:dyDescent="0.25">
      <c r="A23" s="14">
        <v>2045</v>
      </c>
      <c r="B23">
        <v>0.25</v>
      </c>
      <c r="C23">
        <v>0.02</v>
      </c>
      <c r="D23">
        <v>0</v>
      </c>
      <c r="E23">
        <v>6.5000000000000002E-2</v>
      </c>
      <c r="F23">
        <v>0.25</v>
      </c>
      <c r="G23">
        <v>0.06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</row>
    <row r="24" spans="1:26" x14ac:dyDescent="0.25">
      <c r="A24" s="14">
        <v>2046</v>
      </c>
      <c r="B24">
        <v>0.25</v>
      </c>
      <c r="C24">
        <v>0.02</v>
      </c>
      <c r="D24">
        <v>0</v>
      </c>
      <c r="E24">
        <v>6.5000000000000002E-2</v>
      </c>
      <c r="F24">
        <v>0.25</v>
      </c>
      <c r="G24">
        <v>0.06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5">
      <c r="A25" s="14">
        <v>2047</v>
      </c>
      <c r="B25">
        <v>0.25</v>
      </c>
      <c r="C25">
        <v>0.02</v>
      </c>
      <c r="D25">
        <v>0</v>
      </c>
      <c r="E25">
        <v>6.5000000000000002E-2</v>
      </c>
      <c r="F25">
        <v>0.25</v>
      </c>
      <c r="G25">
        <v>0.06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</row>
    <row r="26" spans="1:26" x14ac:dyDescent="0.25">
      <c r="A26" s="14">
        <v>2048</v>
      </c>
      <c r="B26">
        <v>0.25</v>
      </c>
      <c r="C26">
        <v>0.02</v>
      </c>
      <c r="D26">
        <v>0</v>
      </c>
      <c r="E26">
        <v>6.5000000000000002E-2</v>
      </c>
      <c r="F26">
        <v>0.25</v>
      </c>
      <c r="G26">
        <v>0.06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</row>
    <row r="27" spans="1:26" x14ac:dyDescent="0.25">
      <c r="A27" s="14">
        <v>2049</v>
      </c>
      <c r="B27">
        <v>0.25</v>
      </c>
      <c r="C27">
        <v>0.02</v>
      </c>
      <c r="D27">
        <v>0</v>
      </c>
      <c r="E27">
        <v>6.5000000000000002E-2</v>
      </c>
      <c r="F27">
        <v>0.25</v>
      </c>
      <c r="G27">
        <v>0.06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</row>
    <row r="28" spans="1:26" x14ac:dyDescent="0.25">
      <c r="A28" s="14">
        <v>2050</v>
      </c>
      <c r="B28">
        <v>0.25</v>
      </c>
      <c r="C28">
        <v>0.02</v>
      </c>
      <c r="D28">
        <v>0</v>
      </c>
      <c r="E28">
        <v>6.5000000000000002E-2</v>
      </c>
      <c r="F28">
        <v>0.25</v>
      </c>
      <c r="G28">
        <v>0.06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AB9FD-44ED-4E59-8956-C20ADB98B718}">
  <dimension ref="A1:Z28"/>
  <sheetViews>
    <sheetView topLeftCell="D1" workbookViewId="0">
      <selection activeCell="H2" sqref="H2:Z28"/>
    </sheetView>
  </sheetViews>
  <sheetFormatPr baseColWidth="10" defaultRowHeight="15" x14ac:dyDescent="0.25"/>
  <sheetData>
    <row r="1" spans="1:26" x14ac:dyDescent="0.25">
      <c r="A1" t="s">
        <v>15</v>
      </c>
      <c r="B1" t="s">
        <v>146</v>
      </c>
      <c r="C1" t="s">
        <v>183</v>
      </c>
      <c r="D1" t="s">
        <v>184</v>
      </c>
      <c r="E1" t="s">
        <v>166</v>
      </c>
      <c r="F1" t="s">
        <v>185</v>
      </c>
      <c r="G1" t="s">
        <v>186</v>
      </c>
      <c r="H1" t="s">
        <v>163</v>
      </c>
      <c r="I1" t="s">
        <v>164</v>
      </c>
      <c r="J1" t="s">
        <v>165</v>
      </c>
      <c r="K1" t="s">
        <v>167</v>
      </c>
      <c r="L1" t="s">
        <v>168</v>
      </c>
      <c r="M1" t="s">
        <v>169</v>
      </c>
      <c r="N1" t="s">
        <v>170</v>
      </c>
      <c r="O1" t="s">
        <v>171</v>
      </c>
      <c r="P1" t="s">
        <v>172</v>
      </c>
      <c r="Q1" t="s">
        <v>173</v>
      </c>
      <c r="R1" t="s">
        <v>174</v>
      </c>
      <c r="S1" t="s">
        <v>175</v>
      </c>
      <c r="T1" t="s">
        <v>176</v>
      </c>
      <c r="U1" t="s">
        <v>177</v>
      </c>
      <c r="V1" t="s">
        <v>178</v>
      </c>
      <c r="W1" t="s">
        <v>179</v>
      </c>
      <c r="X1" t="s">
        <v>180</v>
      </c>
      <c r="Y1" t="s">
        <v>181</v>
      </c>
      <c r="Z1" t="s">
        <v>162</v>
      </c>
    </row>
    <row r="2" spans="1:26" x14ac:dyDescent="0.25">
      <c r="A2" s="14">
        <v>2024</v>
      </c>
      <c r="B2">
        <v>5.25</v>
      </c>
      <c r="C2">
        <v>0.75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</row>
    <row r="3" spans="1:26" x14ac:dyDescent="0.25">
      <c r="A3" s="14">
        <v>2025</v>
      </c>
      <c r="B3">
        <v>5.25</v>
      </c>
      <c r="C3">
        <v>0.75</v>
      </c>
      <c r="D3">
        <v>0</v>
      </c>
      <c r="E3">
        <v>6.5000000000000002E-2</v>
      </c>
      <c r="F3">
        <v>0.25</v>
      </c>
      <c r="G3">
        <v>0.06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</row>
    <row r="4" spans="1:26" x14ac:dyDescent="0.25">
      <c r="A4" s="14">
        <v>2026</v>
      </c>
      <c r="B4">
        <v>5.25</v>
      </c>
      <c r="C4">
        <v>0.75</v>
      </c>
      <c r="D4">
        <v>0</v>
      </c>
      <c r="E4">
        <v>6.5000000000000002E-2</v>
      </c>
      <c r="F4">
        <v>0.25</v>
      </c>
      <c r="G4">
        <v>0.06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</row>
    <row r="5" spans="1:26" x14ac:dyDescent="0.25">
      <c r="A5" s="14">
        <v>2027</v>
      </c>
      <c r="B5">
        <v>5.25</v>
      </c>
      <c r="C5">
        <v>0.75</v>
      </c>
      <c r="D5">
        <v>0</v>
      </c>
      <c r="E5">
        <v>6.5000000000000002E-2</v>
      </c>
      <c r="F5">
        <v>0.25</v>
      </c>
      <c r="G5">
        <v>0.06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</row>
    <row r="6" spans="1:26" x14ac:dyDescent="0.25">
      <c r="A6" s="14">
        <v>2028</v>
      </c>
      <c r="B6">
        <v>5.25</v>
      </c>
      <c r="C6">
        <v>0.75</v>
      </c>
      <c r="D6">
        <v>0</v>
      </c>
      <c r="E6">
        <v>6.5000000000000002E-2</v>
      </c>
      <c r="F6">
        <v>0.25</v>
      </c>
      <c r="G6">
        <v>0.06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</row>
    <row r="7" spans="1:26" x14ac:dyDescent="0.25">
      <c r="A7" s="14">
        <v>2029</v>
      </c>
      <c r="B7">
        <v>5.25</v>
      </c>
      <c r="C7">
        <v>0.75</v>
      </c>
      <c r="D7">
        <v>0</v>
      </c>
      <c r="E7">
        <v>6.5000000000000002E-2</v>
      </c>
      <c r="F7">
        <v>0.25</v>
      </c>
      <c r="G7">
        <v>0.06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</row>
    <row r="8" spans="1:26" x14ac:dyDescent="0.25">
      <c r="A8" s="14">
        <v>2030</v>
      </c>
      <c r="B8">
        <v>5.25</v>
      </c>
      <c r="C8">
        <v>0.75</v>
      </c>
      <c r="D8">
        <v>0</v>
      </c>
      <c r="E8">
        <v>6.5000000000000002E-2</v>
      </c>
      <c r="F8">
        <v>0.25</v>
      </c>
      <c r="G8">
        <v>0.06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</row>
    <row r="9" spans="1:26" x14ac:dyDescent="0.25">
      <c r="A9" s="14">
        <v>2031</v>
      </c>
      <c r="B9">
        <v>5.25</v>
      </c>
      <c r="C9">
        <v>0.75</v>
      </c>
      <c r="D9">
        <v>0</v>
      </c>
      <c r="E9">
        <v>6.5000000000000002E-2</v>
      </c>
      <c r="F9">
        <v>0.25</v>
      </c>
      <c r="G9">
        <v>0.06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</row>
    <row r="10" spans="1:26" x14ac:dyDescent="0.25">
      <c r="A10" s="14">
        <v>2032</v>
      </c>
      <c r="B10">
        <v>5.25</v>
      </c>
      <c r="C10">
        <v>0.75</v>
      </c>
      <c r="D10">
        <v>0</v>
      </c>
      <c r="E10">
        <v>6.5000000000000002E-2</v>
      </c>
      <c r="F10">
        <v>0.25</v>
      </c>
      <c r="G10">
        <v>0.06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</row>
    <row r="11" spans="1:26" x14ac:dyDescent="0.25">
      <c r="A11" s="14">
        <v>2033</v>
      </c>
      <c r="B11">
        <v>5.25</v>
      </c>
      <c r="C11">
        <v>0.75</v>
      </c>
      <c r="D11">
        <v>0</v>
      </c>
      <c r="E11">
        <v>6.5000000000000002E-2</v>
      </c>
      <c r="F11">
        <v>0.25</v>
      </c>
      <c r="G11">
        <v>0.06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</row>
    <row r="12" spans="1:26" x14ac:dyDescent="0.25">
      <c r="A12" s="14">
        <v>2034</v>
      </c>
      <c r="B12">
        <v>5.25</v>
      </c>
      <c r="C12">
        <v>0.75</v>
      </c>
      <c r="D12">
        <v>0</v>
      </c>
      <c r="E12">
        <v>6.5000000000000002E-2</v>
      </c>
      <c r="F12">
        <v>0.25</v>
      </c>
      <c r="G12">
        <v>0.06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</row>
    <row r="13" spans="1:26" x14ac:dyDescent="0.25">
      <c r="A13" s="14">
        <v>2035</v>
      </c>
      <c r="B13">
        <v>5.25</v>
      </c>
      <c r="C13">
        <v>0.75</v>
      </c>
      <c r="D13">
        <v>0</v>
      </c>
      <c r="E13">
        <v>6.5000000000000002E-2</v>
      </c>
      <c r="F13">
        <v>0.25</v>
      </c>
      <c r="G13">
        <v>0.06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</row>
    <row r="14" spans="1:26" x14ac:dyDescent="0.25">
      <c r="A14" s="14">
        <v>2036</v>
      </c>
      <c r="B14">
        <v>5.25</v>
      </c>
      <c r="C14">
        <v>0.75</v>
      </c>
      <c r="D14">
        <v>0</v>
      </c>
      <c r="E14">
        <v>6.5000000000000002E-2</v>
      </c>
      <c r="F14">
        <v>0.25</v>
      </c>
      <c r="G14">
        <v>0.06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</row>
    <row r="15" spans="1:26" x14ac:dyDescent="0.25">
      <c r="A15" s="14">
        <v>2037</v>
      </c>
      <c r="B15">
        <v>5.25</v>
      </c>
      <c r="C15">
        <v>0.75</v>
      </c>
      <c r="D15">
        <v>0</v>
      </c>
      <c r="E15">
        <v>6.5000000000000002E-2</v>
      </c>
      <c r="F15">
        <v>0.25</v>
      </c>
      <c r="G15">
        <v>0.06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</row>
    <row r="16" spans="1:26" x14ac:dyDescent="0.25">
      <c r="A16" s="14">
        <v>2038</v>
      </c>
      <c r="B16">
        <v>5.25</v>
      </c>
      <c r="C16">
        <v>0.75</v>
      </c>
      <c r="D16">
        <v>0</v>
      </c>
      <c r="E16">
        <v>6.5000000000000002E-2</v>
      </c>
      <c r="F16">
        <v>0.25</v>
      </c>
      <c r="G16">
        <v>0.06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</row>
    <row r="17" spans="1:26" x14ac:dyDescent="0.25">
      <c r="A17" s="14">
        <v>2039</v>
      </c>
      <c r="B17">
        <v>5.25</v>
      </c>
      <c r="C17">
        <v>0.75</v>
      </c>
      <c r="D17">
        <v>0</v>
      </c>
      <c r="E17">
        <v>6.5000000000000002E-2</v>
      </c>
      <c r="F17">
        <v>0.25</v>
      </c>
      <c r="G17">
        <v>0.06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5">
      <c r="A18" s="14">
        <v>2040</v>
      </c>
      <c r="B18">
        <v>5.25</v>
      </c>
      <c r="C18">
        <v>0.75</v>
      </c>
      <c r="D18">
        <v>0</v>
      </c>
      <c r="E18">
        <v>6.5000000000000002E-2</v>
      </c>
      <c r="F18">
        <v>0.25</v>
      </c>
      <c r="G18">
        <v>0.06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</row>
    <row r="19" spans="1:26" x14ac:dyDescent="0.25">
      <c r="A19" s="14">
        <v>2041</v>
      </c>
      <c r="B19">
        <v>5.25</v>
      </c>
      <c r="C19">
        <v>0.75</v>
      </c>
      <c r="D19">
        <v>0</v>
      </c>
      <c r="E19">
        <v>6.5000000000000002E-2</v>
      </c>
      <c r="F19">
        <v>0.25</v>
      </c>
      <c r="G19">
        <v>0.06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</row>
    <row r="20" spans="1:26" x14ac:dyDescent="0.25">
      <c r="A20" s="14">
        <v>2042</v>
      </c>
      <c r="B20">
        <v>5.25</v>
      </c>
      <c r="C20">
        <v>0.75</v>
      </c>
      <c r="D20">
        <v>0</v>
      </c>
      <c r="E20">
        <v>6.5000000000000002E-2</v>
      </c>
      <c r="F20">
        <v>0.25</v>
      </c>
      <c r="G20">
        <v>0.06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5">
      <c r="A21" s="14">
        <v>2043</v>
      </c>
      <c r="B21">
        <v>5.25</v>
      </c>
      <c r="C21">
        <v>0.75</v>
      </c>
      <c r="D21">
        <v>0</v>
      </c>
      <c r="E21">
        <v>6.5000000000000002E-2</v>
      </c>
      <c r="F21">
        <v>0.25</v>
      </c>
      <c r="G21">
        <v>0.06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5">
      <c r="A22" s="14">
        <v>2044</v>
      </c>
      <c r="B22">
        <v>5.25</v>
      </c>
      <c r="C22">
        <v>0.75</v>
      </c>
      <c r="D22">
        <v>0</v>
      </c>
      <c r="E22">
        <v>6.5000000000000002E-2</v>
      </c>
      <c r="F22">
        <v>0.25</v>
      </c>
      <c r="G22">
        <v>0.06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</row>
    <row r="23" spans="1:26" x14ac:dyDescent="0.25">
      <c r="A23" s="14">
        <v>2045</v>
      </c>
      <c r="B23">
        <v>5.25</v>
      </c>
      <c r="C23">
        <v>0.75</v>
      </c>
      <c r="D23">
        <v>0</v>
      </c>
      <c r="E23">
        <v>6.5000000000000002E-2</v>
      </c>
      <c r="F23">
        <v>0.25</v>
      </c>
      <c r="G23">
        <v>0.06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</row>
    <row r="24" spans="1:26" x14ac:dyDescent="0.25">
      <c r="A24" s="14">
        <v>2046</v>
      </c>
      <c r="B24">
        <v>5.25</v>
      </c>
      <c r="C24">
        <v>0.75</v>
      </c>
      <c r="D24">
        <v>0</v>
      </c>
      <c r="E24">
        <v>6.5000000000000002E-2</v>
      </c>
      <c r="F24">
        <v>0.25</v>
      </c>
      <c r="G24">
        <v>0.06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5">
      <c r="A25" s="14">
        <v>2047</v>
      </c>
      <c r="B25">
        <v>5.25</v>
      </c>
      <c r="C25">
        <v>0.75</v>
      </c>
      <c r="D25">
        <v>0</v>
      </c>
      <c r="E25">
        <v>6.5000000000000002E-2</v>
      </c>
      <c r="F25">
        <v>0.25</v>
      </c>
      <c r="G25">
        <v>0.06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</row>
    <row r="26" spans="1:26" x14ac:dyDescent="0.25">
      <c r="A26" s="14">
        <v>2048</v>
      </c>
      <c r="B26">
        <v>5.25</v>
      </c>
      <c r="C26">
        <v>0.75</v>
      </c>
      <c r="D26">
        <v>0</v>
      </c>
      <c r="E26">
        <v>6.5000000000000002E-2</v>
      </c>
      <c r="F26">
        <v>0.25</v>
      </c>
      <c r="G26">
        <v>0.06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</row>
    <row r="27" spans="1:26" x14ac:dyDescent="0.25">
      <c r="A27" s="14">
        <v>2049</v>
      </c>
      <c r="B27">
        <v>5.25</v>
      </c>
      <c r="C27">
        <v>0.75</v>
      </c>
      <c r="D27">
        <v>0</v>
      </c>
      <c r="E27">
        <v>6.5000000000000002E-2</v>
      </c>
      <c r="F27">
        <v>0.25</v>
      </c>
      <c r="G27">
        <v>0.06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</row>
    <row r="28" spans="1:26" x14ac:dyDescent="0.25">
      <c r="A28" s="14">
        <v>2050</v>
      </c>
      <c r="B28">
        <v>5.25</v>
      </c>
      <c r="C28">
        <v>0.75</v>
      </c>
      <c r="D28">
        <v>0</v>
      </c>
      <c r="E28">
        <v>6.5000000000000002E-2</v>
      </c>
      <c r="F28">
        <v>0.25</v>
      </c>
      <c r="G28">
        <v>0.06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B2112-D2EE-4E9F-B294-4222E881A3C9}">
  <dimension ref="A1:E11"/>
  <sheetViews>
    <sheetView workbookViewId="0">
      <selection activeCell="D12" sqref="D12"/>
    </sheetView>
  </sheetViews>
  <sheetFormatPr baseColWidth="10" defaultRowHeight="15" x14ac:dyDescent="0.25"/>
  <sheetData>
    <row r="1" spans="1:5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</row>
    <row r="2" spans="1:5" x14ac:dyDescent="0.25">
      <c r="A2" t="s">
        <v>75</v>
      </c>
      <c r="B2" t="s">
        <v>92</v>
      </c>
      <c r="C2" t="s">
        <v>75</v>
      </c>
      <c r="D2" t="s">
        <v>109</v>
      </c>
      <c r="E2" t="s">
        <v>93</v>
      </c>
    </row>
    <row r="3" spans="1:5" x14ac:dyDescent="0.25">
      <c r="A3" t="s">
        <v>75</v>
      </c>
      <c r="B3" t="s">
        <v>86</v>
      </c>
      <c r="C3" t="s">
        <v>75</v>
      </c>
      <c r="D3" t="s">
        <v>92</v>
      </c>
      <c r="E3" t="s">
        <v>93</v>
      </c>
    </row>
    <row r="4" spans="1:5" x14ac:dyDescent="0.25">
      <c r="A4" t="s">
        <v>75</v>
      </c>
      <c r="B4" t="s">
        <v>87</v>
      </c>
      <c r="C4" t="s">
        <v>75</v>
      </c>
      <c r="D4" t="s">
        <v>86</v>
      </c>
      <c r="E4" t="s">
        <v>93</v>
      </c>
    </row>
    <row r="5" spans="1:5" x14ac:dyDescent="0.25">
      <c r="A5" t="s">
        <v>89</v>
      </c>
      <c r="B5" t="s">
        <v>94</v>
      </c>
      <c r="C5" t="s">
        <v>89</v>
      </c>
      <c r="D5" t="s">
        <v>119</v>
      </c>
      <c r="E5" t="s">
        <v>93</v>
      </c>
    </row>
    <row r="6" spans="1:5" x14ac:dyDescent="0.25">
      <c r="A6" t="s">
        <v>76</v>
      </c>
      <c r="B6" t="s">
        <v>129</v>
      </c>
      <c r="C6" t="s">
        <v>76</v>
      </c>
      <c r="D6" t="s">
        <v>126</v>
      </c>
      <c r="E6" t="s">
        <v>93</v>
      </c>
    </row>
    <row r="7" spans="1:5" x14ac:dyDescent="0.25">
      <c r="A7" t="s">
        <v>76</v>
      </c>
      <c r="B7" t="s">
        <v>129</v>
      </c>
      <c r="C7" t="s">
        <v>76</v>
      </c>
      <c r="D7" t="s">
        <v>127</v>
      </c>
      <c r="E7" t="s">
        <v>93</v>
      </c>
    </row>
    <row r="8" spans="1:5" x14ac:dyDescent="0.25">
      <c r="A8" t="s">
        <v>76</v>
      </c>
      <c r="B8" t="s">
        <v>129</v>
      </c>
      <c r="C8" t="s">
        <v>76</v>
      </c>
      <c r="D8" t="s">
        <v>128</v>
      </c>
      <c r="E8" t="s">
        <v>93</v>
      </c>
    </row>
    <row r="9" spans="1:5" x14ac:dyDescent="0.25">
      <c r="A9" t="s">
        <v>77</v>
      </c>
      <c r="B9" t="s">
        <v>133</v>
      </c>
      <c r="C9" t="s">
        <v>77</v>
      </c>
      <c r="D9" t="s">
        <v>130</v>
      </c>
      <c r="E9" t="s">
        <v>93</v>
      </c>
    </row>
    <row r="10" spans="1:5" x14ac:dyDescent="0.25">
      <c r="A10" t="s">
        <v>77</v>
      </c>
      <c r="B10" t="s">
        <v>133</v>
      </c>
      <c r="C10" t="s">
        <v>77</v>
      </c>
      <c r="D10" t="s">
        <v>131</v>
      </c>
      <c r="E10" t="s">
        <v>93</v>
      </c>
    </row>
    <row r="11" spans="1:5" x14ac:dyDescent="0.25">
      <c r="A11" t="s">
        <v>77</v>
      </c>
      <c r="B11" t="s">
        <v>133</v>
      </c>
      <c r="C11" t="s">
        <v>77</v>
      </c>
      <c r="D11" t="s">
        <v>132</v>
      </c>
      <c r="E11" t="s">
        <v>93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844EE-882F-4833-8B87-00A8BB665263}">
  <dimension ref="A1:H15"/>
  <sheetViews>
    <sheetView topLeftCell="B1" zoomScale="115" workbookViewId="0">
      <selection activeCell="H16" sqref="H16"/>
    </sheetView>
  </sheetViews>
  <sheetFormatPr baseColWidth="10" defaultRowHeight="15" x14ac:dyDescent="0.25"/>
  <sheetData>
    <row r="1" spans="1:8" x14ac:dyDescent="0.25">
      <c r="A1" t="s">
        <v>90</v>
      </c>
      <c r="B1" t="s">
        <v>91</v>
      </c>
      <c r="C1" t="s">
        <v>82</v>
      </c>
      <c r="D1" t="s">
        <v>83</v>
      </c>
      <c r="E1" t="s">
        <v>103</v>
      </c>
      <c r="F1" t="s">
        <v>104</v>
      </c>
      <c r="G1" t="s">
        <v>113</v>
      </c>
      <c r="H1" t="s">
        <v>121</v>
      </c>
    </row>
    <row r="2" spans="1:8" x14ac:dyDescent="0.25">
      <c r="A2">
        <v>2024</v>
      </c>
      <c r="B2" t="s">
        <v>16</v>
      </c>
      <c r="C2" t="s">
        <v>75</v>
      </c>
      <c r="D2" t="s">
        <v>109</v>
      </c>
      <c r="E2" s="12">
        <v>64400.000000000007</v>
      </c>
      <c r="F2" s="12">
        <v>1449.0000000000002</v>
      </c>
      <c r="G2" s="12">
        <v>3220</v>
      </c>
      <c r="H2" s="12">
        <v>0</v>
      </c>
    </row>
    <row r="3" spans="1:8" x14ac:dyDescent="0.25">
      <c r="A3">
        <v>2024</v>
      </c>
      <c r="B3" t="s">
        <v>16</v>
      </c>
      <c r="C3" t="s">
        <v>75</v>
      </c>
      <c r="D3" t="s">
        <v>92</v>
      </c>
      <c r="E3" s="12">
        <v>92000</v>
      </c>
      <c r="F3" s="12">
        <v>3312</v>
      </c>
      <c r="G3" s="12">
        <v>4600</v>
      </c>
      <c r="H3" s="12">
        <v>0</v>
      </c>
    </row>
    <row r="4" spans="1:8" x14ac:dyDescent="0.25">
      <c r="A4">
        <v>2024</v>
      </c>
      <c r="B4" t="s">
        <v>16</v>
      </c>
      <c r="C4" t="s">
        <v>75</v>
      </c>
      <c r="D4" t="s">
        <v>86</v>
      </c>
      <c r="E4" s="12">
        <v>165600</v>
      </c>
      <c r="F4" s="12">
        <v>14904</v>
      </c>
      <c r="G4" s="12">
        <v>8280</v>
      </c>
      <c r="H4" s="12">
        <v>0</v>
      </c>
    </row>
    <row r="5" spans="1:8" x14ac:dyDescent="0.25">
      <c r="A5">
        <v>2024</v>
      </c>
      <c r="B5" t="s">
        <v>16</v>
      </c>
      <c r="C5" t="s">
        <v>75</v>
      </c>
      <c r="D5" t="s">
        <v>87</v>
      </c>
      <c r="E5" s="12">
        <v>46000</v>
      </c>
      <c r="F5" s="12">
        <v>12420</v>
      </c>
      <c r="G5" s="12">
        <v>2300</v>
      </c>
      <c r="H5" s="12">
        <v>0</v>
      </c>
    </row>
    <row r="6" spans="1:8" x14ac:dyDescent="0.25">
      <c r="A6">
        <v>2024</v>
      </c>
      <c r="B6" t="s">
        <v>16</v>
      </c>
      <c r="C6" t="s">
        <v>76</v>
      </c>
      <c r="D6" t="s">
        <v>126</v>
      </c>
      <c r="E6" s="12">
        <v>73600</v>
      </c>
      <c r="F6" s="12">
        <v>40142</v>
      </c>
      <c r="G6" s="12">
        <v>3680.0000000000009</v>
      </c>
      <c r="H6" s="12">
        <v>74006</v>
      </c>
    </row>
    <row r="7" spans="1:8" x14ac:dyDescent="0.25">
      <c r="A7">
        <v>2024</v>
      </c>
      <c r="B7" t="s">
        <v>16</v>
      </c>
      <c r="C7" t="s">
        <v>76</v>
      </c>
      <c r="D7" t="s">
        <v>127</v>
      </c>
      <c r="E7" s="12">
        <v>82800</v>
      </c>
      <c r="F7" s="12">
        <v>7866</v>
      </c>
      <c r="G7" s="12">
        <v>4140</v>
      </c>
      <c r="H7" s="12">
        <v>264948.33858154103</v>
      </c>
    </row>
    <row r="8" spans="1:8" x14ac:dyDescent="0.25">
      <c r="A8">
        <v>2024</v>
      </c>
      <c r="B8" t="s">
        <v>16</v>
      </c>
      <c r="C8" t="s">
        <v>76</v>
      </c>
      <c r="D8" t="s">
        <v>128</v>
      </c>
      <c r="E8" s="12">
        <v>276000</v>
      </c>
      <c r="F8" s="12">
        <v>26220</v>
      </c>
      <c r="G8" s="12">
        <v>13800</v>
      </c>
      <c r="H8" s="12">
        <v>493032.21042160509</v>
      </c>
    </row>
    <row r="9" spans="1:8" x14ac:dyDescent="0.25">
      <c r="A9">
        <v>2024</v>
      </c>
      <c r="B9" t="s">
        <v>16</v>
      </c>
      <c r="C9" t="s">
        <v>76</v>
      </c>
      <c r="D9" t="s">
        <v>129</v>
      </c>
      <c r="E9" s="12">
        <v>1</v>
      </c>
      <c r="F9" s="12">
        <v>1</v>
      </c>
      <c r="G9" s="12">
        <v>1</v>
      </c>
      <c r="H9" s="12">
        <v>0</v>
      </c>
    </row>
    <row r="10" spans="1:8" x14ac:dyDescent="0.25">
      <c r="A10">
        <v>2024</v>
      </c>
      <c r="B10" t="s">
        <v>16</v>
      </c>
      <c r="C10" t="s">
        <v>77</v>
      </c>
      <c r="D10" t="s">
        <v>130</v>
      </c>
      <c r="E10" s="12">
        <v>165600</v>
      </c>
      <c r="F10" s="12">
        <v>120522</v>
      </c>
      <c r="G10" s="12">
        <v>8280</v>
      </c>
      <c r="H10" s="12">
        <v>229760</v>
      </c>
    </row>
    <row r="11" spans="1:8" x14ac:dyDescent="0.25">
      <c r="A11">
        <v>2024</v>
      </c>
      <c r="B11" t="s">
        <v>16</v>
      </c>
      <c r="C11" t="s">
        <v>77</v>
      </c>
      <c r="D11" t="s">
        <v>131</v>
      </c>
      <c r="E11" s="12">
        <v>202400</v>
      </c>
      <c r="F11" s="12">
        <v>19228</v>
      </c>
      <c r="G11" s="12">
        <v>10120</v>
      </c>
      <c r="H11" s="12">
        <v>231566.55902280001</v>
      </c>
    </row>
    <row r="12" spans="1:8" x14ac:dyDescent="0.25">
      <c r="A12">
        <v>2024</v>
      </c>
      <c r="B12" t="s">
        <v>16</v>
      </c>
      <c r="C12" t="s">
        <v>77</v>
      </c>
      <c r="D12" t="s">
        <v>132</v>
      </c>
      <c r="E12" s="12">
        <v>202400</v>
      </c>
      <c r="F12" s="12">
        <v>19228</v>
      </c>
      <c r="G12" s="12">
        <v>10120</v>
      </c>
      <c r="H12" s="12">
        <v>901215.14350847807</v>
      </c>
    </row>
    <row r="13" spans="1:8" x14ac:dyDescent="0.25">
      <c r="A13">
        <v>2024</v>
      </c>
      <c r="B13" t="s">
        <v>16</v>
      </c>
      <c r="C13" t="s">
        <v>77</v>
      </c>
      <c r="D13" t="s">
        <v>133</v>
      </c>
      <c r="E13" s="12">
        <v>1</v>
      </c>
      <c r="F13" s="12">
        <v>1</v>
      </c>
      <c r="G13" s="12">
        <v>1</v>
      </c>
      <c r="H13" s="12">
        <v>0</v>
      </c>
    </row>
    <row r="14" spans="1:8" x14ac:dyDescent="0.25">
      <c r="A14">
        <v>2024</v>
      </c>
      <c r="B14" t="s">
        <v>16</v>
      </c>
      <c r="C14" t="s">
        <v>89</v>
      </c>
      <c r="D14" t="s">
        <v>119</v>
      </c>
      <c r="E14">
        <v>999999</v>
      </c>
      <c r="F14">
        <v>1</v>
      </c>
      <c r="G14">
        <v>1</v>
      </c>
      <c r="H14" s="12">
        <v>0</v>
      </c>
    </row>
    <row r="15" spans="1:8" x14ac:dyDescent="0.25">
      <c r="A15">
        <v>2024</v>
      </c>
      <c r="B15" t="s">
        <v>16</v>
      </c>
      <c r="C15" t="s">
        <v>89</v>
      </c>
      <c r="D15" t="s">
        <v>94</v>
      </c>
      <c r="E15">
        <v>1</v>
      </c>
      <c r="F15">
        <v>1</v>
      </c>
      <c r="G15">
        <v>1</v>
      </c>
      <c r="H15" s="12">
        <v>0</v>
      </c>
    </row>
  </sheetData>
  <phoneticPr fontId="7" type="noConversion"/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4DFEF-01D9-4B2D-A936-BF616F091054}">
  <dimension ref="A1:O34"/>
  <sheetViews>
    <sheetView workbookViewId="0">
      <selection activeCell="K28" sqref="K28"/>
    </sheetView>
  </sheetViews>
  <sheetFormatPr baseColWidth="10" defaultRowHeight="15" x14ac:dyDescent="0.25"/>
  <sheetData>
    <row r="1" spans="1:15" x14ac:dyDescent="0.25">
      <c r="A1" t="s">
        <v>15</v>
      </c>
      <c r="B1" t="s">
        <v>110</v>
      </c>
      <c r="C1" t="s">
        <v>106</v>
      </c>
      <c r="D1" t="s">
        <v>107</v>
      </c>
      <c r="E1" t="s">
        <v>108</v>
      </c>
      <c r="F1" t="s">
        <v>134</v>
      </c>
      <c r="G1" t="s">
        <v>135</v>
      </c>
      <c r="H1" t="s">
        <v>136</v>
      </c>
      <c r="I1" t="s">
        <v>137</v>
      </c>
      <c r="J1" t="s">
        <v>138</v>
      </c>
      <c r="K1" t="s">
        <v>139</v>
      </c>
      <c r="L1" t="s">
        <v>140</v>
      </c>
      <c r="M1" t="s">
        <v>141</v>
      </c>
      <c r="N1" t="s">
        <v>120</v>
      </c>
      <c r="O1" t="s">
        <v>111</v>
      </c>
    </row>
    <row r="2" spans="1:15" x14ac:dyDescent="0.25">
      <c r="A2">
        <v>2024</v>
      </c>
      <c r="B2">
        <v>38640</v>
      </c>
      <c r="C2">
        <v>55200</v>
      </c>
      <c r="D2">
        <v>82800</v>
      </c>
      <c r="E2">
        <v>149960</v>
      </c>
      <c r="F2">
        <v>9999999</v>
      </c>
      <c r="G2">
        <v>9999999</v>
      </c>
      <c r="H2">
        <v>9999999</v>
      </c>
      <c r="I2" s="8">
        <v>1052044.8400000001</v>
      </c>
      <c r="J2">
        <v>9999999</v>
      </c>
      <c r="K2">
        <v>9999999</v>
      </c>
      <c r="L2">
        <v>9999999</v>
      </c>
      <c r="M2" s="8">
        <v>1775265.64</v>
      </c>
      <c r="N2">
        <v>9999999</v>
      </c>
      <c r="O2">
        <v>280439.83</v>
      </c>
    </row>
    <row r="3" spans="1:15" x14ac:dyDescent="0.25">
      <c r="A3">
        <v>2025</v>
      </c>
      <c r="B3">
        <v>38060.400000000001</v>
      </c>
      <c r="C3">
        <v>54372</v>
      </c>
      <c r="D3">
        <v>81558</v>
      </c>
      <c r="E3">
        <v>148580</v>
      </c>
      <c r="F3">
        <v>9999999</v>
      </c>
      <c r="G3">
        <v>9999999</v>
      </c>
      <c r="H3">
        <v>9999999</v>
      </c>
      <c r="I3" s="8">
        <v>1042480.8</v>
      </c>
      <c r="J3">
        <v>9999999</v>
      </c>
      <c r="K3">
        <v>9999999</v>
      </c>
      <c r="L3">
        <v>9999999</v>
      </c>
      <c r="M3" s="8">
        <v>1722922.37</v>
      </c>
      <c r="N3">
        <v>9999999</v>
      </c>
      <c r="O3">
        <v>274754.90999999997</v>
      </c>
    </row>
    <row r="4" spans="1:15" x14ac:dyDescent="0.25">
      <c r="A4">
        <v>2026</v>
      </c>
      <c r="B4">
        <v>37489.493999999999</v>
      </c>
      <c r="C4">
        <v>53556.42</v>
      </c>
      <c r="D4">
        <v>80334.63</v>
      </c>
      <c r="E4">
        <v>147200</v>
      </c>
      <c r="F4">
        <v>9999999</v>
      </c>
      <c r="G4">
        <v>9999999</v>
      </c>
      <c r="H4">
        <v>9999999</v>
      </c>
      <c r="I4" s="8">
        <v>1032916.75</v>
      </c>
      <c r="J4">
        <v>9999999</v>
      </c>
      <c r="K4">
        <v>9999999</v>
      </c>
      <c r="L4">
        <v>9999999</v>
      </c>
      <c r="M4" s="8">
        <v>1670579.1</v>
      </c>
      <c r="N4">
        <v>9999999</v>
      </c>
      <c r="O4">
        <v>269179.44</v>
      </c>
    </row>
    <row r="5" spans="1:15" x14ac:dyDescent="0.25">
      <c r="A5">
        <v>2027</v>
      </c>
      <c r="B5">
        <v>36927.151590000001</v>
      </c>
      <c r="C5">
        <v>52753.073700000001</v>
      </c>
      <c r="D5">
        <v>79129.610549999998</v>
      </c>
      <c r="E5">
        <v>145820</v>
      </c>
      <c r="F5">
        <v>9999999</v>
      </c>
      <c r="G5">
        <v>9999999</v>
      </c>
      <c r="H5">
        <v>9999999</v>
      </c>
      <c r="I5" s="8">
        <v>1023352.71</v>
      </c>
      <c r="J5">
        <v>9999999</v>
      </c>
      <c r="K5">
        <v>9999999</v>
      </c>
      <c r="L5">
        <v>9999999</v>
      </c>
      <c r="M5" s="8">
        <v>1618235.83</v>
      </c>
      <c r="N5">
        <v>9999999</v>
      </c>
      <c r="O5">
        <v>263711.78000000003</v>
      </c>
    </row>
    <row r="6" spans="1:15" x14ac:dyDescent="0.25">
      <c r="A6">
        <v>2028</v>
      </c>
      <c r="B6">
        <v>36373.244316149998</v>
      </c>
      <c r="C6">
        <v>51961.777594500003</v>
      </c>
      <c r="D6">
        <v>77942.666391749997</v>
      </c>
      <c r="E6">
        <v>144440</v>
      </c>
      <c r="F6">
        <v>9999999</v>
      </c>
      <c r="G6">
        <v>9999999</v>
      </c>
      <c r="H6">
        <v>9999999</v>
      </c>
      <c r="I6" s="8">
        <v>1013788.66</v>
      </c>
      <c r="J6">
        <v>9999999</v>
      </c>
      <c r="K6">
        <v>9999999</v>
      </c>
      <c r="L6">
        <v>9999999</v>
      </c>
      <c r="M6" s="8">
        <v>1565892.56</v>
      </c>
      <c r="N6">
        <v>9999999</v>
      </c>
      <c r="O6">
        <v>258350.32</v>
      </c>
    </row>
    <row r="7" spans="1:15" x14ac:dyDescent="0.25">
      <c r="A7">
        <v>2029</v>
      </c>
      <c r="B7">
        <v>35827.645651407751</v>
      </c>
      <c r="C7">
        <v>51182.350930582499</v>
      </c>
      <c r="D7">
        <v>76773.526395873749</v>
      </c>
      <c r="E7">
        <v>143060</v>
      </c>
      <c r="F7">
        <v>9999999</v>
      </c>
      <c r="G7">
        <v>9999999</v>
      </c>
      <c r="H7">
        <v>9999999</v>
      </c>
      <c r="I7" s="8">
        <v>1004224.62</v>
      </c>
      <c r="J7">
        <v>9999999</v>
      </c>
      <c r="K7">
        <v>9999999</v>
      </c>
      <c r="L7">
        <v>9999999</v>
      </c>
      <c r="M7" s="8">
        <v>1513549.29</v>
      </c>
      <c r="N7">
        <v>9999999</v>
      </c>
      <c r="O7">
        <v>253093.46</v>
      </c>
    </row>
    <row r="8" spans="1:15" x14ac:dyDescent="0.25">
      <c r="A8">
        <v>2030</v>
      </c>
      <c r="B8">
        <v>35290.230966636635</v>
      </c>
      <c r="C8">
        <v>50414.615666623758</v>
      </c>
      <c r="D8">
        <v>75621.923499935641</v>
      </c>
      <c r="E8">
        <v>141680</v>
      </c>
      <c r="F8">
        <v>9999999</v>
      </c>
      <c r="G8">
        <v>9999999</v>
      </c>
      <c r="H8">
        <v>9999999</v>
      </c>
      <c r="I8" s="8">
        <v>994660.58</v>
      </c>
      <c r="J8">
        <v>9999999</v>
      </c>
      <c r="K8">
        <v>9999999</v>
      </c>
      <c r="L8">
        <v>9999999</v>
      </c>
      <c r="M8" s="8">
        <v>1461206.02</v>
      </c>
      <c r="N8">
        <v>9999999</v>
      </c>
      <c r="O8">
        <v>247939.65</v>
      </c>
    </row>
    <row r="9" spans="1:15" x14ac:dyDescent="0.25">
      <c r="A9">
        <v>2031</v>
      </c>
      <c r="B9">
        <v>34760.877502137082</v>
      </c>
      <c r="C9">
        <v>49658.396431624402</v>
      </c>
      <c r="D9">
        <v>74487.594647436606</v>
      </c>
      <c r="E9">
        <v>140300</v>
      </c>
      <c r="F9">
        <v>9999999</v>
      </c>
      <c r="G9">
        <v>9999999</v>
      </c>
      <c r="H9">
        <v>9999999</v>
      </c>
      <c r="I9" s="8">
        <v>992747.77</v>
      </c>
      <c r="J9">
        <v>9999999</v>
      </c>
      <c r="K9">
        <v>9999999</v>
      </c>
      <c r="L9">
        <v>9999999</v>
      </c>
      <c r="M9" s="8">
        <v>1444015.16</v>
      </c>
      <c r="N9">
        <v>9999999</v>
      </c>
      <c r="O9">
        <v>242887.37</v>
      </c>
    </row>
    <row r="10" spans="1:15" x14ac:dyDescent="0.25">
      <c r="A10">
        <v>2032</v>
      </c>
      <c r="B10">
        <v>34239.464339605023</v>
      </c>
      <c r="C10">
        <v>48913.520485150038</v>
      </c>
      <c r="D10">
        <v>73370.280727725054</v>
      </c>
      <c r="E10">
        <v>138920</v>
      </c>
      <c r="F10">
        <v>9999999</v>
      </c>
      <c r="G10">
        <v>9999999</v>
      </c>
      <c r="H10">
        <v>9999999</v>
      </c>
      <c r="I10" s="8">
        <v>990834.96</v>
      </c>
      <c r="J10">
        <v>9999999</v>
      </c>
      <c r="K10">
        <v>9999999</v>
      </c>
      <c r="L10">
        <v>9999999</v>
      </c>
      <c r="M10" s="8">
        <v>1426824.29</v>
      </c>
      <c r="N10">
        <v>9999999</v>
      </c>
      <c r="O10">
        <v>237935.1</v>
      </c>
    </row>
    <row r="11" spans="1:15" x14ac:dyDescent="0.25">
      <c r="A11">
        <v>2033</v>
      </c>
      <c r="B11">
        <v>33725.872374510946</v>
      </c>
      <c r="C11">
        <v>48179.817677872787</v>
      </c>
      <c r="D11">
        <v>72269.726516809184</v>
      </c>
      <c r="E11">
        <v>137540</v>
      </c>
      <c r="F11">
        <v>9999999</v>
      </c>
      <c r="G11">
        <v>9999999</v>
      </c>
      <c r="H11">
        <v>9999999</v>
      </c>
      <c r="I11" s="8">
        <v>988922.15</v>
      </c>
      <c r="J11">
        <v>9999999</v>
      </c>
      <c r="K11">
        <v>9999999</v>
      </c>
      <c r="L11">
        <v>9999999</v>
      </c>
      <c r="M11" s="8">
        <v>1409633.42</v>
      </c>
      <c r="N11">
        <v>9999999</v>
      </c>
      <c r="O11">
        <v>233081.4</v>
      </c>
    </row>
    <row r="12" spans="1:15" x14ac:dyDescent="0.25">
      <c r="A12">
        <v>2034</v>
      </c>
      <c r="B12">
        <v>33219.984288893284</v>
      </c>
      <c r="C12">
        <v>47457.120412704695</v>
      </c>
      <c r="D12">
        <v>71185.68061905705</v>
      </c>
      <c r="E12">
        <v>136160</v>
      </c>
      <c r="F12">
        <v>9999999</v>
      </c>
      <c r="G12">
        <v>9999999</v>
      </c>
      <c r="H12">
        <v>9999999</v>
      </c>
      <c r="I12" s="8">
        <v>987009.34</v>
      </c>
      <c r="J12">
        <v>9999999</v>
      </c>
      <c r="K12">
        <v>9999999</v>
      </c>
      <c r="L12">
        <v>9999999</v>
      </c>
      <c r="M12" s="8">
        <v>1392442.55</v>
      </c>
      <c r="N12">
        <v>9999999</v>
      </c>
      <c r="O12">
        <v>228324.82</v>
      </c>
    </row>
    <row r="13" spans="1:15" x14ac:dyDescent="0.25">
      <c r="A13">
        <v>2035</v>
      </c>
      <c r="B13">
        <v>32721.684524559885</v>
      </c>
      <c r="C13">
        <v>46745.263606514127</v>
      </c>
      <c r="D13">
        <v>70117.895409771198</v>
      </c>
      <c r="E13">
        <v>134780</v>
      </c>
      <c r="F13">
        <v>9999999</v>
      </c>
      <c r="G13">
        <v>9999999</v>
      </c>
      <c r="H13">
        <v>9999999</v>
      </c>
      <c r="I13" s="8">
        <v>985096.53</v>
      </c>
      <c r="J13">
        <v>9999999</v>
      </c>
      <c r="K13">
        <v>9999999</v>
      </c>
      <c r="L13">
        <v>9999999</v>
      </c>
      <c r="M13" s="8">
        <v>1375251.69</v>
      </c>
      <c r="N13">
        <v>9999999</v>
      </c>
      <c r="O13">
        <v>223663.91</v>
      </c>
    </row>
    <row r="14" spans="1:15" x14ac:dyDescent="0.25">
      <c r="A14">
        <v>2036</v>
      </c>
      <c r="B14">
        <v>32230.859256691485</v>
      </c>
      <c r="C14">
        <v>46044.084652416415</v>
      </c>
      <c r="D14">
        <v>69066.126978624627</v>
      </c>
      <c r="E14">
        <v>133400</v>
      </c>
      <c r="F14">
        <v>9999999</v>
      </c>
      <c r="G14">
        <v>9999999</v>
      </c>
      <c r="H14">
        <v>9999999</v>
      </c>
      <c r="I14" s="8">
        <v>983183.72</v>
      </c>
      <c r="J14">
        <v>9999999</v>
      </c>
      <c r="K14">
        <v>9999999</v>
      </c>
      <c r="L14">
        <v>9999999</v>
      </c>
      <c r="M14" s="8">
        <v>1358060.82</v>
      </c>
      <c r="N14">
        <v>9999999</v>
      </c>
      <c r="O14">
        <v>219097.32</v>
      </c>
    </row>
    <row r="15" spans="1:15" x14ac:dyDescent="0.25">
      <c r="A15">
        <v>2037</v>
      </c>
      <c r="B15">
        <v>31747.396367841113</v>
      </c>
      <c r="C15">
        <v>45353.423382630172</v>
      </c>
      <c r="D15">
        <v>68030.135073945261</v>
      </c>
      <c r="E15">
        <v>132020</v>
      </c>
      <c r="F15">
        <v>9999999</v>
      </c>
      <c r="G15">
        <v>9999999</v>
      </c>
      <c r="H15">
        <v>9999999</v>
      </c>
      <c r="I15" s="8">
        <v>981270.91</v>
      </c>
      <c r="J15">
        <v>9999999</v>
      </c>
      <c r="K15">
        <v>9999999</v>
      </c>
      <c r="L15">
        <v>9999999</v>
      </c>
      <c r="M15" s="8">
        <v>1340869.95</v>
      </c>
      <c r="N15">
        <v>9999999</v>
      </c>
      <c r="O15">
        <v>214623.65</v>
      </c>
    </row>
    <row r="16" spans="1:15" x14ac:dyDescent="0.25">
      <c r="A16">
        <v>2038</v>
      </c>
      <c r="B16">
        <v>31271.185422323495</v>
      </c>
      <c r="C16">
        <v>44673.122031890722</v>
      </c>
      <c r="D16">
        <v>67009.683047836079</v>
      </c>
      <c r="E16">
        <v>130640</v>
      </c>
      <c r="F16">
        <v>9999999</v>
      </c>
      <c r="G16">
        <v>9999999</v>
      </c>
      <c r="H16">
        <v>9999999</v>
      </c>
      <c r="I16" s="8">
        <v>979358.11</v>
      </c>
      <c r="J16">
        <v>9999999</v>
      </c>
      <c r="K16">
        <v>9999999</v>
      </c>
      <c r="L16">
        <v>9999999</v>
      </c>
      <c r="M16" s="8">
        <v>1323679.08</v>
      </c>
      <c r="N16">
        <v>9999999</v>
      </c>
      <c r="O16">
        <v>210241.6</v>
      </c>
    </row>
    <row r="17" spans="1:15" x14ac:dyDescent="0.25">
      <c r="A17">
        <v>2039</v>
      </c>
      <c r="B17">
        <v>30802.117640988643</v>
      </c>
      <c r="C17">
        <v>44003.025201412362</v>
      </c>
      <c r="D17">
        <v>66004.537802118532</v>
      </c>
      <c r="E17">
        <v>129260</v>
      </c>
      <c r="F17">
        <v>9999999</v>
      </c>
      <c r="G17">
        <v>9999999</v>
      </c>
      <c r="H17">
        <v>9999999</v>
      </c>
      <c r="I17" s="8">
        <v>977445.3</v>
      </c>
      <c r="J17">
        <v>9999999</v>
      </c>
      <c r="K17">
        <v>9999999</v>
      </c>
      <c r="L17">
        <v>9999999</v>
      </c>
      <c r="M17" s="8">
        <v>1306488.21</v>
      </c>
      <c r="N17">
        <v>9999999</v>
      </c>
      <c r="O17">
        <v>205949.84</v>
      </c>
    </row>
    <row r="18" spans="1:15" x14ac:dyDescent="0.25">
      <c r="A18">
        <v>2040</v>
      </c>
      <c r="B18">
        <v>30340.085876373814</v>
      </c>
      <c r="C18">
        <v>43342.979823391179</v>
      </c>
      <c r="D18">
        <v>65014.46973508675</v>
      </c>
      <c r="E18">
        <v>127880</v>
      </c>
      <c r="F18">
        <v>9999999</v>
      </c>
      <c r="G18">
        <v>9999999</v>
      </c>
      <c r="H18">
        <v>9999999</v>
      </c>
      <c r="I18" s="8">
        <v>975532.49</v>
      </c>
      <c r="J18">
        <v>9999999</v>
      </c>
      <c r="K18">
        <v>9999999</v>
      </c>
      <c r="L18">
        <v>9999999</v>
      </c>
      <c r="M18" s="8">
        <v>1288027.8</v>
      </c>
      <c r="N18">
        <v>9999999</v>
      </c>
      <c r="O18">
        <v>201747.12</v>
      </c>
    </row>
    <row r="19" spans="1:15" x14ac:dyDescent="0.25">
      <c r="A19">
        <v>2041</v>
      </c>
      <c r="B19">
        <v>29884.984588228206</v>
      </c>
      <c r="C19">
        <v>42692.835126040307</v>
      </c>
      <c r="D19">
        <v>64039.252689060449</v>
      </c>
      <c r="E19">
        <v>126500</v>
      </c>
      <c r="F19">
        <v>9999999</v>
      </c>
      <c r="G19">
        <v>9999999</v>
      </c>
      <c r="H19">
        <v>9999999</v>
      </c>
      <c r="I19" s="8">
        <v>973619.68</v>
      </c>
      <c r="J19">
        <v>9999999</v>
      </c>
      <c r="K19">
        <v>9999999</v>
      </c>
      <c r="L19">
        <v>9999999</v>
      </c>
      <c r="M19" s="8">
        <v>1288154.75</v>
      </c>
      <c r="N19">
        <v>9999999</v>
      </c>
      <c r="O19">
        <v>197632.19</v>
      </c>
    </row>
    <row r="20" spans="1:15" x14ac:dyDescent="0.25">
      <c r="A20">
        <v>2042</v>
      </c>
      <c r="B20">
        <v>29436.709819404783</v>
      </c>
      <c r="C20">
        <v>42052.442599149705</v>
      </c>
      <c r="D20">
        <v>63078.663898724539</v>
      </c>
      <c r="E20">
        <v>125120</v>
      </c>
      <c r="F20">
        <v>9999999</v>
      </c>
      <c r="G20">
        <v>9999999</v>
      </c>
      <c r="H20">
        <v>9999999</v>
      </c>
      <c r="I20" s="8">
        <v>971706.87</v>
      </c>
      <c r="J20">
        <v>9999999</v>
      </c>
      <c r="K20">
        <v>9999999</v>
      </c>
      <c r="L20">
        <v>9999999</v>
      </c>
      <c r="M20" s="8">
        <v>1288281.71</v>
      </c>
      <c r="N20">
        <v>9999999</v>
      </c>
      <c r="O20">
        <v>193603.83</v>
      </c>
    </row>
    <row r="21" spans="1:15" x14ac:dyDescent="0.25">
      <c r="A21">
        <v>2043</v>
      </c>
      <c r="B21">
        <v>28995.159172113712</v>
      </c>
      <c r="C21">
        <v>41421.655960162461</v>
      </c>
      <c r="D21">
        <v>62132.48394024367</v>
      </c>
      <c r="E21">
        <v>123740</v>
      </c>
      <c r="F21">
        <v>9999999</v>
      </c>
      <c r="G21">
        <v>9999999</v>
      </c>
      <c r="H21">
        <v>9999999</v>
      </c>
      <c r="I21" s="8">
        <v>969794.06</v>
      </c>
      <c r="J21">
        <v>9999999</v>
      </c>
      <c r="K21">
        <v>9999999</v>
      </c>
      <c r="L21">
        <v>9999999</v>
      </c>
      <c r="M21" s="8">
        <v>1288408.6599999999</v>
      </c>
      <c r="N21">
        <v>9999999</v>
      </c>
      <c r="O21">
        <v>189660.87</v>
      </c>
    </row>
    <row r="22" spans="1:15" x14ac:dyDescent="0.25">
      <c r="A22">
        <v>2044</v>
      </c>
      <c r="B22">
        <v>28560.231784532007</v>
      </c>
      <c r="C22">
        <v>40800.331120760027</v>
      </c>
      <c r="D22">
        <v>61200.496681140015</v>
      </c>
      <c r="E22">
        <v>122360</v>
      </c>
      <c r="F22">
        <v>9999999</v>
      </c>
      <c r="G22">
        <v>9999999</v>
      </c>
      <c r="H22">
        <v>9999999</v>
      </c>
      <c r="I22" s="8">
        <v>967881.25</v>
      </c>
      <c r="J22">
        <v>9999999</v>
      </c>
      <c r="K22">
        <v>9999999</v>
      </c>
      <c r="L22">
        <v>9999999</v>
      </c>
      <c r="M22" s="8">
        <v>1288535.6200000001</v>
      </c>
      <c r="N22">
        <v>9999999</v>
      </c>
      <c r="O22">
        <v>185802.14</v>
      </c>
    </row>
    <row r="23" spans="1:15" x14ac:dyDescent="0.25">
      <c r="A23">
        <v>2045</v>
      </c>
      <c r="B23">
        <v>28131.828307764026</v>
      </c>
      <c r="C23">
        <v>40188.326153948627</v>
      </c>
      <c r="D23">
        <v>60282.489230922911</v>
      </c>
      <c r="E23">
        <v>120980</v>
      </c>
      <c r="F23">
        <v>9999999</v>
      </c>
      <c r="G23">
        <v>9999999</v>
      </c>
      <c r="H23">
        <v>9999999</v>
      </c>
      <c r="I23" s="8">
        <v>965968.44</v>
      </c>
      <c r="J23">
        <v>9999999</v>
      </c>
      <c r="K23">
        <v>9999999</v>
      </c>
      <c r="L23">
        <v>9999999</v>
      </c>
      <c r="M23" s="8">
        <v>1288662.57</v>
      </c>
      <c r="N23">
        <v>9999999</v>
      </c>
      <c r="O23">
        <v>182026.51</v>
      </c>
    </row>
    <row r="24" spans="1:15" x14ac:dyDescent="0.25">
      <c r="A24">
        <v>2046</v>
      </c>
      <c r="B24">
        <v>27709.850883147566</v>
      </c>
      <c r="C24">
        <v>39585.501261639394</v>
      </c>
      <c r="D24">
        <v>59378.251892459069</v>
      </c>
      <c r="E24">
        <v>119600</v>
      </c>
      <c r="F24">
        <v>9999999</v>
      </c>
      <c r="G24">
        <v>9999999</v>
      </c>
      <c r="H24">
        <v>9999999</v>
      </c>
      <c r="I24" s="8">
        <v>964055.64</v>
      </c>
      <c r="J24">
        <v>9999999</v>
      </c>
      <c r="K24">
        <v>9999999</v>
      </c>
      <c r="L24">
        <v>9999999</v>
      </c>
      <c r="M24" s="8">
        <v>1288789.53</v>
      </c>
      <c r="N24">
        <v>9999999</v>
      </c>
      <c r="O24">
        <v>178332.87</v>
      </c>
    </row>
    <row r="25" spans="1:15" x14ac:dyDescent="0.25">
      <c r="A25">
        <v>2047</v>
      </c>
      <c r="B25">
        <v>27294.203119900354</v>
      </c>
      <c r="C25">
        <v>38991.718742714802</v>
      </c>
      <c r="D25">
        <v>58487.578114072181</v>
      </c>
      <c r="E25">
        <v>118220</v>
      </c>
      <c r="F25">
        <v>9999999</v>
      </c>
      <c r="G25">
        <v>9999999</v>
      </c>
      <c r="H25">
        <v>9999999</v>
      </c>
      <c r="I25" s="8">
        <v>962142.83</v>
      </c>
      <c r="J25">
        <v>9999999</v>
      </c>
      <c r="K25">
        <v>9999999</v>
      </c>
      <c r="L25">
        <v>9999999</v>
      </c>
      <c r="M25" s="8">
        <v>1288916.48</v>
      </c>
      <c r="N25">
        <v>9999999</v>
      </c>
      <c r="O25">
        <v>174720.11</v>
      </c>
    </row>
    <row r="26" spans="1:15" x14ac:dyDescent="0.25">
      <c r="A26">
        <v>2048</v>
      </c>
      <c r="B26">
        <v>26884.790073101849</v>
      </c>
      <c r="C26">
        <v>38406.842961574082</v>
      </c>
      <c r="D26">
        <v>57610.264442361098</v>
      </c>
      <c r="E26">
        <v>116840</v>
      </c>
      <c r="F26">
        <v>9999999</v>
      </c>
      <c r="G26">
        <v>9999999</v>
      </c>
      <c r="H26">
        <v>9999999</v>
      </c>
      <c r="I26" s="8">
        <v>960230.02</v>
      </c>
      <c r="J26">
        <v>9999999</v>
      </c>
      <c r="K26">
        <v>9999999</v>
      </c>
      <c r="L26">
        <v>9999999</v>
      </c>
      <c r="M26" s="8">
        <v>1289043.44</v>
      </c>
      <c r="N26">
        <v>9999999</v>
      </c>
      <c r="O26">
        <v>171187.17</v>
      </c>
    </row>
    <row r="27" spans="1:15" x14ac:dyDescent="0.25">
      <c r="A27">
        <v>2049</v>
      </c>
      <c r="B27">
        <v>26481.518222005321</v>
      </c>
      <c r="C27">
        <v>37830.74031715047</v>
      </c>
      <c r="D27">
        <v>56746.110475725684</v>
      </c>
      <c r="E27">
        <v>115460</v>
      </c>
      <c r="F27">
        <v>9999999</v>
      </c>
      <c r="G27">
        <v>9999999</v>
      </c>
      <c r="H27">
        <v>9999999</v>
      </c>
      <c r="I27" s="8">
        <v>958317.21</v>
      </c>
      <c r="J27">
        <v>9999999</v>
      </c>
      <c r="K27">
        <v>9999999</v>
      </c>
      <c r="L27">
        <v>9999999</v>
      </c>
      <c r="M27" s="8">
        <v>1289170.3899999999</v>
      </c>
      <c r="N27">
        <v>9999999</v>
      </c>
      <c r="O27">
        <v>167732.98000000001</v>
      </c>
    </row>
    <row r="28" spans="1:15" x14ac:dyDescent="0.25">
      <c r="A28">
        <v>2050</v>
      </c>
      <c r="B28">
        <v>26084.295448675242</v>
      </c>
      <c r="C28">
        <v>37263.279212393216</v>
      </c>
      <c r="D28">
        <v>55894.918818589795</v>
      </c>
      <c r="E28">
        <v>114080</v>
      </c>
      <c r="F28">
        <v>9999999</v>
      </c>
      <c r="G28">
        <v>9999999</v>
      </c>
      <c r="H28">
        <v>9999999</v>
      </c>
      <c r="I28" s="8">
        <v>956404.4</v>
      </c>
      <c r="J28">
        <v>9999999</v>
      </c>
      <c r="K28">
        <v>9999999</v>
      </c>
      <c r="L28">
        <v>9999999</v>
      </c>
      <c r="M28" s="8">
        <v>1289297.3500000001</v>
      </c>
      <c r="N28">
        <v>9999999</v>
      </c>
      <c r="O28">
        <v>164356.51999999999</v>
      </c>
    </row>
    <row r="33" spans="2:7" x14ac:dyDescent="0.25">
      <c r="B33" s="17"/>
    </row>
    <row r="34" spans="2:7" x14ac:dyDescent="0.25">
      <c r="G34" s="16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19</vt:i4>
      </vt:variant>
    </vt:vector>
  </HeadingPairs>
  <TitlesOfParts>
    <vt:vector size="19" baseType="lpstr">
      <vt:lpstr>Base</vt:lpstr>
      <vt:lpstr>cost_sheet</vt:lpstr>
      <vt:lpstr>locations</vt:lpstr>
      <vt:lpstr>loadfactors</vt:lpstr>
      <vt:lpstr>Technologies</vt:lpstr>
      <vt:lpstr>dcr</vt:lpstr>
      <vt:lpstr>stocklvl</vt:lpstr>
      <vt:lpstr>installable_capacity</vt:lpstr>
      <vt:lpstr>gas_block</vt:lpstr>
      <vt:lpstr>Tech_Stage_Specs</vt:lpstr>
      <vt:lpstr>Material_Intensity</vt:lpstr>
      <vt:lpstr>mining_limit</vt:lpstr>
      <vt:lpstr>mining_cost</vt:lpstr>
      <vt:lpstr>import_cost_mining</vt:lpstr>
      <vt:lpstr>energy_transition_factor</vt:lpstr>
      <vt:lpstr>ore_metal_factor</vt:lpstr>
      <vt:lpstr>Component_Map</vt:lpstr>
      <vt:lpstr>Cost_Data</vt:lpstr>
      <vt:lpstr>Import_Cost_Stage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2026-04-28T10:03:47Z</dcterms:modified>
</cp:coreProperties>
</file>