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11d695511771a1/Desktop/Repositories/urbs-materials/"/>
    </mc:Choice>
  </mc:AlternateContent>
  <xr:revisionPtr revIDLastSave="1395" documentId="13_ncr:1_{A1CEE875-B6E7-4616-ADB8-CAA4FD821F6B}" xr6:coauthVersionLast="47" xr6:coauthVersionMax="47" xr10:uidLastSave="{333336BF-3C35-48B9-9855-A6608C6399A2}"/>
  <bookViews>
    <workbookView xWindow="-120" yWindow="-120" windowWidth="38640" windowHeight="21120" firstSheet="8" activeTab="12" xr2:uid="{81864710-3A67-40FC-ABA1-4EF02E4F8A12}"/>
  </bookViews>
  <sheets>
    <sheet name="Base" sheetId="10" r:id="rId1"/>
    <sheet name="cost_sheet" sheetId="12" r:id="rId2"/>
    <sheet name="locations" sheetId="8" r:id="rId3"/>
    <sheet name="loadfactors" sheetId="11" r:id="rId4"/>
    <sheet name="Technologies" sheetId="9" r:id="rId5"/>
    <sheet name="decommissioning" sheetId="26" r:id="rId6"/>
    <sheet name="dcr" sheetId="6" r:id="rId7"/>
    <sheet name="stocklvl" sheetId="7" r:id="rId8"/>
    <sheet name="installable_capacity" sheetId="3" r:id="rId9"/>
    <sheet name="gas_block" sheetId="13" r:id="rId10"/>
    <sheet name="Tech_Stage_Specs" sheetId="14" r:id="rId11"/>
    <sheet name="Material_Intensity" sheetId="15" r:id="rId12"/>
    <sheet name="Recycling_Costs" sheetId="27" r:id="rId13"/>
    <sheet name="material_blocks" sheetId="25" r:id="rId14"/>
    <sheet name="mining_limit" sheetId="20" r:id="rId15"/>
    <sheet name="mining_cost" sheetId="21" r:id="rId16"/>
    <sheet name="import_cost_mining" sheetId="22" r:id="rId17"/>
    <sheet name="energy_transition_factor" sheetId="23" r:id="rId18"/>
    <sheet name="ore_metal_factor" sheetId="24" r:id="rId19"/>
    <sheet name="Component_Map" sheetId="18" r:id="rId20"/>
    <sheet name="Cost_Data" sheetId="16" r:id="rId21"/>
    <sheet name="Import_Cost_Stage" sheetId="19" r:id="rId22"/>
  </sheets>
  <definedNames>
    <definedName name="_xlnm._FilterDatabase" localSheetId="9" hidden="1">gas_block!$B$1:$B$109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5" l="1"/>
  <c r="I3" i="25" s="1"/>
  <c r="H4" i="25"/>
  <c r="I4" i="25"/>
  <c r="H5" i="25"/>
  <c r="I5" i="25"/>
  <c r="H6" i="25"/>
  <c r="I6" i="25"/>
  <c r="H7" i="25"/>
  <c r="I7" i="25"/>
  <c r="H8" i="25"/>
  <c r="I8" i="25"/>
  <c r="H9" i="25"/>
  <c r="I9" i="25"/>
  <c r="H10" i="25"/>
  <c r="I10" i="25"/>
  <c r="H11" i="25"/>
  <c r="I11" i="25"/>
  <c r="H12" i="25"/>
  <c r="I12" i="25" s="1"/>
  <c r="H13" i="25"/>
  <c r="I13" i="25"/>
  <c r="H14" i="25"/>
  <c r="I14" i="25"/>
  <c r="H15" i="25"/>
  <c r="I15" i="25"/>
  <c r="H16" i="25"/>
  <c r="I16" i="25"/>
  <c r="H17" i="25"/>
  <c r="I17" i="25"/>
  <c r="H18" i="25"/>
  <c r="I18" i="25"/>
  <c r="H19" i="25"/>
  <c r="I19" i="25"/>
  <c r="H20" i="25"/>
  <c r="I20" i="25"/>
  <c r="H21" i="25"/>
  <c r="I21" i="25"/>
  <c r="H22" i="25"/>
  <c r="I22" i="25"/>
  <c r="H23" i="25"/>
  <c r="I23" i="25"/>
  <c r="H24" i="25"/>
  <c r="I24" i="25"/>
  <c r="H25" i="25"/>
  <c r="I25" i="25"/>
  <c r="H26" i="25"/>
  <c r="I26" i="25"/>
  <c r="I2" i="25"/>
  <c r="H2" i="25"/>
  <c r="C9" i="13"/>
  <c r="C13" i="13" s="1"/>
  <c r="C17" i="13" s="1"/>
  <c r="C21" i="13" s="1"/>
  <c r="C25" i="13" s="1"/>
  <c r="C29" i="13" s="1"/>
  <c r="C33" i="13" s="1"/>
  <c r="C37" i="13" s="1"/>
  <c r="C41" i="13" s="1"/>
  <c r="C45" i="13" s="1"/>
  <c r="C49" i="13" s="1"/>
  <c r="C53" i="13" s="1"/>
  <c r="C57" i="13" s="1"/>
  <c r="C61" i="13" s="1"/>
  <c r="C65" i="13" s="1"/>
  <c r="C69" i="13" s="1"/>
  <c r="C73" i="13" s="1"/>
  <c r="C77" i="13" s="1"/>
  <c r="C81" i="13" s="1"/>
  <c r="C85" i="13" s="1"/>
  <c r="C89" i="13" s="1"/>
  <c r="C93" i="13" s="1"/>
  <c r="C97" i="13" s="1"/>
  <c r="C101" i="13" s="1"/>
  <c r="C105" i="13" s="1"/>
  <c r="C109" i="13" s="1"/>
</calcChain>
</file>

<file path=xl/sharedStrings.xml><?xml version="1.0" encoding="utf-8"?>
<sst xmlns="http://schemas.openxmlformats.org/spreadsheetml/2006/main" count="730" uniqueCount="199">
  <si>
    <t>Value</t>
  </si>
  <si>
    <t>Param</t>
  </si>
  <si>
    <t>n turnover stockpile</t>
  </si>
  <si>
    <t>End Year yn</t>
  </si>
  <si>
    <t>Start Year y0</t>
  </si>
  <si>
    <t>FT</t>
  </si>
  <si>
    <t>anti duping Index</t>
  </si>
  <si>
    <t>dQ EU Primary</t>
  </si>
  <si>
    <t>dQ EU Secondary</t>
  </si>
  <si>
    <t>IR EU Primary</t>
  </si>
  <si>
    <t>IR EU Secondary</t>
  </si>
  <si>
    <t>DR Primary</t>
  </si>
  <si>
    <t>hours per year</t>
  </si>
  <si>
    <t>l</t>
  </si>
  <si>
    <t>InitialCapacity</t>
  </si>
  <si>
    <t>Stf</t>
  </si>
  <si>
    <t>EU27</t>
  </si>
  <si>
    <t>Locations:</t>
  </si>
  <si>
    <t>Technologies</t>
  </si>
  <si>
    <t>InitialStockpile</t>
  </si>
  <si>
    <t>Storagecost</t>
  </si>
  <si>
    <t>import_EU27_solarPV</t>
  </si>
  <si>
    <t>manufacturing_EU27_solarPV</t>
  </si>
  <si>
    <t>remanufacturing_EU27_solarPV</t>
  </si>
  <si>
    <t>logisticcost</t>
  </si>
  <si>
    <t>DR Secondary</t>
  </si>
  <si>
    <t>EU27_solarPV</t>
  </si>
  <si>
    <t>EU27.solarPV</t>
  </si>
  <si>
    <t>import_EU27_windoff</t>
  </si>
  <si>
    <t>manufacturing_EU27_windoff</t>
  </si>
  <si>
    <t>remanufacturing_EU27_windoff</t>
  </si>
  <si>
    <t>EU27.windoff</t>
  </si>
  <si>
    <t>EU27_windoff</t>
  </si>
  <si>
    <t>timestep</t>
  </si>
  <si>
    <t>scrap</t>
  </si>
  <si>
    <t xml:space="preserve">mining </t>
  </si>
  <si>
    <t>recycling_efficiency</t>
  </si>
  <si>
    <t>recycling_EU27_solarPV</t>
  </si>
  <si>
    <t>recycling_EU27_windoff</t>
  </si>
  <si>
    <t>IR_recycling</t>
  </si>
  <si>
    <t>Initial_decommisions</t>
  </si>
  <si>
    <t>EU27.windon</t>
  </si>
  <si>
    <t>EU27_windon</t>
  </si>
  <si>
    <t>import_EU27_windon</t>
  </si>
  <si>
    <t>manufacturing_EU27_windon</t>
  </si>
  <si>
    <t>remanufacturing_EU27_windon</t>
  </si>
  <si>
    <t>recycling_EU27_windon</t>
  </si>
  <si>
    <t>Initial_secondary_cap</t>
  </si>
  <si>
    <t>price_reduction_init</t>
  </si>
  <si>
    <t>last_prim_cap</t>
  </si>
  <si>
    <t>last_sec_cap</t>
  </si>
  <si>
    <t>factor_bess</t>
  </si>
  <si>
    <t>import_EU27_Batteries</t>
  </si>
  <si>
    <t>manufacturing_EU27_Batteries</t>
  </si>
  <si>
    <t>remanufacturing_EU27_Batteries</t>
  </si>
  <si>
    <t>recycling_EU27_Batteries</t>
  </si>
  <si>
    <t>EU27.Batteries</t>
  </si>
  <si>
    <t>EU27_Batteries</t>
  </si>
  <si>
    <t>capacity_scrap_total</t>
  </si>
  <si>
    <t>total_facility_cap_initial</t>
  </si>
  <si>
    <t>block</t>
  </si>
  <si>
    <t>limit</t>
  </si>
  <si>
    <t>price</t>
  </si>
  <si>
    <t>oandm_EU27_solarPV</t>
  </si>
  <si>
    <t>oandm_EU27_windoff</t>
  </si>
  <si>
    <t>oandm_EU27_windon</t>
  </si>
  <si>
    <t>oandm_EU27_Batteries</t>
  </si>
  <si>
    <t>stf</t>
  </si>
  <si>
    <t>pipegas</t>
  </si>
  <si>
    <t>NZ_LNG</t>
  </si>
  <si>
    <t>NM_LNG</t>
  </si>
  <si>
    <t>WTF_LNG</t>
  </si>
  <si>
    <t>build_time_lag</t>
  </si>
  <si>
    <t>energy_needs</t>
  </si>
  <si>
    <t>is_final_stage</t>
  </si>
  <si>
    <t>solarPV</t>
  </si>
  <si>
    <t>windon</t>
  </si>
  <si>
    <t>windoff</t>
  </si>
  <si>
    <t xml:space="preserve">note </t>
  </si>
  <si>
    <t>finished</t>
  </si>
  <si>
    <t>host</t>
  </si>
  <si>
    <t>unique</t>
  </si>
  <si>
    <t>Technology</t>
  </si>
  <si>
    <t>Stage</t>
  </si>
  <si>
    <t>Material</t>
  </si>
  <si>
    <t>0.95</t>
  </si>
  <si>
    <t>Cell</t>
  </si>
  <si>
    <t>Module</t>
  </si>
  <si>
    <t>Batteries</t>
  </si>
  <si>
    <t>Year</t>
  </si>
  <si>
    <t>Location</t>
  </si>
  <si>
    <t>Wafer</t>
  </si>
  <si>
    <t>1.0</t>
  </si>
  <si>
    <t>Assembly</t>
  </si>
  <si>
    <t>Cons_Tech</t>
  </si>
  <si>
    <t>Cons_Stage</t>
  </si>
  <si>
    <t>Input_Tech</t>
  </si>
  <si>
    <t>Input_Stage</t>
  </si>
  <si>
    <t>Ratio</t>
  </si>
  <si>
    <t>rec_efficiency</t>
  </si>
  <si>
    <t>intensity</t>
  </si>
  <si>
    <t>scrap_content</t>
  </si>
  <si>
    <t>capex_base</t>
  </si>
  <si>
    <t>opex_var_base</t>
  </si>
  <si>
    <t>init_cap</t>
  </si>
  <si>
    <t>solarPV_Wafer</t>
  </si>
  <si>
    <t>solarPV_Cell</t>
  </si>
  <si>
    <t>solarPV_Module</t>
  </si>
  <si>
    <t>Polysilicon</t>
  </si>
  <si>
    <t>solarPV_Polysilicon</t>
  </si>
  <si>
    <t>Batteries_Assembly</t>
  </si>
  <si>
    <t>finished, happens on-site so no limitation, will be limited by installable capacity</t>
  </si>
  <si>
    <t>opex_fixed</t>
  </si>
  <si>
    <t>CellBatt</t>
  </si>
  <si>
    <t>Batteries_CellBatt</t>
  </si>
  <si>
    <t>material_downstream_manufacturing</t>
  </si>
  <si>
    <t>blade_bulk_on</t>
  </si>
  <si>
    <t>blade_bulk_off</t>
  </si>
  <si>
    <t>tower_bulk_on</t>
  </si>
  <si>
    <t>tower_bulk_off</t>
  </si>
  <si>
    <t>BladeOn</t>
  </si>
  <si>
    <t>TowerOn</t>
  </si>
  <si>
    <t>NacelleOn</t>
  </si>
  <si>
    <t>AssemblyOn</t>
  </si>
  <si>
    <t>BladeOff</t>
  </si>
  <si>
    <t>TowerOff</t>
  </si>
  <si>
    <t>NacelleOff</t>
  </si>
  <si>
    <t>AssemblyOff</t>
  </si>
  <si>
    <t>windon_BladeOn</t>
  </si>
  <si>
    <t>windon_TowerOn</t>
  </si>
  <si>
    <t>windon_NacelleOn</t>
  </si>
  <si>
    <t>windon_AssemblyOn</t>
  </si>
  <si>
    <t>windoff_BladeOff</t>
  </si>
  <si>
    <t>windoff_TowerOff</t>
  </si>
  <si>
    <t>windoff_NacelleOff</t>
  </si>
  <si>
    <t>windoff_AssemblyOff</t>
  </si>
  <si>
    <t>aluminum</t>
  </si>
  <si>
    <t>cobalt</t>
  </si>
  <si>
    <t>copper</t>
  </si>
  <si>
    <t>dysprosium</t>
  </si>
  <si>
    <t>gallium</t>
  </si>
  <si>
    <t>graphite</t>
  </si>
  <si>
    <t>lithium</t>
  </si>
  <si>
    <t>manganese</t>
  </si>
  <si>
    <t>neodymium</t>
  </si>
  <si>
    <t>nickel</t>
  </si>
  <si>
    <t>niobium</t>
  </si>
  <si>
    <t>praseodymium</t>
  </si>
  <si>
    <t>terbium</t>
  </si>
  <si>
    <t>titanium</t>
  </si>
  <si>
    <t>vanadium</t>
  </si>
  <si>
    <t>boron</t>
  </si>
  <si>
    <t>molybdenum</t>
  </si>
  <si>
    <t xml:space="preserve"> blade_bulk_on</t>
  </si>
  <si>
    <t xml:space="preserve"> tower_bulk_on</t>
  </si>
  <si>
    <t xml:space="preserve"> cobalt</t>
  </si>
  <si>
    <t xml:space="preserve"> copper</t>
  </si>
  <si>
    <t xml:space="preserve"> dysprosium</t>
  </si>
  <si>
    <t xml:space="preserve"> gallium</t>
  </si>
  <si>
    <t xml:space="preserve"> graphite</t>
  </si>
  <si>
    <t xml:space="preserve"> lithium</t>
  </si>
  <si>
    <t xml:space="preserve"> manganese</t>
  </si>
  <si>
    <t xml:space="preserve"> neodymium</t>
  </si>
  <si>
    <t xml:space="preserve"> nickel</t>
  </si>
  <si>
    <t xml:space="preserve"> niobium</t>
  </si>
  <si>
    <t xml:space="preserve"> praseodymium</t>
  </si>
  <si>
    <t xml:space="preserve"> terbium</t>
  </si>
  <si>
    <t xml:space="preserve"> titanium</t>
  </si>
  <si>
    <t xml:space="preserve"> vanadium</t>
  </si>
  <si>
    <t xml:space="preserve"> blade_bulk_off</t>
  </si>
  <si>
    <t xml:space="preserve"> tower_bulk_off</t>
  </si>
  <si>
    <t xml:space="preserve"> boron</t>
  </si>
  <si>
    <t xml:space="preserve"> molybdenum</t>
  </si>
  <si>
    <t xml:space="preserve"> glass</t>
  </si>
  <si>
    <t xml:space="preserve"> polymers</t>
  </si>
  <si>
    <t xml:space="preserve"> silver</t>
  </si>
  <si>
    <t xml:space="preserve"> silicon</t>
  </si>
  <si>
    <t>glass</t>
  </si>
  <si>
    <t>polymers</t>
  </si>
  <si>
    <t>silver</t>
  </si>
  <si>
    <t>silicon</t>
  </si>
  <si>
    <t>material</t>
  </si>
  <si>
    <t>base_2024</t>
  </si>
  <si>
    <t>lds_2030</t>
  </si>
  <si>
    <t>lds_2050</t>
  </si>
  <si>
    <t>hds_2030</t>
  </si>
  <si>
    <t>hds_2050</t>
  </si>
  <si>
    <t>price_t1</t>
  </si>
  <si>
    <t>price_t2</t>
  </si>
  <si>
    <t>price_t3</t>
  </si>
  <si>
    <t>Installed wind energy capacity</t>
  </si>
  <si>
    <t>capex_magnet</t>
  </si>
  <si>
    <t>capex_bulk</t>
  </si>
  <si>
    <t>capex</t>
  </si>
  <si>
    <t>opex_var</t>
  </si>
  <si>
    <t>opex_fixed_magnet</t>
  </si>
  <si>
    <t>opex_var_magnet</t>
  </si>
  <si>
    <t>opex_fixed_bulk</t>
  </si>
  <si>
    <t>opex_var_bulk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</si>
</sst>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8"/>
      <color rgb="FF4A6A00"/>
      <name val="Arial"/>
      <family val="2"/>
    </font>
    <font>
      <b/>
      <sz val="8"/>
      <color rgb="FFFFFFFF"/>
      <name val="Arial"/>
      <family val="2"/>
    </font>
    <font>
      <sz val="8"/>
      <color rgb="FF648C1A"/>
      <name val="Arial"/>
      <family val="2"/>
    </font>
    <font>
      <sz val="8"/>
      <name val="Aptos Narrow"/>
      <family val="2"/>
      <scheme val="minor"/>
    </font>
    <font>
      <b/>
      <sz val="11"/>
      <name val="Calibri"/>
      <family val="2"/>
    </font>
    <font>
      <sz val="10.5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1D1"/>
        <bgColor rgb="FF000000"/>
      </patternFill>
    </fill>
    <fill>
      <patternFill patternType="solid">
        <fgColor rgb="FF555759"/>
        <bgColor rgb="FF000000"/>
      </patternFill>
    </fill>
    <fill>
      <patternFill patternType="solid">
        <fgColor rgb="FF648C1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hair">
        <color rgb="FFB9BBBD"/>
      </left>
      <right style="hair">
        <color rgb="FFB9BBBD"/>
      </right>
      <top style="hair">
        <color rgb="FFB9BBBD"/>
      </top>
      <bottom style="hair">
        <color rgb="FFB9BBBD"/>
      </bottom>
      <diagonal/>
    </border>
    <border>
      <left/>
      <right/>
      <top/>
      <bottom style="medium">
        <color rgb="FF95D6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8F1D2E"/>
      </left>
      <right style="thin">
        <color indexed="64"/>
      </right>
      <top style="thin">
        <color rgb="FF8F1D2E"/>
      </top>
      <bottom style="thin">
        <color indexed="64"/>
      </bottom>
      <diagonal/>
    </border>
  </borders>
  <cellStyleXfs count="12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1" applyNumberFormat="0" applyAlignment="0">
      <alignment vertical="top"/>
    </xf>
    <xf numFmtId="0" fontId="4" fillId="2" borderId="1" applyNumberFormat="0" applyAlignment="0">
      <alignment vertical="top"/>
    </xf>
    <xf numFmtId="0" fontId="3" fillId="2" borderId="1" applyNumberFormat="0" applyAlignment="0">
      <alignment vertical="top"/>
    </xf>
    <xf numFmtId="0" fontId="5" fillId="3" borderId="2" applyNumberFormat="0">
      <alignment vertical="center" wrapText="1"/>
    </xf>
    <xf numFmtId="0" fontId="5" fillId="4" borderId="1" applyNumberFormat="0" applyAlignment="0">
      <alignment vertical="top"/>
    </xf>
    <xf numFmtId="0" fontId="6" fillId="0" borderId="0" applyNumberFormat="0" applyFill="0" applyBorder="0" applyAlignment="0">
      <alignment vertical="top"/>
    </xf>
    <xf numFmtId="43" fontId="2" fillId="0" borderId="0" applyFont="0" applyFill="0" applyBorder="0" applyAlignment="0" applyProtection="0"/>
    <xf numFmtId="0" fontId="9" fillId="11" borderId="5">
      <alignment horizontal="right" vertical="center"/>
    </xf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5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2" fontId="0" fillId="0" borderId="0" xfId="0" applyNumberFormat="1"/>
    <xf numFmtId="0" fontId="0" fillId="0" borderId="0" xfId="0" applyAlignment="1">
      <alignment horizontal="right"/>
    </xf>
    <xf numFmtId="0" fontId="0" fillId="6" borderId="0" xfId="0" applyFill="1" applyAlignment="1">
      <alignment horizontal="right"/>
    </xf>
    <xf numFmtId="0" fontId="1" fillId="0" borderId="3" xfId="0" applyFont="1" applyBorder="1" applyAlignment="1">
      <alignment horizontal="center" vertical="top"/>
    </xf>
    <xf numFmtId="0" fontId="0" fillId="7" borderId="0" xfId="0" applyFill="1"/>
    <xf numFmtId="0" fontId="0" fillId="8" borderId="0" xfId="0" applyFill="1" applyAlignment="1">
      <alignment horizontal="center"/>
    </xf>
    <xf numFmtId="0" fontId="8" fillId="0" borderId="3" xfId="0" applyFont="1" applyBorder="1" applyAlignment="1">
      <alignment horizontal="center" vertical="top"/>
    </xf>
    <xf numFmtId="0" fontId="0" fillId="8" borderId="0" xfId="0" applyFill="1"/>
    <xf numFmtId="3" fontId="0" fillId="0" borderId="0" xfId="0" applyNumberFormat="1"/>
    <xf numFmtId="0" fontId="0" fillId="0" borderId="0" xfId="0" applyAlignment="1">
      <alignment wrapText="1"/>
    </xf>
    <xf numFmtId="0" fontId="0" fillId="7" borderId="4" xfId="0" applyFill="1" applyBorder="1"/>
    <xf numFmtId="0" fontId="0" fillId="9" borderId="4" xfId="0" applyFill="1" applyBorder="1"/>
    <xf numFmtId="0" fontId="0" fillId="10" borderId="0" xfId="0" applyFill="1"/>
    <xf numFmtId="0" fontId="0" fillId="9" borderId="0" xfId="0" applyFill="1"/>
    <xf numFmtId="0" fontId="2" fillId="12" borderId="6" xfId="10" applyFont="1" applyFill="1" applyBorder="1">
      <alignment horizontal="right" vertical="center"/>
    </xf>
    <xf numFmtId="0" fontId="10" fillId="0" borderId="0" xfId="11"/>
    <xf numFmtId="0" fontId="1" fillId="0" borderId="3" xfId="0" applyFont="1" applyBorder="1" applyAlignment="1">
      <alignment horizontal="center" vertical="top"/>
    </xf>
  </cellXfs>
  <cellStyles count="12">
    <cellStyle name="Comma 2" xfId="2" xr:uid="{1C1ADB5D-62B2-4A88-A962-14B0B3D457AA}"/>
    <cellStyle name="Comma 3" xfId="9" xr:uid="{9997F304-5A38-4E5F-B1DE-7811E5D8CE60}"/>
    <cellStyle name="Komma 2" xfId="1" xr:uid="{9730D791-2C32-423B-BFCB-9BD5E54695C9}"/>
    <cellStyle name="Link" xfId="11" builtinId="8"/>
    <cellStyle name="N_CalcSum" xfId="7" xr:uid="{809B8846-A600-4249-9F48-E4D74A23C1BF}"/>
    <cellStyle name="N_Comment" xfId="8" xr:uid="{D777DD82-0AD5-4F74-B00E-0FAD78E51F49}"/>
    <cellStyle name="N_Input" xfId="5" xr:uid="{D6E43952-3B7B-4DF8-B72C-41727CDAB3A7}"/>
    <cellStyle name="N_InputCalc" xfId="4" xr:uid="{78B777E1-CE15-4DE3-B89A-90BFAAEDE230}"/>
    <cellStyle name="N_InputWhite" xfId="3" xr:uid="{C070A988-14E9-487E-BD2B-E0CB280DDD88}"/>
    <cellStyle name="N_Table1_Header" xfId="6" xr:uid="{5B945886-E1B9-4000-BFBC-F4E856A0CA51}"/>
    <cellStyle name="Standard" xfId="0" builtinId="0"/>
    <cellStyle name="Tabelle allgemein" xfId="10" xr:uid="{23500D89-14AD-4025-B76C-4803D9910A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ourworldindata.org/grapher/cumulative-installed-wind-energy-capacity-gigawatts?time=earliest..2024&amp;country=~OWID_EU27&amp;tableFilter=countries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4EF-7037-4139-88AF-F295C305C1F7}">
  <dimension ref="A1:B4"/>
  <sheetViews>
    <sheetView workbookViewId="0">
      <selection activeCell="B15" sqref="B15"/>
    </sheetView>
  </sheetViews>
  <sheetFormatPr baseColWidth="10"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t="s">
        <v>4</v>
      </c>
      <c r="B2">
        <v>2024</v>
      </c>
    </row>
    <row r="3" spans="1:2" x14ac:dyDescent="0.25">
      <c r="A3" t="s">
        <v>3</v>
      </c>
      <c r="B3">
        <v>2050</v>
      </c>
    </row>
    <row r="4" spans="1:2" x14ac:dyDescent="0.25">
      <c r="A4" t="s">
        <v>12</v>
      </c>
      <c r="B4">
        <v>730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AF38-42FD-4CFF-B287-2FCFFF6C6EF3}">
  <dimension ref="A1:U28"/>
  <sheetViews>
    <sheetView topLeftCell="L1" workbookViewId="0">
      <selection activeCell="T34" sqref="T34"/>
    </sheetView>
  </sheetViews>
  <sheetFormatPr baseColWidth="10" defaultRowHeight="15" x14ac:dyDescent="0.25"/>
  <cols>
    <col min="2" max="2" width="13.7109375" customWidth="1"/>
    <col min="3" max="3" width="26.7109375" customWidth="1"/>
    <col min="4" max="5" width="37.28515625" customWidth="1"/>
    <col min="6" max="6" width="29.85546875" customWidth="1"/>
    <col min="7" max="7" width="39.85546875" customWidth="1"/>
    <col min="8" max="8" width="21.42578125" customWidth="1"/>
    <col min="10" max="11" width="22.5703125" customWidth="1"/>
    <col min="12" max="12" width="24.140625" customWidth="1"/>
    <col min="13" max="13" width="27.7109375" customWidth="1"/>
    <col min="14" max="14" width="22.85546875" customWidth="1"/>
    <col min="15" max="16" width="20.140625" customWidth="1"/>
    <col min="18" max="18" width="32.7109375" customWidth="1"/>
    <col min="19" max="19" width="35.28515625" customWidth="1"/>
    <col min="20" max="20" width="31.42578125" customWidth="1"/>
  </cols>
  <sheetData>
    <row r="1" spans="1:21" x14ac:dyDescent="0.25">
      <c r="A1" t="s">
        <v>15</v>
      </c>
      <c r="B1" t="s">
        <v>21</v>
      </c>
      <c r="C1" t="s">
        <v>22</v>
      </c>
      <c r="D1" t="s">
        <v>23</v>
      </c>
      <c r="E1" t="s">
        <v>37</v>
      </c>
      <c r="F1" t="s">
        <v>63</v>
      </c>
      <c r="G1" t="s">
        <v>28</v>
      </c>
      <c r="H1" t="s">
        <v>29</v>
      </c>
      <c r="I1" t="s">
        <v>30</v>
      </c>
      <c r="J1" t="s">
        <v>38</v>
      </c>
      <c r="K1" t="s">
        <v>64</v>
      </c>
      <c r="L1" t="s">
        <v>43</v>
      </c>
      <c r="M1" t="s">
        <v>44</v>
      </c>
      <c r="N1" t="s">
        <v>45</v>
      </c>
      <c r="O1" t="s">
        <v>46</v>
      </c>
      <c r="P1" t="s">
        <v>65</v>
      </c>
      <c r="Q1" t="s">
        <v>52</v>
      </c>
      <c r="R1" t="s">
        <v>53</v>
      </c>
      <c r="S1" t="s">
        <v>54</v>
      </c>
      <c r="T1" t="s">
        <v>55</v>
      </c>
      <c r="U1" t="s">
        <v>66</v>
      </c>
    </row>
    <row r="2" spans="1:21" x14ac:dyDescent="0.25">
      <c r="A2">
        <v>2024</v>
      </c>
      <c r="B2">
        <v>250240</v>
      </c>
      <c r="C2">
        <v>303600</v>
      </c>
      <c r="D2" s="8">
        <v>257700</v>
      </c>
      <c r="E2" s="8">
        <v>1000</v>
      </c>
      <c r="F2" s="8">
        <v>4400</v>
      </c>
      <c r="G2" s="8">
        <v>1775265.6417320003</v>
      </c>
      <c r="H2" s="8">
        <v>2337972.5216000001</v>
      </c>
      <c r="I2" s="8">
        <v>1996946.1610000001</v>
      </c>
      <c r="J2" s="8">
        <v>1000</v>
      </c>
      <c r="K2" s="8">
        <v>44000</v>
      </c>
      <c r="L2" s="8">
        <v>1052044.8400000001</v>
      </c>
      <c r="M2" s="8">
        <v>1673707.7</v>
      </c>
      <c r="N2" s="8">
        <v>1143231.041</v>
      </c>
      <c r="O2">
        <v>1000</v>
      </c>
      <c r="P2">
        <v>17386.633918245541</v>
      </c>
      <c r="Q2">
        <v>280439.83</v>
      </c>
      <c r="R2">
        <v>1</v>
      </c>
      <c r="S2" s="8">
        <v>1</v>
      </c>
      <c r="T2">
        <v>1</v>
      </c>
      <c r="U2">
        <v>1</v>
      </c>
    </row>
    <row r="3" spans="1:21" x14ac:dyDescent="0.25">
      <c r="A3">
        <v>2025</v>
      </c>
      <c r="B3">
        <v>246486.39999999999</v>
      </c>
      <c r="C3">
        <v>299045.40000000002</v>
      </c>
      <c r="D3" s="8">
        <v>257700</v>
      </c>
      <c r="E3" s="8">
        <v>1000</v>
      </c>
      <c r="F3" s="8">
        <v>4400</v>
      </c>
      <c r="G3" s="8">
        <v>1722922.372057667</v>
      </c>
      <c r="H3" s="8">
        <v>2318026.381866667</v>
      </c>
      <c r="I3" s="8">
        <v>1996946.1610000001</v>
      </c>
      <c r="J3" s="8">
        <v>1000</v>
      </c>
      <c r="K3" s="8">
        <v>44000</v>
      </c>
      <c r="L3" s="8">
        <v>1042480.7960000001</v>
      </c>
      <c r="M3" s="8">
        <v>1660955.6413333334</v>
      </c>
      <c r="N3" s="8">
        <v>1143231.041</v>
      </c>
      <c r="O3">
        <v>1000</v>
      </c>
      <c r="P3">
        <v>17386.633918245541</v>
      </c>
      <c r="Q3">
        <v>274754.90999999997</v>
      </c>
      <c r="R3">
        <v>1</v>
      </c>
      <c r="S3" s="8">
        <v>1</v>
      </c>
      <c r="T3">
        <v>1</v>
      </c>
      <c r="U3">
        <v>1</v>
      </c>
    </row>
    <row r="4" spans="1:21" x14ac:dyDescent="0.25">
      <c r="A4">
        <v>2026</v>
      </c>
      <c r="B4">
        <v>242789.10399999999</v>
      </c>
      <c r="C4">
        <v>294559.71899999998</v>
      </c>
      <c r="D4" s="8">
        <v>257700</v>
      </c>
      <c r="E4" s="8">
        <v>1000</v>
      </c>
      <c r="F4" s="8">
        <v>4400</v>
      </c>
      <c r="G4" s="8">
        <v>1670579.1023833335</v>
      </c>
      <c r="H4" s="8">
        <v>2298080.2421333333</v>
      </c>
      <c r="I4" s="8">
        <v>1996946.1610000001</v>
      </c>
      <c r="J4" s="8">
        <v>1000</v>
      </c>
      <c r="K4" s="8">
        <v>44000</v>
      </c>
      <c r="L4" s="8">
        <v>1032916.7520000001</v>
      </c>
      <c r="M4" s="8">
        <v>1648203.5826666667</v>
      </c>
      <c r="N4" s="8">
        <v>1143231.041</v>
      </c>
      <c r="O4">
        <v>1000</v>
      </c>
      <c r="P4">
        <v>17386.633918245541</v>
      </c>
      <c r="Q4">
        <v>269179.44</v>
      </c>
      <c r="R4">
        <v>1</v>
      </c>
      <c r="S4" s="8">
        <v>1</v>
      </c>
      <c r="T4">
        <v>1</v>
      </c>
      <c r="U4">
        <v>1</v>
      </c>
    </row>
    <row r="5" spans="1:21" x14ac:dyDescent="0.25">
      <c r="A5">
        <v>2027</v>
      </c>
      <c r="B5">
        <v>239147.26740000001</v>
      </c>
      <c r="C5">
        <v>290141.32319999998</v>
      </c>
      <c r="D5" s="8">
        <v>257700</v>
      </c>
      <c r="E5" s="8">
        <v>1000</v>
      </c>
      <c r="F5" s="8">
        <v>4400</v>
      </c>
      <c r="G5" s="8">
        <v>1618235.832709</v>
      </c>
      <c r="H5" s="8">
        <v>2278134.1023999997</v>
      </c>
      <c r="I5" s="8">
        <v>1996946.1610000001</v>
      </c>
      <c r="J5" s="8">
        <v>1000</v>
      </c>
      <c r="K5" s="8">
        <v>44000</v>
      </c>
      <c r="L5" s="8">
        <v>1023352.708</v>
      </c>
      <c r="M5" s="8">
        <v>1635451.524</v>
      </c>
      <c r="N5" s="8">
        <v>1143231.041</v>
      </c>
      <c r="O5">
        <v>1000</v>
      </c>
      <c r="P5">
        <v>17386.633918245541</v>
      </c>
      <c r="Q5">
        <v>263711.78000000003</v>
      </c>
      <c r="R5">
        <v>1</v>
      </c>
      <c r="S5" s="8">
        <v>1</v>
      </c>
      <c r="T5">
        <v>1</v>
      </c>
      <c r="U5">
        <v>1</v>
      </c>
    </row>
    <row r="6" spans="1:21" x14ac:dyDescent="0.25">
      <c r="A6">
        <v>2028</v>
      </c>
      <c r="B6">
        <v>235560.05840000001</v>
      </c>
      <c r="C6">
        <v>285788.2034</v>
      </c>
      <c r="D6" s="8">
        <v>257700</v>
      </c>
      <c r="E6" s="8">
        <v>1000</v>
      </c>
      <c r="F6" s="8">
        <v>4400</v>
      </c>
      <c r="G6" s="8">
        <v>1565892.5630346665</v>
      </c>
      <c r="H6" s="8">
        <v>2258187.9626666661</v>
      </c>
      <c r="I6" s="8">
        <v>1996946.1610000001</v>
      </c>
      <c r="J6" s="8">
        <v>1000</v>
      </c>
      <c r="K6" s="8">
        <v>44000</v>
      </c>
      <c r="L6" s="8">
        <v>1013788.6639999999</v>
      </c>
      <c r="M6" s="8">
        <v>1622699.4653333335</v>
      </c>
      <c r="N6" s="8">
        <v>1143231.041</v>
      </c>
      <c r="O6">
        <v>1000</v>
      </c>
      <c r="P6">
        <v>17386.633918245541</v>
      </c>
      <c r="Q6">
        <v>258350.32</v>
      </c>
      <c r="R6">
        <v>1</v>
      </c>
      <c r="S6" s="8">
        <v>1</v>
      </c>
      <c r="T6">
        <v>1</v>
      </c>
      <c r="U6">
        <v>1</v>
      </c>
    </row>
    <row r="7" spans="1:21" x14ac:dyDescent="0.25">
      <c r="A7">
        <v>2029</v>
      </c>
      <c r="B7">
        <v>232026.65760000001</v>
      </c>
      <c r="C7">
        <v>281498.4804</v>
      </c>
      <c r="D7" s="8">
        <v>257700</v>
      </c>
      <c r="E7" s="8">
        <v>1000</v>
      </c>
      <c r="F7" s="8">
        <v>4400</v>
      </c>
      <c r="G7" s="8">
        <v>1513549.293360333</v>
      </c>
      <c r="H7" s="8">
        <v>2238241.8229333302</v>
      </c>
      <c r="I7" s="8">
        <v>1996946.1610000001</v>
      </c>
      <c r="J7" s="8">
        <v>1000</v>
      </c>
      <c r="K7" s="8">
        <v>44000</v>
      </c>
      <c r="L7" s="8">
        <v>1004224.62</v>
      </c>
      <c r="M7" s="8">
        <v>1609947.4066666667</v>
      </c>
      <c r="N7" s="8">
        <v>1143231.041</v>
      </c>
      <c r="O7">
        <v>1000</v>
      </c>
      <c r="P7">
        <v>17386.633918245541</v>
      </c>
      <c r="Q7">
        <v>253093.46</v>
      </c>
      <c r="R7">
        <v>1</v>
      </c>
      <c r="S7" s="8">
        <v>1</v>
      </c>
      <c r="T7">
        <v>1</v>
      </c>
      <c r="U7">
        <v>1</v>
      </c>
    </row>
    <row r="8" spans="1:21" x14ac:dyDescent="0.25">
      <c r="A8">
        <v>2030</v>
      </c>
      <c r="B8">
        <v>228546.25769999999</v>
      </c>
      <c r="C8">
        <v>277270.34419999999</v>
      </c>
      <c r="D8" s="8">
        <v>257700</v>
      </c>
      <c r="E8" s="8">
        <v>1000</v>
      </c>
      <c r="F8" s="8">
        <v>3900</v>
      </c>
      <c r="G8" s="8">
        <v>1461206.0236859999</v>
      </c>
      <c r="H8" s="8">
        <v>2218295.6831999999</v>
      </c>
      <c r="I8" s="8">
        <v>1996946.1610000001</v>
      </c>
      <c r="J8" s="8">
        <v>1000</v>
      </c>
      <c r="K8" s="8">
        <v>34000</v>
      </c>
      <c r="L8" s="8">
        <v>994660.57600000012</v>
      </c>
      <c r="M8" s="8">
        <v>1597195.3480000002</v>
      </c>
      <c r="N8" s="8">
        <v>1143231.041</v>
      </c>
      <c r="O8">
        <v>1000</v>
      </c>
      <c r="P8">
        <v>16662.667964091612</v>
      </c>
      <c r="Q8">
        <v>247939.65</v>
      </c>
      <c r="R8">
        <v>1</v>
      </c>
      <c r="S8" s="8">
        <v>1</v>
      </c>
      <c r="T8">
        <v>1</v>
      </c>
      <c r="U8">
        <v>1</v>
      </c>
    </row>
    <row r="9" spans="1:21" x14ac:dyDescent="0.25">
      <c r="A9">
        <v>2031</v>
      </c>
      <c r="B9">
        <v>225118.0638</v>
      </c>
      <c r="C9">
        <v>273102.28909999999</v>
      </c>
      <c r="D9" s="8">
        <v>257700</v>
      </c>
      <c r="E9" s="8">
        <v>1000</v>
      </c>
      <c r="F9" s="8">
        <v>3900</v>
      </c>
      <c r="G9" s="8">
        <v>1444015.15599508</v>
      </c>
      <c r="H9" s="8">
        <v>2205259.4561600001</v>
      </c>
      <c r="I9" s="8">
        <v>1996946.1610000001</v>
      </c>
      <c r="J9" s="8">
        <v>1000</v>
      </c>
      <c r="K9" s="8">
        <v>34000</v>
      </c>
      <c r="L9" s="8">
        <v>992747.76720000012</v>
      </c>
      <c r="M9" s="8">
        <v>1594326.1348000003</v>
      </c>
      <c r="N9" s="8">
        <v>1143231.041</v>
      </c>
      <c r="O9">
        <v>1000</v>
      </c>
      <c r="P9">
        <v>16662.667964091612</v>
      </c>
      <c r="Q9">
        <v>242887.37</v>
      </c>
      <c r="R9">
        <v>1</v>
      </c>
      <c r="S9" s="8">
        <v>1</v>
      </c>
      <c r="T9">
        <v>1</v>
      </c>
      <c r="U9">
        <v>1</v>
      </c>
    </row>
    <row r="10" spans="1:21" x14ac:dyDescent="0.25">
      <c r="A10">
        <v>2032</v>
      </c>
      <c r="B10">
        <v>221741.2929</v>
      </c>
      <c r="C10">
        <v>268993.2548</v>
      </c>
      <c r="D10" s="8">
        <v>257700</v>
      </c>
      <c r="E10" s="8">
        <v>1000</v>
      </c>
      <c r="F10" s="8">
        <v>3900</v>
      </c>
      <c r="G10" s="8">
        <v>1426824.2883041599</v>
      </c>
      <c r="H10" s="8">
        <v>2192223.2291199998</v>
      </c>
      <c r="I10" s="8">
        <v>1996946.1610000001</v>
      </c>
      <c r="J10" s="8">
        <v>1000</v>
      </c>
      <c r="K10" s="8">
        <v>34000</v>
      </c>
      <c r="L10" s="8">
        <v>990834.9584</v>
      </c>
      <c r="M10" s="8">
        <v>1591456.9216000002</v>
      </c>
      <c r="N10" s="8">
        <v>1143231.041</v>
      </c>
      <c r="O10">
        <v>1000</v>
      </c>
      <c r="P10">
        <v>16662.667964091612</v>
      </c>
      <c r="Q10">
        <v>237935.1</v>
      </c>
      <c r="R10">
        <v>1</v>
      </c>
      <c r="S10" s="8">
        <v>1</v>
      </c>
      <c r="T10">
        <v>1</v>
      </c>
      <c r="U10">
        <v>1</v>
      </c>
    </row>
    <row r="11" spans="1:21" x14ac:dyDescent="0.25">
      <c r="A11">
        <v>2033</v>
      </c>
      <c r="B11">
        <v>218415.1735</v>
      </c>
      <c r="C11">
        <v>264942.41499999998</v>
      </c>
      <c r="D11" s="8">
        <v>257700</v>
      </c>
      <c r="E11" s="8">
        <v>1000</v>
      </c>
      <c r="F11" s="8">
        <v>3900</v>
      </c>
      <c r="G11" s="8">
        <v>1409633.42061324</v>
      </c>
      <c r="H11" s="8">
        <v>2179187.0020799995</v>
      </c>
      <c r="I11" s="8">
        <v>1996946.1610000001</v>
      </c>
      <c r="J11" s="8">
        <v>1000</v>
      </c>
      <c r="K11" s="8">
        <v>34000</v>
      </c>
      <c r="L11" s="8">
        <v>988922.1496</v>
      </c>
      <c r="M11" s="8">
        <v>1588587.7084000004</v>
      </c>
      <c r="N11" s="8">
        <v>1143231.041</v>
      </c>
      <c r="O11">
        <v>1000</v>
      </c>
      <c r="P11">
        <v>16662.667964091612</v>
      </c>
      <c r="Q11">
        <v>233081.4</v>
      </c>
      <c r="R11">
        <v>1</v>
      </c>
      <c r="S11" s="8">
        <v>1</v>
      </c>
      <c r="T11">
        <v>1</v>
      </c>
      <c r="U11">
        <v>1</v>
      </c>
    </row>
    <row r="12" spans="1:21" x14ac:dyDescent="0.25">
      <c r="A12">
        <v>2034</v>
      </c>
      <c r="B12">
        <v>215138.94589999999</v>
      </c>
      <c r="C12">
        <v>260948.7948</v>
      </c>
      <c r="D12" s="8">
        <v>257700</v>
      </c>
      <c r="E12" s="8">
        <v>1000</v>
      </c>
      <c r="F12" s="8">
        <v>3900</v>
      </c>
      <c r="G12" s="8">
        <v>1392442.5529223196</v>
      </c>
      <c r="H12" s="8">
        <v>2166150.7750399997</v>
      </c>
      <c r="I12" s="8">
        <v>1996946.1610000001</v>
      </c>
      <c r="J12" s="8">
        <v>1000</v>
      </c>
      <c r="K12" s="8">
        <v>34000</v>
      </c>
      <c r="L12" s="8">
        <v>987009.34079999989</v>
      </c>
      <c r="M12" s="8">
        <v>1585718.4952000002</v>
      </c>
      <c r="N12" s="8">
        <v>1143231.041</v>
      </c>
      <c r="O12">
        <v>1000</v>
      </c>
      <c r="P12">
        <v>16662.667964091612</v>
      </c>
      <c r="Q12">
        <v>228324.82</v>
      </c>
      <c r="R12">
        <v>1</v>
      </c>
      <c r="S12" s="8">
        <v>1</v>
      </c>
      <c r="T12">
        <v>1</v>
      </c>
      <c r="U12">
        <v>1</v>
      </c>
    </row>
    <row r="13" spans="1:21" x14ac:dyDescent="0.25">
      <c r="A13">
        <v>2035</v>
      </c>
      <c r="B13">
        <v>211911.86170000001</v>
      </c>
      <c r="C13">
        <v>257011.4613</v>
      </c>
      <c r="D13" s="8">
        <v>257700</v>
      </c>
      <c r="E13" s="8">
        <v>1000</v>
      </c>
      <c r="F13" s="8">
        <v>3900</v>
      </c>
      <c r="G13" s="8">
        <v>1375251.6852313997</v>
      </c>
      <c r="H13" s="8">
        <v>2153114.5479999995</v>
      </c>
      <c r="I13" s="8">
        <v>1996946.1610000001</v>
      </c>
      <c r="J13" s="8">
        <v>1000</v>
      </c>
      <c r="K13" s="8">
        <v>34000</v>
      </c>
      <c r="L13" s="8">
        <v>985096.53199999989</v>
      </c>
      <c r="M13" s="8">
        <v>1582849.2820000004</v>
      </c>
      <c r="N13" s="8">
        <v>1143231.041</v>
      </c>
      <c r="O13">
        <v>1000</v>
      </c>
      <c r="P13">
        <v>16662.667964091612</v>
      </c>
      <c r="Q13">
        <v>223663.91</v>
      </c>
      <c r="R13">
        <v>1</v>
      </c>
      <c r="S13" s="8">
        <v>1</v>
      </c>
      <c r="T13">
        <v>1</v>
      </c>
      <c r="U13">
        <v>1</v>
      </c>
    </row>
    <row r="14" spans="1:21" x14ac:dyDescent="0.25">
      <c r="A14">
        <v>2036</v>
      </c>
      <c r="B14">
        <v>208733.1838</v>
      </c>
      <c r="C14">
        <v>253129.39139999999</v>
      </c>
      <c r="D14" s="8">
        <v>257700</v>
      </c>
      <c r="E14" s="8">
        <v>1000</v>
      </c>
      <c r="F14" s="8">
        <v>3900</v>
      </c>
      <c r="G14" s="8">
        <v>1358060.8175404796</v>
      </c>
      <c r="H14" s="8">
        <v>2140078.3209599997</v>
      </c>
      <c r="I14" s="8">
        <v>1996946.1610000001</v>
      </c>
      <c r="J14" s="8">
        <v>1000</v>
      </c>
      <c r="K14" s="8">
        <v>34000</v>
      </c>
      <c r="L14" s="8">
        <v>983183.72319999977</v>
      </c>
      <c r="M14" s="8">
        <v>1579980.0688000005</v>
      </c>
      <c r="N14" s="8">
        <v>1143231.041</v>
      </c>
      <c r="O14">
        <v>1000</v>
      </c>
      <c r="P14">
        <v>16662.667964091612</v>
      </c>
      <c r="Q14">
        <v>219097.32</v>
      </c>
      <c r="R14">
        <v>1</v>
      </c>
      <c r="S14" s="8">
        <v>1</v>
      </c>
      <c r="T14">
        <v>1</v>
      </c>
      <c r="U14">
        <v>1</v>
      </c>
    </row>
    <row r="15" spans="1:21" x14ac:dyDescent="0.25">
      <c r="A15">
        <v>2037</v>
      </c>
      <c r="B15">
        <v>205602.18599999999</v>
      </c>
      <c r="C15">
        <v>249301.63759999999</v>
      </c>
      <c r="D15" s="8">
        <v>257700</v>
      </c>
      <c r="E15" s="8">
        <v>1000</v>
      </c>
      <c r="F15" s="8">
        <v>3900</v>
      </c>
      <c r="G15" s="8">
        <v>1340869.9498495597</v>
      </c>
      <c r="H15" s="8">
        <v>2127042.0939199994</v>
      </c>
      <c r="I15" s="8">
        <v>1996946.1610000001</v>
      </c>
      <c r="J15" s="8">
        <v>1000</v>
      </c>
      <c r="K15" s="8">
        <v>34000</v>
      </c>
      <c r="L15" s="8">
        <v>981270.91439999978</v>
      </c>
      <c r="M15" s="8">
        <v>1577110.8556000004</v>
      </c>
      <c r="N15" s="8">
        <v>1143231.041</v>
      </c>
      <c r="O15">
        <v>1000</v>
      </c>
      <c r="P15">
        <v>16662.667964091612</v>
      </c>
      <c r="Q15">
        <v>214623.65</v>
      </c>
      <c r="R15">
        <v>1</v>
      </c>
      <c r="S15" s="8">
        <v>1</v>
      </c>
      <c r="T15">
        <v>1</v>
      </c>
      <c r="U15">
        <v>1</v>
      </c>
    </row>
    <row r="16" spans="1:21" x14ac:dyDescent="0.25">
      <c r="A16">
        <v>2038</v>
      </c>
      <c r="B16">
        <v>202518.1532</v>
      </c>
      <c r="C16">
        <v>245527.30809999999</v>
      </c>
      <c r="D16" s="8">
        <v>257700</v>
      </c>
      <c r="E16" s="8">
        <v>1000</v>
      </c>
      <c r="F16" s="8">
        <v>3900</v>
      </c>
      <c r="G16" s="8">
        <v>1323679.0821586396</v>
      </c>
      <c r="H16" s="8">
        <v>2114005.8668799992</v>
      </c>
      <c r="I16" s="8">
        <v>1996946.1610000001</v>
      </c>
      <c r="J16" s="8">
        <v>1000</v>
      </c>
      <c r="K16" s="8">
        <v>34000</v>
      </c>
      <c r="L16" s="8">
        <v>979358.10559999966</v>
      </c>
      <c r="M16" s="8">
        <v>1574241.6424000005</v>
      </c>
      <c r="N16" s="8">
        <v>1143231.041</v>
      </c>
      <c r="O16">
        <v>1000</v>
      </c>
      <c r="P16">
        <v>16662.667964091612</v>
      </c>
      <c r="Q16">
        <v>210241.6</v>
      </c>
      <c r="R16">
        <v>1</v>
      </c>
      <c r="S16" s="8">
        <v>1</v>
      </c>
      <c r="T16">
        <v>1</v>
      </c>
      <c r="U16">
        <v>1</v>
      </c>
    </row>
    <row r="17" spans="1:21" x14ac:dyDescent="0.25">
      <c r="A17">
        <v>2039</v>
      </c>
      <c r="B17">
        <v>199480.38089999999</v>
      </c>
      <c r="C17">
        <v>241805.39859999999</v>
      </c>
      <c r="D17" s="8">
        <v>257700</v>
      </c>
      <c r="E17" s="8">
        <v>1000</v>
      </c>
      <c r="F17" s="8">
        <v>3900</v>
      </c>
      <c r="G17" s="8">
        <v>1306488.2144677194</v>
      </c>
      <c r="H17" s="8">
        <v>2100969.6398399994</v>
      </c>
      <c r="I17" s="8">
        <v>1996946.1610000001</v>
      </c>
      <c r="J17" s="8">
        <v>1000</v>
      </c>
      <c r="K17" s="8">
        <v>34000</v>
      </c>
      <c r="L17" s="8">
        <v>977445.29679999966</v>
      </c>
      <c r="M17" s="8">
        <v>1571372.4292000004</v>
      </c>
      <c r="N17" s="8">
        <v>1143231.041</v>
      </c>
      <c r="O17">
        <v>1000</v>
      </c>
      <c r="P17">
        <v>16662.667964091612</v>
      </c>
      <c r="Q17">
        <v>205949.84</v>
      </c>
      <c r="R17">
        <v>1</v>
      </c>
      <c r="S17" s="8">
        <v>1</v>
      </c>
      <c r="T17">
        <v>1</v>
      </c>
      <c r="U17">
        <v>1</v>
      </c>
    </row>
    <row r="18" spans="1:21" x14ac:dyDescent="0.25">
      <c r="A18">
        <v>2040</v>
      </c>
      <c r="B18">
        <v>196488.1752</v>
      </c>
      <c r="C18">
        <v>238134.9901</v>
      </c>
      <c r="D18" s="8">
        <v>257700</v>
      </c>
      <c r="E18" s="8">
        <v>1000</v>
      </c>
      <c r="F18" s="8">
        <v>3100</v>
      </c>
      <c r="G18" s="8">
        <v>1288027.7959324</v>
      </c>
      <c r="H18" s="8">
        <v>2087933.4128</v>
      </c>
      <c r="I18" s="8">
        <v>1996946.1610000001</v>
      </c>
      <c r="J18" s="8">
        <v>1000</v>
      </c>
      <c r="K18" s="8">
        <v>30000</v>
      </c>
      <c r="L18" s="8">
        <v>975532.48799999955</v>
      </c>
      <c r="M18" s="8">
        <v>1568503.2160000005</v>
      </c>
      <c r="N18" s="8">
        <v>1143231.041</v>
      </c>
      <c r="O18">
        <v>1000</v>
      </c>
      <c r="P18">
        <v>15965.364846295015</v>
      </c>
      <c r="Q18">
        <v>201747.12</v>
      </c>
      <c r="R18">
        <v>1</v>
      </c>
      <c r="S18" s="8">
        <v>1</v>
      </c>
      <c r="T18">
        <v>1</v>
      </c>
      <c r="U18">
        <v>1</v>
      </c>
    </row>
    <row r="19" spans="1:21" x14ac:dyDescent="0.25">
      <c r="A19">
        <v>2041</v>
      </c>
      <c r="B19">
        <v>193540.85260000001</v>
      </c>
      <c r="C19">
        <v>234515.065</v>
      </c>
      <c r="D19" s="8">
        <v>257700</v>
      </c>
      <c r="E19" s="8">
        <v>1000</v>
      </c>
      <c r="F19" s="8">
        <v>3100</v>
      </c>
      <c r="G19" s="8">
        <v>1288154.7510168403</v>
      </c>
      <c r="H19" s="8">
        <v>2076927.41784</v>
      </c>
      <c r="I19" s="8">
        <v>1996946.1610000001</v>
      </c>
      <c r="J19" s="8">
        <v>1000</v>
      </c>
      <c r="K19" s="8">
        <v>30000</v>
      </c>
      <c r="L19" s="8">
        <v>973619.67919999966</v>
      </c>
      <c r="M19" s="8">
        <v>1565634.0028000006</v>
      </c>
      <c r="N19" s="8">
        <v>1143231.041</v>
      </c>
      <c r="O19">
        <v>1000</v>
      </c>
      <c r="P19">
        <v>15965.364846295015</v>
      </c>
      <c r="Q19">
        <v>197632.19</v>
      </c>
      <c r="R19">
        <v>1</v>
      </c>
      <c r="S19" s="8">
        <v>1</v>
      </c>
      <c r="T19">
        <v>1</v>
      </c>
      <c r="U19">
        <v>1</v>
      </c>
    </row>
    <row r="20" spans="1:21" x14ac:dyDescent="0.25">
      <c r="A20">
        <v>2042</v>
      </c>
      <c r="B20">
        <v>190637.73980000001</v>
      </c>
      <c r="C20">
        <v>230944.68799999999</v>
      </c>
      <c r="D20" s="8">
        <v>257700</v>
      </c>
      <c r="E20" s="8">
        <v>1000</v>
      </c>
      <c r="F20" s="8">
        <v>3100</v>
      </c>
      <c r="G20" s="8">
        <v>1288281.7061012802</v>
      </c>
      <c r="H20" s="8">
        <v>2065921.4228800002</v>
      </c>
      <c r="I20" s="8">
        <v>1996946.1610000001</v>
      </c>
      <c r="J20" s="8">
        <v>1000</v>
      </c>
      <c r="K20" s="8">
        <v>30000</v>
      </c>
      <c r="L20" s="8">
        <v>971706.87039999955</v>
      </c>
      <c r="M20" s="8">
        <v>1562764.7896000005</v>
      </c>
      <c r="N20" s="8">
        <v>1143231.041</v>
      </c>
      <c r="O20">
        <v>1000</v>
      </c>
      <c r="P20">
        <v>15965.364846295015</v>
      </c>
      <c r="Q20">
        <v>193603.83</v>
      </c>
      <c r="R20">
        <v>1</v>
      </c>
      <c r="S20" s="8">
        <v>1</v>
      </c>
      <c r="T20">
        <v>1</v>
      </c>
      <c r="U20">
        <v>1</v>
      </c>
    </row>
    <row r="21" spans="1:21" x14ac:dyDescent="0.25">
      <c r="A21">
        <v>2043</v>
      </c>
      <c r="B21">
        <v>187778.17370000001</v>
      </c>
      <c r="C21">
        <v>227422.96530000001</v>
      </c>
      <c r="D21" s="8">
        <v>257700</v>
      </c>
      <c r="E21" s="8">
        <v>1000</v>
      </c>
      <c r="F21" s="8">
        <v>3100</v>
      </c>
      <c r="G21" s="8">
        <v>1288408.6611857202</v>
      </c>
      <c r="H21" s="8">
        <v>2054915.4279200002</v>
      </c>
      <c r="I21" s="8">
        <v>1996946.1610000001</v>
      </c>
      <c r="J21" s="8">
        <v>1000</v>
      </c>
      <c r="K21" s="8">
        <v>30000</v>
      </c>
      <c r="L21" s="8">
        <v>969794.06159999955</v>
      </c>
      <c r="M21" s="8">
        <v>1559895.5764000006</v>
      </c>
      <c r="N21" s="8">
        <v>1143231.041</v>
      </c>
      <c r="O21">
        <v>1000</v>
      </c>
      <c r="P21">
        <v>15965.364846295015</v>
      </c>
      <c r="Q21">
        <v>189660.87</v>
      </c>
      <c r="R21">
        <v>1</v>
      </c>
      <c r="S21" s="8">
        <v>1</v>
      </c>
      <c r="T21">
        <v>1</v>
      </c>
      <c r="U21">
        <v>1</v>
      </c>
    </row>
    <row r="22" spans="1:21" x14ac:dyDescent="0.25">
      <c r="A22">
        <v>2044</v>
      </c>
      <c r="B22">
        <v>184961.50109999999</v>
      </c>
      <c r="C22">
        <v>223948.88099999999</v>
      </c>
      <c r="D22" s="8">
        <v>257700</v>
      </c>
      <c r="E22" s="8">
        <v>1000</v>
      </c>
      <c r="F22" s="8">
        <v>3100</v>
      </c>
      <c r="G22" s="8">
        <v>1288535.6162701603</v>
      </c>
      <c r="H22" s="8">
        <v>2043909.4329600004</v>
      </c>
      <c r="I22" s="8">
        <v>1996946.1610000001</v>
      </c>
      <c r="J22" s="8">
        <v>1000</v>
      </c>
      <c r="K22" s="8">
        <v>30000</v>
      </c>
      <c r="L22" s="8">
        <v>967881.25279999943</v>
      </c>
      <c r="M22" s="8">
        <v>1557026.3632000005</v>
      </c>
      <c r="N22" s="8">
        <v>1143231.041</v>
      </c>
      <c r="O22">
        <v>1000</v>
      </c>
      <c r="P22">
        <v>15965.364846295015</v>
      </c>
      <c r="Q22">
        <v>185802.14</v>
      </c>
      <c r="R22">
        <v>1</v>
      </c>
      <c r="S22" s="8">
        <v>1</v>
      </c>
      <c r="T22">
        <v>1</v>
      </c>
      <c r="U22">
        <v>1</v>
      </c>
    </row>
    <row r="23" spans="1:21" x14ac:dyDescent="0.25">
      <c r="A23">
        <v>2045</v>
      </c>
      <c r="B23">
        <v>182187.07860000001</v>
      </c>
      <c r="C23">
        <v>220521.46350000001</v>
      </c>
      <c r="D23" s="8">
        <v>257700</v>
      </c>
      <c r="E23" s="8">
        <v>1000</v>
      </c>
      <c r="F23" s="8">
        <v>3100</v>
      </c>
      <c r="G23" s="8">
        <v>1288662.5713546001</v>
      </c>
      <c r="H23" s="8">
        <v>2032903.4380000005</v>
      </c>
      <c r="I23" s="8">
        <v>1996946.1610000001</v>
      </c>
      <c r="J23" s="8">
        <v>1000</v>
      </c>
      <c r="K23" s="8">
        <v>30000</v>
      </c>
      <c r="L23" s="8">
        <v>965968.44399999944</v>
      </c>
      <c r="M23" s="8">
        <v>1554157.1500000006</v>
      </c>
      <c r="N23" s="8">
        <v>1143231.041</v>
      </c>
      <c r="O23">
        <v>1000</v>
      </c>
      <c r="P23">
        <v>15965.364846295015</v>
      </c>
      <c r="Q23">
        <v>182026.51</v>
      </c>
      <c r="R23">
        <v>1</v>
      </c>
      <c r="S23" s="8">
        <v>1</v>
      </c>
      <c r="T23">
        <v>1</v>
      </c>
      <c r="U23">
        <v>1</v>
      </c>
    </row>
    <row r="24" spans="1:21" x14ac:dyDescent="0.25">
      <c r="A24">
        <v>2046</v>
      </c>
      <c r="B24">
        <v>179454.27239999999</v>
      </c>
      <c r="C24">
        <v>217139.74350000001</v>
      </c>
      <c r="D24" s="8">
        <v>257700</v>
      </c>
      <c r="E24" s="8">
        <v>1000</v>
      </c>
      <c r="F24" s="8">
        <v>3100</v>
      </c>
      <c r="G24" s="8">
        <v>1288789.5264390404</v>
      </c>
      <c r="H24" s="8">
        <v>2021897.4430400007</v>
      </c>
      <c r="I24" s="8">
        <v>1996946.1610000001</v>
      </c>
      <c r="J24" s="8">
        <v>1000</v>
      </c>
      <c r="K24" s="8">
        <v>30000</v>
      </c>
      <c r="L24" s="8">
        <v>964055.63519999932</v>
      </c>
      <c r="M24" s="8">
        <v>1551287.9368000007</v>
      </c>
      <c r="N24" s="8">
        <v>1143231.041</v>
      </c>
      <c r="O24">
        <v>1000</v>
      </c>
      <c r="P24">
        <v>15965.364846295015</v>
      </c>
      <c r="Q24">
        <v>178332.87</v>
      </c>
      <c r="R24">
        <v>1</v>
      </c>
      <c r="S24" s="8">
        <v>1</v>
      </c>
      <c r="T24">
        <v>1</v>
      </c>
      <c r="U24">
        <v>1</v>
      </c>
    </row>
    <row r="25" spans="1:21" x14ac:dyDescent="0.25">
      <c r="A25">
        <v>2047</v>
      </c>
      <c r="B25">
        <v>176762.4583</v>
      </c>
      <c r="C25">
        <v>213802.75769999999</v>
      </c>
      <c r="D25" s="8">
        <v>257700</v>
      </c>
      <c r="E25" s="8">
        <v>1000</v>
      </c>
      <c r="F25" s="8">
        <v>3100</v>
      </c>
      <c r="G25" s="8">
        <v>1288916.4815234803</v>
      </c>
      <c r="H25" s="8">
        <v>2010891.4480800009</v>
      </c>
      <c r="I25" s="8">
        <v>1996946.1610000001</v>
      </c>
      <c r="J25" s="8">
        <v>1000</v>
      </c>
      <c r="K25" s="8">
        <v>30000</v>
      </c>
      <c r="L25" s="8">
        <v>962142.82639999932</v>
      </c>
      <c r="M25" s="8">
        <v>1548418.7236000006</v>
      </c>
      <c r="N25" s="8">
        <v>1143231.041</v>
      </c>
      <c r="O25">
        <v>1000</v>
      </c>
      <c r="P25">
        <v>15965.364846295015</v>
      </c>
      <c r="Q25">
        <v>174720.11</v>
      </c>
      <c r="R25">
        <v>1</v>
      </c>
      <c r="S25" s="8">
        <v>1</v>
      </c>
      <c r="T25">
        <v>1</v>
      </c>
      <c r="U25">
        <v>1</v>
      </c>
    </row>
    <row r="26" spans="1:21" x14ac:dyDescent="0.25">
      <c r="A26">
        <v>2048</v>
      </c>
      <c r="B26">
        <v>174111.0214</v>
      </c>
      <c r="C26">
        <v>210509.61679999999</v>
      </c>
      <c r="D26" s="8">
        <v>257700</v>
      </c>
      <c r="E26" s="8">
        <v>1000</v>
      </c>
      <c r="F26" s="8">
        <v>3100</v>
      </c>
      <c r="G26" s="8">
        <v>1289043.4366079206</v>
      </c>
      <c r="H26" s="8">
        <v>1999885.4531200009</v>
      </c>
      <c r="I26" s="8">
        <v>1996946.1610000001</v>
      </c>
      <c r="J26" s="8">
        <v>1000</v>
      </c>
      <c r="K26" s="8">
        <v>30000</v>
      </c>
      <c r="L26" s="8">
        <v>960230.01759999921</v>
      </c>
      <c r="M26" s="8">
        <v>1545549.5104000007</v>
      </c>
      <c r="N26" s="8">
        <v>1143231.041</v>
      </c>
      <c r="O26">
        <v>1000</v>
      </c>
      <c r="P26">
        <v>15965.364846295015</v>
      </c>
      <c r="Q26">
        <v>171187.17</v>
      </c>
      <c r="R26">
        <v>1</v>
      </c>
      <c r="S26" s="8">
        <v>1</v>
      </c>
      <c r="T26">
        <v>1</v>
      </c>
      <c r="U26">
        <v>1</v>
      </c>
    </row>
    <row r="27" spans="1:21" x14ac:dyDescent="0.25">
      <c r="A27">
        <v>2049</v>
      </c>
      <c r="B27">
        <v>171499.3561</v>
      </c>
      <c r="C27">
        <v>207259.3126</v>
      </c>
      <c r="D27" s="8">
        <v>257700</v>
      </c>
      <c r="E27" s="8">
        <v>1000</v>
      </c>
      <c r="F27" s="8">
        <v>3100</v>
      </c>
      <c r="G27" s="8">
        <v>1289170.3916923604</v>
      </c>
      <c r="H27" s="8">
        <v>1988879.4581600011</v>
      </c>
      <c r="I27" s="8">
        <v>1996946.1610000001</v>
      </c>
      <c r="J27" s="8">
        <v>1000</v>
      </c>
      <c r="K27" s="8">
        <v>30000</v>
      </c>
      <c r="L27" s="8">
        <v>958317.20879999921</v>
      </c>
      <c r="M27" s="8">
        <v>1542680.2972000006</v>
      </c>
      <c r="N27" s="8">
        <v>1143231.041</v>
      </c>
      <c r="O27">
        <v>1000</v>
      </c>
      <c r="P27">
        <v>15965.364846295015</v>
      </c>
      <c r="Q27">
        <v>167732.98000000001</v>
      </c>
      <c r="R27">
        <v>1</v>
      </c>
      <c r="S27" s="8">
        <v>1</v>
      </c>
      <c r="T27">
        <v>1</v>
      </c>
      <c r="U27">
        <v>1</v>
      </c>
    </row>
    <row r="28" spans="1:21" x14ac:dyDescent="0.25">
      <c r="A28">
        <v>2050</v>
      </c>
      <c r="B28">
        <v>168926.8658</v>
      </c>
      <c r="C28">
        <v>204050.9535</v>
      </c>
      <c r="D28" s="8">
        <v>257700</v>
      </c>
      <c r="E28" s="8">
        <v>1000</v>
      </c>
      <c r="F28" s="8">
        <v>2500</v>
      </c>
      <c r="G28" s="8">
        <v>1289297.3467768</v>
      </c>
      <c r="H28" s="8">
        <v>1977873.4631999999</v>
      </c>
      <c r="I28" s="8">
        <v>1996946.1610000001</v>
      </c>
      <c r="J28" s="8">
        <v>1000</v>
      </c>
      <c r="K28" s="8">
        <v>28000</v>
      </c>
      <c r="L28" s="8">
        <v>956404.40000000026</v>
      </c>
      <c r="M28" s="8">
        <v>1539811.0840000003</v>
      </c>
      <c r="N28" s="8">
        <v>1143231.041</v>
      </c>
      <c r="O28">
        <v>1000</v>
      </c>
      <c r="P28">
        <v>15602.06928231802</v>
      </c>
      <c r="Q28">
        <v>164356.51999999999</v>
      </c>
      <c r="R28">
        <v>1</v>
      </c>
      <c r="S28" s="8">
        <v>1</v>
      </c>
      <c r="T28">
        <v>1</v>
      </c>
      <c r="U28">
        <v>1</v>
      </c>
    </row>
  </sheetData>
  <phoneticPr fontId="7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039F-A3AA-471E-A6A2-F25F8348E84D}">
  <dimension ref="A1:A17"/>
  <sheetViews>
    <sheetView workbookViewId="0">
      <selection activeCell="E45" sqref="E45"/>
    </sheetView>
  </sheetViews>
  <sheetFormatPr baseColWidth="10" defaultRowHeight="15" x14ac:dyDescent="0.25"/>
  <cols>
    <col min="1" max="1" width="17.42578125" customWidth="1"/>
  </cols>
  <sheetData>
    <row r="1" spans="1:1" x14ac:dyDescent="0.25">
      <c r="A1" s="4" t="s">
        <v>17</v>
      </c>
    </row>
    <row r="2" spans="1:1" x14ac:dyDescent="0.25">
      <c r="A2" s="3" t="s">
        <v>16</v>
      </c>
    </row>
    <row r="3" spans="1:1" x14ac:dyDescent="0.25">
      <c r="A3" s="3"/>
    </row>
    <row r="4" spans="1:1" x14ac:dyDescent="0.25">
      <c r="A4" s="3"/>
    </row>
    <row r="5" spans="1:1" x14ac:dyDescent="0.25">
      <c r="A5" s="3"/>
    </row>
    <row r="6" spans="1:1" x14ac:dyDescent="0.25">
      <c r="A6" s="3"/>
    </row>
    <row r="7" spans="1:1" x14ac:dyDescent="0.25">
      <c r="A7" s="3"/>
    </row>
    <row r="8" spans="1:1" x14ac:dyDescent="0.25">
      <c r="A8" s="3"/>
    </row>
    <row r="9" spans="1:1" x14ac:dyDescent="0.25">
      <c r="A9" s="3"/>
    </row>
    <row r="10" spans="1:1" x14ac:dyDescent="0.25">
      <c r="A10" s="3"/>
    </row>
    <row r="11" spans="1:1" x14ac:dyDescent="0.25">
      <c r="A11" s="3"/>
    </row>
    <row r="12" spans="1:1" x14ac:dyDescent="0.25">
      <c r="A12" s="3"/>
    </row>
    <row r="13" spans="1:1" x14ac:dyDescent="0.25">
      <c r="A13" s="3"/>
    </row>
    <row r="14" spans="1:1" x14ac:dyDescent="0.25">
      <c r="A14" s="3"/>
    </row>
    <row r="15" spans="1:1" x14ac:dyDescent="0.25">
      <c r="A15" s="3"/>
    </row>
    <row r="16" spans="1:1" x14ac:dyDescent="0.25">
      <c r="A16" s="3"/>
    </row>
    <row r="17" spans="1:1" x14ac:dyDescent="0.25">
      <c r="A17" s="3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1E4C-4AB4-44A4-8119-B6BB3BEB6E84}">
  <dimension ref="A1:F325"/>
  <sheetViews>
    <sheetView workbookViewId="0">
      <selection activeCell="E1" sqref="E1"/>
    </sheetView>
  </sheetViews>
  <sheetFormatPr baseColWidth="10" defaultRowHeight="15" x14ac:dyDescent="0.25"/>
  <cols>
    <col min="4" max="4" width="17.7109375" customWidth="1"/>
  </cols>
  <sheetData>
    <row r="1" spans="1:6" x14ac:dyDescent="0.25">
      <c r="A1" t="s">
        <v>33</v>
      </c>
      <c r="B1" t="s">
        <v>15</v>
      </c>
      <c r="C1" s="3" t="s">
        <v>26</v>
      </c>
      <c r="D1" s="3" t="s">
        <v>32</v>
      </c>
      <c r="E1" t="s">
        <v>42</v>
      </c>
      <c r="F1" t="s">
        <v>57</v>
      </c>
    </row>
    <row r="2" spans="1:6" x14ac:dyDescent="0.25">
      <c r="A2">
        <v>1</v>
      </c>
      <c r="B2">
        <v>2024</v>
      </c>
      <c r="C2">
        <v>0.125</v>
      </c>
      <c r="D2">
        <v>0.48099999999999998</v>
      </c>
      <c r="E2">
        <v>0.3</v>
      </c>
      <c r="F2">
        <v>0</v>
      </c>
    </row>
    <row r="3" spans="1:6" x14ac:dyDescent="0.25">
      <c r="A3">
        <v>2</v>
      </c>
      <c r="B3">
        <v>2024</v>
      </c>
      <c r="C3">
        <v>0.125</v>
      </c>
      <c r="D3">
        <v>0.48099999999999998</v>
      </c>
      <c r="E3">
        <v>0.3</v>
      </c>
      <c r="F3">
        <v>0</v>
      </c>
    </row>
    <row r="4" spans="1:6" x14ac:dyDescent="0.25">
      <c r="A4">
        <v>3</v>
      </c>
      <c r="B4">
        <v>2024</v>
      </c>
      <c r="C4">
        <v>0.125</v>
      </c>
      <c r="D4">
        <v>0.48099999999999998</v>
      </c>
      <c r="E4">
        <v>0.3</v>
      </c>
      <c r="F4">
        <v>0</v>
      </c>
    </row>
    <row r="5" spans="1:6" x14ac:dyDescent="0.25">
      <c r="A5">
        <v>4</v>
      </c>
      <c r="B5">
        <v>2024</v>
      </c>
      <c r="C5">
        <v>0.125</v>
      </c>
      <c r="D5">
        <v>0.48099999999999998</v>
      </c>
      <c r="E5">
        <v>0.3</v>
      </c>
      <c r="F5">
        <v>0</v>
      </c>
    </row>
    <row r="6" spans="1:6" x14ac:dyDescent="0.25">
      <c r="A6">
        <v>5</v>
      </c>
      <c r="B6">
        <v>2024</v>
      </c>
      <c r="C6">
        <v>0.125</v>
      </c>
      <c r="D6">
        <v>0.48099999999999998</v>
      </c>
      <c r="E6">
        <v>0.3</v>
      </c>
      <c r="F6">
        <v>0</v>
      </c>
    </row>
    <row r="7" spans="1:6" x14ac:dyDescent="0.25">
      <c r="A7">
        <v>6</v>
      </c>
      <c r="B7">
        <v>2024</v>
      </c>
      <c r="C7">
        <v>0.125</v>
      </c>
      <c r="D7">
        <v>0.48099999999999998</v>
      </c>
      <c r="E7">
        <v>0.3</v>
      </c>
      <c r="F7">
        <v>0</v>
      </c>
    </row>
    <row r="8" spans="1:6" x14ac:dyDescent="0.25">
      <c r="A8">
        <v>7</v>
      </c>
      <c r="B8">
        <v>2024</v>
      </c>
      <c r="C8">
        <v>0.125</v>
      </c>
      <c r="D8">
        <v>0.48099999999999998</v>
      </c>
      <c r="E8">
        <v>0.3</v>
      </c>
      <c r="F8">
        <v>0</v>
      </c>
    </row>
    <row r="9" spans="1:6" x14ac:dyDescent="0.25">
      <c r="A9">
        <v>8</v>
      </c>
      <c r="B9">
        <v>2024</v>
      </c>
      <c r="C9">
        <v>0.125</v>
      </c>
      <c r="D9">
        <v>0.48099999999999998</v>
      </c>
      <c r="E9">
        <v>0.3</v>
      </c>
      <c r="F9">
        <v>0</v>
      </c>
    </row>
    <row r="10" spans="1:6" x14ac:dyDescent="0.25">
      <c r="A10">
        <v>9</v>
      </c>
      <c r="B10">
        <v>2024</v>
      </c>
      <c r="C10">
        <v>0.125</v>
      </c>
      <c r="D10">
        <v>0.48099999999999998</v>
      </c>
      <c r="E10">
        <v>0.3</v>
      </c>
      <c r="F10">
        <v>0</v>
      </c>
    </row>
    <row r="11" spans="1:6" x14ac:dyDescent="0.25">
      <c r="A11">
        <v>10</v>
      </c>
      <c r="B11">
        <v>2024</v>
      </c>
      <c r="C11">
        <v>0.125</v>
      </c>
      <c r="D11">
        <v>0.48099999999999998</v>
      </c>
      <c r="E11">
        <v>0.3</v>
      </c>
      <c r="F11">
        <v>0</v>
      </c>
    </row>
    <row r="12" spans="1:6" x14ac:dyDescent="0.25">
      <c r="A12">
        <v>11</v>
      </c>
      <c r="B12">
        <v>2024</v>
      </c>
      <c r="C12">
        <v>0.125</v>
      </c>
      <c r="D12">
        <v>0.48099999999999998</v>
      </c>
      <c r="E12">
        <v>0.3</v>
      </c>
      <c r="F12">
        <v>0</v>
      </c>
    </row>
    <row r="13" spans="1:6" x14ac:dyDescent="0.25">
      <c r="A13">
        <v>12</v>
      </c>
      <c r="B13">
        <v>2024</v>
      </c>
      <c r="C13">
        <v>0.125</v>
      </c>
      <c r="D13">
        <v>0.48099999999999998</v>
      </c>
      <c r="E13">
        <v>0.3</v>
      </c>
      <c r="F13">
        <v>0</v>
      </c>
    </row>
    <row r="14" spans="1:6" x14ac:dyDescent="0.25">
      <c r="A14">
        <v>1</v>
      </c>
      <c r="B14">
        <v>2025</v>
      </c>
      <c r="C14">
        <v>0.125</v>
      </c>
      <c r="D14">
        <v>0.48099999999999998</v>
      </c>
      <c r="E14">
        <v>0.3</v>
      </c>
      <c r="F14">
        <v>0</v>
      </c>
    </row>
    <row r="15" spans="1:6" x14ac:dyDescent="0.25">
      <c r="A15">
        <v>2</v>
      </c>
      <c r="B15">
        <v>2025</v>
      </c>
      <c r="C15">
        <v>0.125</v>
      </c>
      <c r="D15">
        <v>0.48099999999999998</v>
      </c>
      <c r="E15">
        <v>0.3</v>
      </c>
      <c r="F15">
        <v>0</v>
      </c>
    </row>
    <row r="16" spans="1:6" x14ac:dyDescent="0.25">
      <c r="A16">
        <v>3</v>
      </c>
      <c r="B16">
        <v>2025</v>
      </c>
      <c r="C16">
        <v>0.125</v>
      </c>
      <c r="D16">
        <v>0.48099999999999998</v>
      </c>
      <c r="E16">
        <v>0.3</v>
      </c>
      <c r="F16">
        <v>0</v>
      </c>
    </row>
    <row r="17" spans="1:6" x14ac:dyDescent="0.25">
      <c r="A17">
        <v>4</v>
      </c>
      <c r="B17">
        <v>2025</v>
      </c>
      <c r="C17">
        <v>0.125</v>
      </c>
      <c r="D17">
        <v>0.48099999999999998</v>
      </c>
      <c r="E17">
        <v>0.3</v>
      </c>
      <c r="F17">
        <v>0</v>
      </c>
    </row>
    <row r="18" spans="1:6" x14ac:dyDescent="0.25">
      <c r="A18">
        <v>5</v>
      </c>
      <c r="B18">
        <v>2025</v>
      </c>
      <c r="C18">
        <v>0.125</v>
      </c>
      <c r="D18">
        <v>0.48099999999999998</v>
      </c>
      <c r="E18">
        <v>0.3</v>
      </c>
      <c r="F18">
        <v>0</v>
      </c>
    </row>
    <row r="19" spans="1:6" x14ac:dyDescent="0.25">
      <c r="A19">
        <v>6</v>
      </c>
      <c r="B19">
        <v>2025</v>
      </c>
      <c r="C19">
        <v>0.125</v>
      </c>
      <c r="D19">
        <v>0.48099999999999998</v>
      </c>
      <c r="E19">
        <v>0.3</v>
      </c>
      <c r="F19">
        <v>0</v>
      </c>
    </row>
    <row r="20" spans="1:6" x14ac:dyDescent="0.25">
      <c r="A20">
        <v>7</v>
      </c>
      <c r="B20">
        <v>2025</v>
      </c>
      <c r="C20">
        <v>0.125</v>
      </c>
      <c r="D20">
        <v>0.48099999999999998</v>
      </c>
      <c r="E20">
        <v>0.3</v>
      </c>
      <c r="F20">
        <v>0</v>
      </c>
    </row>
    <row r="21" spans="1:6" x14ac:dyDescent="0.25">
      <c r="A21">
        <v>8</v>
      </c>
      <c r="B21">
        <v>2025</v>
      </c>
      <c r="C21">
        <v>0.125</v>
      </c>
      <c r="D21">
        <v>0.48099999999999998</v>
      </c>
      <c r="E21">
        <v>0.3</v>
      </c>
      <c r="F21">
        <v>0</v>
      </c>
    </row>
    <row r="22" spans="1:6" x14ac:dyDescent="0.25">
      <c r="A22">
        <v>9</v>
      </c>
      <c r="B22">
        <v>2025</v>
      </c>
      <c r="C22">
        <v>0.125</v>
      </c>
      <c r="D22">
        <v>0.48099999999999998</v>
      </c>
      <c r="E22">
        <v>0.3</v>
      </c>
      <c r="F22">
        <v>0</v>
      </c>
    </row>
    <row r="23" spans="1:6" x14ac:dyDescent="0.25">
      <c r="A23">
        <v>10</v>
      </c>
      <c r="B23">
        <v>2025</v>
      </c>
      <c r="C23">
        <v>0.125</v>
      </c>
      <c r="D23">
        <v>0.48099999999999998</v>
      </c>
      <c r="E23">
        <v>0.3</v>
      </c>
      <c r="F23">
        <v>0</v>
      </c>
    </row>
    <row r="24" spans="1:6" x14ac:dyDescent="0.25">
      <c r="A24">
        <v>11</v>
      </c>
      <c r="B24">
        <v>2025</v>
      </c>
      <c r="C24">
        <v>0.125</v>
      </c>
      <c r="D24">
        <v>0.48099999999999998</v>
      </c>
      <c r="E24">
        <v>0.3</v>
      </c>
      <c r="F24">
        <v>0</v>
      </c>
    </row>
    <row r="25" spans="1:6" x14ac:dyDescent="0.25">
      <c r="A25">
        <v>12</v>
      </c>
      <c r="B25">
        <v>2025</v>
      </c>
      <c r="C25">
        <v>0.125</v>
      </c>
      <c r="D25">
        <v>0.48099999999999998</v>
      </c>
      <c r="E25">
        <v>0.3</v>
      </c>
      <c r="F25">
        <v>0</v>
      </c>
    </row>
    <row r="26" spans="1:6" x14ac:dyDescent="0.25">
      <c r="A26">
        <v>1</v>
      </c>
      <c r="B26">
        <v>2026</v>
      </c>
      <c r="C26">
        <v>0.125</v>
      </c>
      <c r="D26">
        <v>0.48099999999999998</v>
      </c>
      <c r="E26">
        <v>0.3</v>
      </c>
      <c r="F26">
        <v>0</v>
      </c>
    </row>
    <row r="27" spans="1:6" x14ac:dyDescent="0.25">
      <c r="A27">
        <v>2</v>
      </c>
      <c r="B27">
        <v>2026</v>
      </c>
      <c r="C27">
        <v>0.125</v>
      </c>
      <c r="D27">
        <v>0.48099999999999998</v>
      </c>
      <c r="E27">
        <v>0.3</v>
      </c>
      <c r="F27">
        <v>0</v>
      </c>
    </row>
    <row r="28" spans="1:6" x14ac:dyDescent="0.25">
      <c r="A28">
        <v>3</v>
      </c>
      <c r="B28">
        <v>2026</v>
      </c>
      <c r="C28">
        <v>0.125</v>
      </c>
      <c r="D28">
        <v>0.48099999999999998</v>
      </c>
      <c r="E28">
        <v>0.3</v>
      </c>
      <c r="F28">
        <v>0</v>
      </c>
    </row>
    <row r="29" spans="1:6" x14ac:dyDescent="0.25">
      <c r="A29">
        <v>4</v>
      </c>
      <c r="B29">
        <v>2026</v>
      </c>
      <c r="C29">
        <v>0.125</v>
      </c>
      <c r="D29">
        <v>0.48099999999999998</v>
      </c>
      <c r="E29">
        <v>0.3</v>
      </c>
      <c r="F29">
        <v>0</v>
      </c>
    </row>
    <row r="30" spans="1:6" x14ac:dyDescent="0.25">
      <c r="A30">
        <v>5</v>
      </c>
      <c r="B30">
        <v>2026</v>
      </c>
      <c r="C30">
        <v>0.125</v>
      </c>
      <c r="D30">
        <v>0.48099999999999998</v>
      </c>
      <c r="E30">
        <v>0.3</v>
      </c>
      <c r="F30">
        <v>0</v>
      </c>
    </row>
    <row r="31" spans="1:6" x14ac:dyDescent="0.25">
      <c r="A31">
        <v>6</v>
      </c>
      <c r="B31">
        <v>2026</v>
      </c>
      <c r="C31">
        <v>0.125</v>
      </c>
      <c r="D31">
        <v>0.48099999999999998</v>
      </c>
      <c r="E31">
        <v>0.3</v>
      </c>
      <c r="F31">
        <v>0</v>
      </c>
    </row>
    <row r="32" spans="1:6" x14ac:dyDescent="0.25">
      <c r="A32">
        <v>7</v>
      </c>
      <c r="B32">
        <v>2026</v>
      </c>
      <c r="C32">
        <v>0.125</v>
      </c>
      <c r="D32">
        <v>0.48099999999999998</v>
      </c>
      <c r="E32">
        <v>0.3</v>
      </c>
      <c r="F32">
        <v>0</v>
      </c>
    </row>
    <row r="33" spans="1:6" x14ac:dyDescent="0.25">
      <c r="A33">
        <v>8</v>
      </c>
      <c r="B33">
        <v>2026</v>
      </c>
      <c r="C33">
        <v>0.125</v>
      </c>
      <c r="D33">
        <v>0.48099999999999998</v>
      </c>
      <c r="E33">
        <v>0.3</v>
      </c>
      <c r="F33">
        <v>0</v>
      </c>
    </row>
    <row r="34" spans="1:6" x14ac:dyDescent="0.25">
      <c r="A34">
        <v>9</v>
      </c>
      <c r="B34">
        <v>2026</v>
      </c>
      <c r="C34">
        <v>0.125</v>
      </c>
      <c r="D34">
        <v>0.48099999999999998</v>
      </c>
      <c r="E34">
        <v>0.3</v>
      </c>
      <c r="F34">
        <v>0</v>
      </c>
    </row>
    <row r="35" spans="1:6" x14ac:dyDescent="0.25">
      <c r="A35">
        <v>10</v>
      </c>
      <c r="B35">
        <v>2026</v>
      </c>
      <c r="C35">
        <v>0.125</v>
      </c>
      <c r="D35">
        <v>0.48099999999999998</v>
      </c>
      <c r="E35">
        <v>0.3</v>
      </c>
      <c r="F35">
        <v>0</v>
      </c>
    </row>
    <row r="36" spans="1:6" x14ac:dyDescent="0.25">
      <c r="A36">
        <v>11</v>
      </c>
      <c r="B36">
        <v>2026</v>
      </c>
      <c r="C36">
        <v>0.125</v>
      </c>
      <c r="D36">
        <v>0.48099999999999998</v>
      </c>
      <c r="E36">
        <v>0.3</v>
      </c>
      <c r="F36">
        <v>0</v>
      </c>
    </row>
    <row r="37" spans="1:6" x14ac:dyDescent="0.25">
      <c r="A37">
        <v>12</v>
      </c>
      <c r="B37">
        <v>2026</v>
      </c>
      <c r="C37">
        <v>0.125</v>
      </c>
      <c r="D37">
        <v>0.48099999999999998</v>
      </c>
      <c r="E37">
        <v>0.3</v>
      </c>
      <c r="F37">
        <v>0</v>
      </c>
    </row>
    <row r="38" spans="1:6" x14ac:dyDescent="0.25">
      <c r="A38">
        <v>1</v>
      </c>
      <c r="B38">
        <v>2027</v>
      </c>
      <c r="C38">
        <v>0.125</v>
      </c>
      <c r="D38">
        <v>0.48099999999999998</v>
      </c>
      <c r="E38">
        <v>0.3</v>
      </c>
      <c r="F38">
        <v>0</v>
      </c>
    </row>
    <row r="39" spans="1:6" x14ac:dyDescent="0.25">
      <c r="A39">
        <v>2</v>
      </c>
      <c r="B39">
        <v>2027</v>
      </c>
      <c r="C39">
        <v>0.125</v>
      </c>
      <c r="D39">
        <v>0.48099999999999998</v>
      </c>
      <c r="E39">
        <v>0.3</v>
      </c>
      <c r="F39">
        <v>0</v>
      </c>
    </row>
    <row r="40" spans="1:6" x14ac:dyDescent="0.25">
      <c r="A40">
        <v>3</v>
      </c>
      <c r="B40">
        <v>2027</v>
      </c>
      <c r="C40">
        <v>0.125</v>
      </c>
      <c r="D40">
        <v>0.48099999999999998</v>
      </c>
      <c r="E40">
        <v>0.3</v>
      </c>
      <c r="F40">
        <v>0</v>
      </c>
    </row>
    <row r="41" spans="1:6" x14ac:dyDescent="0.25">
      <c r="A41">
        <v>4</v>
      </c>
      <c r="B41">
        <v>2027</v>
      </c>
      <c r="C41">
        <v>0.125</v>
      </c>
      <c r="D41">
        <v>0.48099999999999998</v>
      </c>
      <c r="E41">
        <v>0.3</v>
      </c>
      <c r="F41">
        <v>0</v>
      </c>
    </row>
    <row r="42" spans="1:6" x14ac:dyDescent="0.25">
      <c r="A42">
        <v>5</v>
      </c>
      <c r="B42">
        <v>2027</v>
      </c>
      <c r="C42">
        <v>0.125</v>
      </c>
      <c r="D42">
        <v>0.48099999999999998</v>
      </c>
      <c r="E42">
        <v>0.3</v>
      </c>
      <c r="F42">
        <v>0</v>
      </c>
    </row>
    <row r="43" spans="1:6" x14ac:dyDescent="0.25">
      <c r="A43">
        <v>6</v>
      </c>
      <c r="B43">
        <v>2027</v>
      </c>
      <c r="C43">
        <v>0.125</v>
      </c>
      <c r="D43">
        <v>0.48099999999999998</v>
      </c>
      <c r="E43">
        <v>0.3</v>
      </c>
      <c r="F43">
        <v>0</v>
      </c>
    </row>
    <row r="44" spans="1:6" x14ac:dyDescent="0.25">
      <c r="A44">
        <v>7</v>
      </c>
      <c r="B44">
        <v>2027</v>
      </c>
      <c r="C44">
        <v>0.125</v>
      </c>
      <c r="D44">
        <v>0.48099999999999998</v>
      </c>
      <c r="E44">
        <v>0.3</v>
      </c>
      <c r="F44">
        <v>0</v>
      </c>
    </row>
    <row r="45" spans="1:6" x14ac:dyDescent="0.25">
      <c r="A45">
        <v>8</v>
      </c>
      <c r="B45">
        <v>2027</v>
      </c>
      <c r="C45">
        <v>0.125</v>
      </c>
      <c r="D45">
        <v>0.48099999999999998</v>
      </c>
      <c r="E45">
        <v>0.3</v>
      </c>
      <c r="F45">
        <v>0</v>
      </c>
    </row>
    <row r="46" spans="1:6" x14ac:dyDescent="0.25">
      <c r="A46">
        <v>9</v>
      </c>
      <c r="B46">
        <v>2027</v>
      </c>
      <c r="C46">
        <v>0.125</v>
      </c>
      <c r="D46">
        <v>0.48099999999999998</v>
      </c>
      <c r="E46">
        <v>0.3</v>
      </c>
      <c r="F46">
        <v>0</v>
      </c>
    </row>
    <row r="47" spans="1:6" x14ac:dyDescent="0.25">
      <c r="A47">
        <v>10</v>
      </c>
      <c r="B47">
        <v>2027</v>
      </c>
      <c r="C47">
        <v>0.125</v>
      </c>
      <c r="D47">
        <v>0.48099999999999998</v>
      </c>
      <c r="E47">
        <v>0.3</v>
      </c>
      <c r="F47">
        <v>0</v>
      </c>
    </row>
    <row r="48" spans="1:6" x14ac:dyDescent="0.25">
      <c r="A48">
        <v>11</v>
      </c>
      <c r="B48">
        <v>2027</v>
      </c>
      <c r="C48">
        <v>0.125</v>
      </c>
      <c r="D48">
        <v>0.48099999999999998</v>
      </c>
      <c r="E48">
        <v>0.3</v>
      </c>
      <c r="F48">
        <v>0</v>
      </c>
    </row>
    <row r="49" spans="1:6" x14ac:dyDescent="0.25">
      <c r="A49">
        <v>12</v>
      </c>
      <c r="B49">
        <v>2027</v>
      </c>
      <c r="C49">
        <v>0.125</v>
      </c>
      <c r="D49">
        <v>0.48099999999999998</v>
      </c>
      <c r="E49">
        <v>0.3</v>
      </c>
      <c r="F49">
        <v>0</v>
      </c>
    </row>
    <row r="50" spans="1:6" x14ac:dyDescent="0.25">
      <c r="A50">
        <v>1</v>
      </c>
      <c r="B50">
        <v>2028</v>
      </c>
      <c r="C50">
        <v>0.125</v>
      </c>
      <c r="D50">
        <v>0.48099999999999998</v>
      </c>
      <c r="E50">
        <v>0.3</v>
      </c>
      <c r="F50">
        <v>0</v>
      </c>
    </row>
    <row r="51" spans="1:6" x14ac:dyDescent="0.25">
      <c r="A51">
        <v>2</v>
      </c>
      <c r="B51">
        <v>2028</v>
      </c>
      <c r="C51">
        <v>0.125</v>
      </c>
      <c r="D51">
        <v>0.48099999999999998</v>
      </c>
      <c r="E51">
        <v>0.3</v>
      </c>
      <c r="F51">
        <v>0</v>
      </c>
    </row>
    <row r="52" spans="1:6" x14ac:dyDescent="0.25">
      <c r="A52">
        <v>3</v>
      </c>
      <c r="B52">
        <v>2028</v>
      </c>
      <c r="C52">
        <v>0.125</v>
      </c>
      <c r="D52">
        <v>0.48099999999999998</v>
      </c>
      <c r="E52">
        <v>0.3</v>
      </c>
      <c r="F52">
        <v>0</v>
      </c>
    </row>
    <row r="53" spans="1:6" x14ac:dyDescent="0.25">
      <c r="A53">
        <v>4</v>
      </c>
      <c r="B53">
        <v>2028</v>
      </c>
      <c r="C53">
        <v>0.125</v>
      </c>
      <c r="D53">
        <v>0.48099999999999998</v>
      </c>
      <c r="E53">
        <v>0.3</v>
      </c>
      <c r="F53">
        <v>0</v>
      </c>
    </row>
    <row r="54" spans="1:6" x14ac:dyDescent="0.25">
      <c r="A54">
        <v>5</v>
      </c>
      <c r="B54">
        <v>2028</v>
      </c>
      <c r="C54">
        <v>0.125</v>
      </c>
      <c r="D54">
        <v>0.48099999999999998</v>
      </c>
      <c r="E54">
        <v>0.3</v>
      </c>
      <c r="F54">
        <v>0</v>
      </c>
    </row>
    <row r="55" spans="1:6" x14ac:dyDescent="0.25">
      <c r="A55">
        <v>6</v>
      </c>
      <c r="B55">
        <v>2028</v>
      </c>
      <c r="C55">
        <v>0.125</v>
      </c>
      <c r="D55">
        <v>0.48099999999999998</v>
      </c>
      <c r="E55">
        <v>0.3</v>
      </c>
      <c r="F55">
        <v>0</v>
      </c>
    </row>
    <row r="56" spans="1:6" x14ac:dyDescent="0.25">
      <c r="A56">
        <v>7</v>
      </c>
      <c r="B56">
        <v>2028</v>
      </c>
      <c r="C56">
        <v>0.125</v>
      </c>
      <c r="D56">
        <v>0.48099999999999998</v>
      </c>
      <c r="E56">
        <v>0.3</v>
      </c>
      <c r="F56">
        <v>0</v>
      </c>
    </row>
    <row r="57" spans="1:6" x14ac:dyDescent="0.25">
      <c r="A57">
        <v>8</v>
      </c>
      <c r="B57">
        <v>2028</v>
      </c>
      <c r="C57">
        <v>0.125</v>
      </c>
      <c r="D57">
        <v>0.48099999999999998</v>
      </c>
      <c r="E57">
        <v>0.3</v>
      </c>
      <c r="F57">
        <v>0</v>
      </c>
    </row>
    <row r="58" spans="1:6" x14ac:dyDescent="0.25">
      <c r="A58">
        <v>9</v>
      </c>
      <c r="B58">
        <v>2028</v>
      </c>
      <c r="C58">
        <v>0.125</v>
      </c>
      <c r="D58">
        <v>0.48099999999999998</v>
      </c>
      <c r="E58">
        <v>0.3</v>
      </c>
      <c r="F58">
        <v>0</v>
      </c>
    </row>
    <row r="59" spans="1:6" x14ac:dyDescent="0.25">
      <c r="A59">
        <v>10</v>
      </c>
      <c r="B59">
        <v>2028</v>
      </c>
      <c r="C59">
        <v>0.125</v>
      </c>
      <c r="D59">
        <v>0.48099999999999998</v>
      </c>
      <c r="E59">
        <v>0.3</v>
      </c>
      <c r="F59">
        <v>0</v>
      </c>
    </row>
    <row r="60" spans="1:6" x14ac:dyDescent="0.25">
      <c r="A60">
        <v>11</v>
      </c>
      <c r="B60">
        <v>2028</v>
      </c>
      <c r="C60">
        <v>0.125</v>
      </c>
      <c r="D60">
        <v>0.48099999999999998</v>
      </c>
      <c r="E60">
        <v>0.3</v>
      </c>
      <c r="F60">
        <v>0</v>
      </c>
    </row>
    <row r="61" spans="1:6" x14ac:dyDescent="0.25">
      <c r="A61">
        <v>12</v>
      </c>
      <c r="B61">
        <v>2028</v>
      </c>
      <c r="C61">
        <v>0.125</v>
      </c>
      <c r="D61">
        <v>0.48099999999999998</v>
      </c>
      <c r="E61">
        <v>0.3</v>
      </c>
      <c r="F61">
        <v>0</v>
      </c>
    </row>
    <row r="62" spans="1:6" x14ac:dyDescent="0.25">
      <c r="A62">
        <v>1</v>
      </c>
      <c r="B62">
        <v>2029</v>
      </c>
      <c r="C62">
        <v>0.125</v>
      </c>
      <c r="D62">
        <v>0.48099999999999998</v>
      </c>
      <c r="E62">
        <v>0.3</v>
      </c>
      <c r="F62">
        <v>0</v>
      </c>
    </row>
    <row r="63" spans="1:6" x14ac:dyDescent="0.25">
      <c r="A63">
        <v>2</v>
      </c>
      <c r="B63">
        <v>2029</v>
      </c>
      <c r="C63">
        <v>0.125</v>
      </c>
      <c r="D63">
        <v>0.48099999999999998</v>
      </c>
      <c r="E63">
        <v>0.3</v>
      </c>
      <c r="F63">
        <v>0</v>
      </c>
    </row>
    <row r="64" spans="1:6" x14ac:dyDescent="0.25">
      <c r="A64">
        <v>3</v>
      </c>
      <c r="B64">
        <v>2029</v>
      </c>
      <c r="C64">
        <v>0.125</v>
      </c>
      <c r="D64">
        <v>0.48099999999999998</v>
      </c>
      <c r="E64">
        <v>0.3</v>
      </c>
      <c r="F64">
        <v>0</v>
      </c>
    </row>
    <row r="65" spans="1:6" x14ac:dyDescent="0.25">
      <c r="A65">
        <v>4</v>
      </c>
      <c r="B65">
        <v>2029</v>
      </c>
      <c r="C65">
        <v>0.125</v>
      </c>
      <c r="D65">
        <v>0.48099999999999998</v>
      </c>
      <c r="E65">
        <v>0.3</v>
      </c>
      <c r="F65">
        <v>0</v>
      </c>
    </row>
    <row r="66" spans="1:6" x14ac:dyDescent="0.25">
      <c r="A66">
        <v>5</v>
      </c>
      <c r="B66">
        <v>2029</v>
      </c>
      <c r="C66">
        <v>0.125</v>
      </c>
      <c r="D66">
        <v>0.48099999999999998</v>
      </c>
      <c r="E66">
        <v>0.3</v>
      </c>
      <c r="F66">
        <v>0</v>
      </c>
    </row>
    <row r="67" spans="1:6" x14ac:dyDescent="0.25">
      <c r="A67">
        <v>6</v>
      </c>
      <c r="B67">
        <v>2029</v>
      </c>
      <c r="C67">
        <v>0.125</v>
      </c>
      <c r="D67">
        <v>0.48099999999999998</v>
      </c>
      <c r="E67">
        <v>0.3</v>
      </c>
      <c r="F67">
        <v>0</v>
      </c>
    </row>
    <row r="68" spans="1:6" x14ac:dyDescent="0.25">
      <c r="A68">
        <v>7</v>
      </c>
      <c r="B68">
        <v>2029</v>
      </c>
      <c r="C68">
        <v>0.125</v>
      </c>
      <c r="D68">
        <v>0.48099999999999998</v>
      </c>
      <c r="E68">
        <v>0.3</v>
      </c>
      <c r="F68">
        <v>0</v>
      </c>
    </row>
    <row r="69" spans="1:6" x14ac:dyDescent="0.25">
      <c r="A69">
        <v>8</v>
      </c>
      <c r="B69">
        <v>2029</v>
      </c>
      <c r="C69">
        <v>0.125</v>
      </c>
      <c r="D69">
        <v>0.48099999999999998</v>
      </c>
      <c r="E69">
        <v>0.3</v>
      </c>
      <c r="F69">
        <v>0</v>
      </c>
    </row>
    <row r="70" spans="1:6" x14ac:dyDescent="0.25">
      <c r="A70">
        <v>9</v>
      </c>
      <c r="B70">
        <v>2029</v>
      </c>
      <c r="C70">
        <v>0.125</v>
      </c>
      <c r="D70">
        <v>0.48099999999999998</v>
      </c>
      <c r="E70">
        <v>0.3</v>
      </c>
      <c r="F70">
        <v>0</v>
      </c>
    </row>
    <row r="71" spans="1:6" x14ac:dyDescent="0.25">
      <c r="A71">
        <v>10</v>
      </c>
      <c r="B71">
        <v>2029</v>
      </c>
      <c r="C71">
        <v>0.125</v>
      </c>
      <c r="D71">
        <v>0.48099999999999998</v>
      </c>
      <c r="E71">
        <v>0.3</v>
      </c>
      <c r="F71">
        <v>0</v>
      </c>
    </row>
    <row r="72" spans="1:6" x14ac:dyDescent="0.25">
      <c r="A72">
        <v>11</v>
      </c>
      <c r="B72">
        <v>2029</v>
      </c>
      <c r="C72">
        <v>0.125</v>
      </c>
      <c r="D72">
        <v>0.48099999999999998</v>
      </c>
      <c r="E72">
        <v>0.3</v>
      </c>
      <c r="F72">
        <v>0</v>
      </c>
    </row>
    <row r="73" spans="1:6" x14ac:dyDescent="0.25">
      <c r="A73">
        <v>12</v>
      </c>
      <c r="B73">
        <v>2029</v>
      </c>
      <c r="C73">
        <v>0.125</v>
      </c>
      <c r="D73">
        <v>0.48099999999999998</v>
      </c>
      <c r="E73">
        <v>0.3</v>
      </c>
      <c r="F73">
        <v>0</v>
      </c>
    </row>
    <row r="74" spans="1:6" x14ac:dyDescent="0.25">
      <c r="A74">
        <v>1</v>
      </c>
      <c r="B74">
        <v>2030</v>
      </c>
      <c r="C74">
        <v>0.125</v>
      </c>
      <c r="D74">
        <v>0.48099999999999998</v>
      </c>
      <c r="E74">
        <v>0.3</v>
      </c>
      <c r="F74">
        <v>0</v>
      </c>
    </row>
    <row r="75" spans="1:6" x14ac:dyDescent="0.25">
      <c r="A75">
        <v>2</v>
      </c>
      <c r="B75">
        <v>2030</v>
      </c>
      <c r="C75">
        <v>0.125</v>
      </c>
      <c r="D75">
        <v>0.48099999999999998</v>
      </c>
      <c r="E75">
        <v>0.3</v>
      </c>
      <c r="F75">
        <v>0</v>
      </c>
    </row>
    <row r="76" spans="1:6" x14ac:dyDescent="0.25">
      <c r="A76">
        <v>3</v>
      </c>
      <c r="B76">
        <v>2030</v>
      </c>
      <c r="C76">
        <v>0.125</v>
      </c>
      <c r="D76">
        <v>0.48099999999999998</v>
      </c>
      <c r="E76">
        <v>0.3</v>
      </c>
      <c r="F76">
        <v>0</v>
      </c>
    </row>
    <row r="77" spans="1:6" x14ac:dyDescent="0.25">
      <c r="A77">
        <v>4</v>
      </c>
      <c r="B77">
        <v>2030</v>
      </c>
      <c r="C77">
        <v>0.125</v>
      </c>
      <c r="D77">
        <v>0.48099999999999998</v>
      </c>
      <c r="E77">
        <v>0.3</v>
      </c>
      <c r="F77">
        <v>0</v>
      </c>
    </row>
    <row r="78" spans="1:6" x14ac:dyDescent="0.25">
      <c r="A78">
        <v>5</v>
      </c>
      <c r="B78">
        <v>2030</v>
      </c>
      <c r="C78">
        <v>0.125</v>
      </c>
      <c r="D78">
        <v>0.48099999999999998</v>
      </c>
      <c r="E78">
        <v>0.3</v>
      </c>
      <c r="F78">
        <v>0</v>
      </c>
    </row>
    <row r="79" spans="1:6" x14ac:dyDescent="0.25">
      <c r="A79">
        <v>6</v>
      </c>
      <c r="B79">
        <v>2030</v>
      </c>
      <c r="C79">
        <v>0.125</v>
      </c>
      <c r="D79">
        <v>0.48099999999999998</v>
      </c>
      <c r="E79">
        <v>0.3</v>
      </c>
      <c r="F79">
        <v>0</v>
      </c>
    </row>
    <row r="80" spans="1:6" x14ac:dyDescent="0.25">
      <c r="A80">
        <v>7</v>
      </c>
      <c r="B80">
        <v>2030</v>
      </c>
      <c r="C80">
        <v>0.125</v>
      </c>
      <c r="D80">
        <v>0.48099999999999998</v>
      </c>
      <c r="E80">
        <v>0.3</v>
      </c>
      <c r="F80">
        <v>0</v>
      </c>
    </row>
    <row r="81" spans="1:6" x14ac:dyDescent="0.25">
      <c r="A81">
        <v>8</v>
      </c>
      <c r="B81">
        <v>2030</v>
      </c>
      <c r="C81">
        <v>0.125</v>
      </c>
      <c r="D81">
        <v>0.48099999999999998</v>
      </c>
      <c r="E81">
        <v>0.3</v>
      </c>
      <c r="F81">
        <v>0</v>
      </c>
    </row>
    <row r="82" spans="1:6" x14ac:dyDescent="0.25">
      <c r="A82">
        <v>9</v>
      </c>
      <c r="B82">
        <v>2030</v>
      </c>
      <c r="C82">
        <v>0.125</v>
      </c>
      <c r="D82">
        <v>0.48099999999999998</v>
      </c>
      <c r="E82">
        <v>0.3</v>
      </c>
      <c r="F82">
        <v>0</v>
      </c>
    </row>
    <row r="83" spans="1:6" x14ac:dyDescent="0.25">
      <c r="A83">
        <v>10</v>
      </c>
      <c r="B83">
        <v>2030</v>
      </c>
      <c r="C83">
        <v>0.125</v>
      </c>
      <c r="D83">
        <v>0.48099999999999998</v>
      </c>
      <c r="E83">
        <v>0.3</v>
      </c>
      <c r="F83">
        <v>0</v>
      </c>
    </row>
    <row r="84" spans="1:6" x14ac:dyDescent="0.25">
      <c r="A84">
        <v>11</v>
      </c>
      <c r="B84">
        <v>2030</v>
      </c>
      <c r="C84">
        <v>0.125</v>
      </c>
      <c r="D84">
        <v>0.48099999999999998</v>
      </c>
      <c r="E84">
        <v>0.3</v>
      </c>
      <c r="F84">
        <v>0</v>
      </c>
    </row>
    <row r="85" spans="1:6" x14ac:dyDescent="0.25">
      <c r="A85">
        <v>12</v>
      </c>
      <c r="B85">
        <v>2030</v>
      </c>
      <c r="C85">
        <v>0.125</v>
      </c>
      <c r="D85">
        <v>0.48099999999999998</v>
      </c>
      <c r="E85">
        <v>0.3</v>
      </c>
      <c r="F85">
        <v>0</v>
      </c>
    </row>
    <row r="86" spans="1:6" x14ac:dyDescent="0.25">
      <c r="A86">
        <v>1</v>
      </c>
      <c r="B86">
        <v>2031</v>
      </c>
      <c r="C86">
        <v>0.125</v>
      </c>
      <c r="D86">
        <v>0.48099999999999998</v>
      </c>
      <c r="E86">
        <v>0.3</v>
      </c>
      <c r="F86">
        <v>0</v>
      </c>
    </row>
    <row r="87" spans="1:6" x14ac:dyDescent="0.25">
      <c r="A87">
        <v>2</v>
      </c>
      <c r="B87">
        <v>2031</v>
      </c>
      <c r="C87">
        <v>0.125</v>
      </c>
      <c r="D87">
        <v>0.48099999999999998</v>
      </c>
      <c r="E87">
        <v>0.3</v>
      </c>
      <c r="F87">
        <v>0</v>
      </c>
    </row>
    <row r="88" spans="1:6" x14ac:dyDescent="0.25">
      <c r="A88">
        <v>3</v>
      </c>
      <c r="B88">
        <v>2031</v>
      </c>
      <c r="C88">
        <v>0.125</v>
      </c>
      <c r="D88">
        <v>0.48099999999999998</v>
      </c>
      <c r="E88">
        <v>0.3</v>
      </c>
      <c r="F88">
        <v>0</v>
      </c>
    </row>
    <row r="89" spans="1:6" x14ac:dyDescent="0.25">
      <c r="A89">
        <v>4</v>
      </c>
      <c r="B89">
        <v>2031</v>
      </c>
      <c r="C89">
        <v>0.125</v>
      </c>
      <c r="D89">
        <v>0.48099999999999998</v>
      </c>
      <c r="E89">
        <v>0.3</v>
      </c>
      <c r="F89">
        <v>0</v>
      </c>
    </row>
    <row r="90" spans="1:6" x14ac:dyDescent="0.25">
      <c r="A90">
        <v>5</v>
      </c>
      <c r="B90">
        <v>2031</v>
      </c>
      <c r="C90">
        <v>0.125</v>
      </c>
      <c r="D90">
        <v>0.48099999999999998</v>
      </c>
      <c r="E90">
        <v>0.3</v>
      </c>
      <c r="F90">
        <v>0</v>
      </c>
    </row>
    <row r="91" spans="1:6" x14ac:dyDescent="0.25">
      <c r="A91">
        <v>6</v>
      </c>
      <c r="B91">
        <v>2031</v>
      </c>
      <c r="C91">
        <v>0.125</v>
      </c>
      <c r="D91">
        <v>0.48099999999999998</v>
      </c>
      <c r="E91">
        <v>0.3</v>
      </c>
      <c r="F91">
        <v>0</v>
      </c>
    </row>
    <row r="92" spans="1:6" x14ac:dyDescent="0.25">
      <c r="A92">
        <v>7</v>
      </c>
      <c r="B92">
        <v>2031</v>
      </c>
      <c r="C92">
        <v>0.125</v>
      </c>
      <c r="D92">
        <v>0.48099999999999998</v>
      </c>
      <c r="E92">
        <v>0.3</v>
      </c>
      <c r="F92">
        <v>0</v>
      </c>
    </row>
    <row r="93" spans="1:6" x14ac:dyDescent="0.25">
      <c r="A93">
        <v>8</v>
      </c>
      <c r="B93">
        <v>2031</v>
      </c>
      <c r="C93">
        <v>0.125</v>
      </c>
      <c r="D93">
        <v>0.48099999999999998</v>
      </c>
      <c r="E93">
        <v>0.3</v>
      </c>
      <c r="F93">
        <v>0</v>
      </c>
    </row>
    <row r="94" spans="1:6" x14ac:dyDescent="0.25">
      <c r="A94">
        <v>9</v>
      </c>
      <c r="B94">
        <v>2031</v>
      </c>
      <c r="C94">
        <v>0.125</v>
      </c>
      <c r="D94">
        <v>0.48099999999999998</v>
      </c>
      <c r="E94">
        <v>0.3</v>
      </c>
      <c r="F94">
        <v>0</v>
      </c>
    </row>
    <row r="95" spans="1:6" x14ac:dyDescent="0.25">
      <c r="A95">
        <v>10</v>
      </c>
      <c r="B95">
        <v>2031</v>
      </c>
      <c r="C95">
        <v>0.125</v>
      </c>
      <c r="D95">
        <v>0.48099999999999998</v>
      </c>
      <c r="E95">
        <v>0.3</v>
      </c>
      <c r="F95">
        <v>0</v>
      </c>
    </row>
    <row r="96" spans="1:6" x14ac:dyDescent="0.25">
      <c r="A96">
        <v>11</v>
      </c>
      <c r="B96">
        <v>2031</v>
      </c>
      <c r="C96">
        <v>0.125</v>
      </c>
      <c r="D96">
        <v>0.48099999999999998</v>
      </c>
      <c r="E96">
        <v>0.3</v>
      </c>
      <c r="F96">
        <v>0</v>
      </c>
    </row>
    <row r="97" spans="1:6" x14ac:dyDescent="0.25">
      <c r="A97">
        <v>12</v>
      </c>
      <c r="B97">
        <v>2031</v>
      </c>
      <c r="C97">
        <v>0.125</v>
      </c>
      <c r="D97">
        <v>0.48099999999999998</v>
      </c>
      <c r="E97">
        <v>0.3</v>
      </c>
      <c r="F97">
        <v>0</v>
      </c>
    </row>
    <row r="98" spans="1:6" x14ac:dyDescent="0.25">
      <c r="A98">
        <v>1</v>
      </c>
      <c r="B98">
        <v>2032</v>
      </c>
      <c r="C98">
        <v>0.125</v>
      </c>
      <c r="D98">
        <v>0.48099999999999998</v>
      </c>
      <c r="E98">
        <v>0.3</v>
      </c>
      <c r="F98">
        <v>0</v>
      </c>
    </row>
    <row r="99" spans="1:6" x14ac:dyDescent="0.25">
      <c r="A99">
        <v>2</v>
      </c>
      <c r="B99">
        <v>2032</v>
      </c>
      <c r="C99">
        <v>0.125</v>
      </c>
      <c r="D99">
        <v>0.48099999999999998</v>
      </c>
      <c r="E99">
        <v>0.3</v>
      </c>
      <c r="F99">
        <v>0</v>
      </c>
    </row>
    <row r="100" spans="1:6" x14ac:dyDescent="0.25">
      <c r="A100">
        <v>3</v>
      </c>
      <c r="B100">
        <v>2032</v>
      </c>
      <c r="C100">
        <v>0.125</v>
      </c>
      <c r="D100">
        <v>0.48099999999999998</v>
      </c>
      <c r="E100">
        <v>0.3</v>
      </c>
      <c r="F100">
        <v>0</v>
      </c>
    </row>
    <row r="101" spans="1:6" x14ac:dyDescent="0.25">
      <c r="A101">
        <v>4</v>
      </c>
      <c r="B101">
        <v>2032</v>
      </c>
      <c r="C101">
        <v>0.125</v>
      </c>
      <c r="D101">
        <v>0.48099999999999998</v>
      </c>
      <c r="E101">
        <v>0.3</v>
      </c>
      <c r="F101">
        <v>0</v>
      </c>
    </row>
    <row r="102" spans="1:6" x14ac:dyDescent="0.25">
      <c r="A102">
        <v>5</v>
      </c>
      <c r="B102">
        <v>2032</v>
      </c>
      <c r="C102">
        <v>0.125</v>
      </c>
      <c r="D102">
        <v>0.48099999999999998</v>
      </c>
      <c r="E102">
        <v>0.3</v>
      </c>
      <c r="F102">
        <v>0</v>
      </c>
    </row>
    <row r="103" spans="1:6" x14ac:dyDescent="0.25">
      <c r="A103">
        <v>6</v>
      </c>
      <c r="B103">
        <v>2032</v>
      </c>
      <c r="C103">
        <v>0.125</v>
      </c>
      <c r="D103">
        <v>0.48099999999999998</v>
      </c>
      <c r="E103">
        <v>0.3</v>
      </c>
      <c r="F103">
        <v>0</v>
      </c>
    </row>
    <row r="104" spans="1:6" x14ac:dyDescent="0.25">
      <c r="A104">
        <v>7</v>
      </c>
      <c r="B104">
        <v>2032</v>
      </c>
      <c r="C104">
        <v>0.125</v>
      </c>
      <c r="D104">
        <v>0.48099999999999998</v>
      </c>
      <c r="E104">
        <v>0.3</v>
      </c>
      <c r="F104">
        <v>0</v>
      </c>
    </row>
    <row r="105" spans="1:6" x14ac:dyDescent="0.25">
      <c r="A105">
        <v>8</v>
      </c>
      <c r="B105">
        <v>2032</v>
      </c>
      <c r="C105">
        <v>0.125</v>
      </c>
      <c r="D105">
        <v>0.48099999999999998</v>
      </c>
      <c r="E105">
        <v>0.3</v>
      </c>
      <c r="F105">
        <v>0</v>
      </c>
    </row>
    <row r="106" spans="1:6" x14ac:dyDescent="0.25">
      <c r="A106">
        <v>9</v>
      </c>
      <c r="B106">
        <v>2032</v>
      </c>
      <c r="C106">
        <v>0.125</v>
      </c>
      <c r="D106">
        <v>0.48099999999999998</v>
      </c>
      <c r="E106">
        <v>0.3</v>
      </c>
      <c r="F106">
        <v>0</v>
      </c>
    </row>
    <row r="107" spans="1:6" x14ac:dyDescent="0.25">
      <c r="A107">
        <v>10</v>
      </c>
      <c r="B107">
        <v>2032</v>
      </c>
      <c r="C107">
        <v>0.125</v>
      </c>
      <c r="D107">
        <v>0.48099999999999998</v>
      </c>
      <c r="E107">
        <v>0.3</v>
      </c>
      <c r="F107">
        <v>0</v>
      </c>
    </row>
    <row r="108" spans="1:6" x14ac:dyDescent="0.25">
      <c r="A108">
        <v>11</v>
      </c>
      <c r="B108">
        <v>2032</v>
      </c>
      <c r="C108">
        <v>0.125</v>
      </c>
      <c r="D108">
        <v>0.48099999999999998</v>
      </c>
      <c r="E108">
        <v>0.3</v>
      </c>
      <c r="F108">
        <v>0</v>
      </c>
    </row>
    <row r="109" spans="1:6" x14ac:dyDescent="0.25">
      <c r="A109">
        <v>12</v>
      </c>
      <c r="B109">
        <v>2032</v>
      </c>
      <c r="C109">
        <v>0.125</v>
      </c>
      <c r="D109">
        <v>0.48099999999999998</v>
      </c>
      <c r="E109">
        <v>0.3</v>
      </c>
      <c r="F109">
        <v>0</v>
      </c>
    </row>
    <row r="110" spans="1:6" x14ac:dyDescent="0.25">
      <c r="A110">
        <v>1</v>
      </c>
      <c r="B110">
        <v>2033</v>
      </c>
      <c r="C110">
        <v>0.125</v>
      </c>
      <c r="D110">
        <v>0.48099999999999998</v>
      </c>
      <c r="E110">
        <v>0.3</v>
      </c>
      <c r="F110">
        <v>0</v>
      </c>
    </row>
    <row r="111" spans="1:6" x14ac:dyDescent="0.25">
      <c r="A111">
        <v>2</v>
      </c>
      <c r="B111">
        <v>2033</v>
      </c>
      <c r="C111">
        <v>0.125</v>
      </c>
      <c r="D111">
        <v>0.48099999999999998</v>
      </c>
      <c r="E111">
        <v>0.3</v>
      </c>
      <c r="F111">
        <v>0</v>
      </c>
    </row>
    <row r="112" spans="1:6" x14ac:dyDescent="0.25">
      <c r="A112">
        <v>3</v>
      </c>
      <c r="B112">
        <v>2033</v>
      </c>
      <c r="C112">
        <v>0.125</v>
      </c>
      <c r="D112">
        <v>0.48099999999999998</v>
      </c>
      <c r="E112">
        <v>0.3</v>
      </c>
      <c r="F112">
        <v>0</v>
      </c>
    </row>
    <row r="113" spans="1:6" x14ac:dyDescent="0.25">
      <c r="A113">
        <v>4</v>
      </c>
      <c r="B113">
        <v>2033</v>
      </c>
      <c r="C113">
        <v>0.125</v>
      </c>
      <c r="D113">
        <v>0.48099999999999998</v>
      </c>
      <c r="E113">
        <v>0.3</v>
      </c>
      <c r="F113">
        <v>0</v>
      </c>
    </row>
    <row r="114" spans="1:6" x14ac:dyDescent="0.25">
      <c r="A114">
        <v>5</v>
      </c>
      <c r="B114">
        <v>2033</v>
      </c>
      <c r="C114">
        <v>0.125</v>
      </c>
      <c r="D114">
        <v>0.48099999999999998</v>
      </c>
      <c r="E114">
        <v>0.3</v>
      </c>
      <c r="F114">
        <v>0</v>
      </c>
    </row>
    <row r="115" spans="1:6" x14ac:dyDescent="0.25">
      <c r="A115">
        <v>6</v>
      </c>
      <c r="B115">
        <v>2033</v>
      </c>
      <c r="C115">
        <v>0.125</v>
      </c>
      <c r="D115">
        <v>0.48099999999999998</v>
      </c>
      <c r="E115">
        <v>0.3</v>
      </c>
      <c r="F115">
        <v>0</v>
      </c>
    </row>
    <row r="116" spans="1:6" x14ac:dyDescent="0.25">
      <c r="A116">
        <v>7</v>
      </c>
      <c r="B116">
        <v>2033</v>
      </c>
      <c r="C116">
        <v>0.125</v>
      </c>
      <c r="D116">
        <v>0.48099999999999998</v>
      </c>
      <c r="E116">
        <v>0.3</v>
      </c>
      <c r="F116">
        <v>0</v>
      </c>
    </row>
    <row r="117" spans="1:6" x14ac:dyDescent="0.25">
      <c r="A117">
        <v>8</v>
      </c>
      <c r="B117">
        <v>2033</v>
      </c>
      <c r="C117">
        <v>0.125</v>
      </c>
      <c r="D117">
        <v>0.48099999999999998</v>
      </c>
      <c r="E117">
        <v>0.3</v>
      </c>
      <c r="F117">
        <v>0</v>
      </c>
    </row>
    <row r="118" spans="1:6" x14ac:dyDescent="0.25">
      <c r="A118">
        <v>9</v>
      </c>
      <c r="B118">
        <v>2033</v>
      </c>
      <c r="C118">
        <v>0.125</v>
      </c>
      <c r="D118">
        <v>0.48099999999999998</v>
      </c>
      <c r="E118">
        <v>0.3</v>
      </c>
      <c r="F118">
        <v>0</v>
      </c>
    </row>
    <row r="119" spans="1:6" x14ac:dyDescent="0.25">
      <c r="A119">
        <v>10</v>
      </c>
      <c r="B119">
        <v>2033</v>
      </c>
      <c r="C119">
        <v>0.125</v>
      </c>
      <c r="D119">
        <v>0.48099999999999998</v>
      </c>
      <c r="E119">
        <v>0.3</v>
      </c>
      <c r="F119">
        <v>0</v>
      </c>
    </row>
    <row r="120" spans="1:6" x14ac:dyDescent="0.25">
      <c r="A120">
        <v>11</v>
      </c>
      <c r="B120">
        <v>2033</v>
      </c>
      <c r="C120">
        <v>0.125</v>
      </c>
      <c r="D120">
        <v>0.48099999999999998</v>
      </c>
      <c r="E120">
        <v>0.3</v>
      </c>
      <c r="F120">
        <v>0</v>
      </c>
    </row>
    <row r="121" spans="1:6" x14ac:dyDescent="0.25">
      <c r="A121">
        <v>12</v>
      </c>
      <c r="B121">
        <v>2033</v>
      </c>
      <c r="C121">
        <v>0.125</v>
      </c>
      <c r="D121">
        <v>0.48099999999999998</v>
      </c>
      <c r="E121">
        <v>0.3</v>
      </c>
      <c r="F121">
        <v>0</v>
      </c>
    </row>
    <row r="122" spans="1:6" x14ac:dyDescent="0.25">
      <c r="A122">
        <v>1</v>
      </c>
      <c r="B122">
        <v>2034</v>
      </c>
      <c r="C122">
        <v>0.125</v>
      </c>
      <c r="D122">
        <v>0.48099999999999998</v>
      </c>
      <c r="E122">
        <v>0.3</v>
      </c>
      <c r="F122">
        <v>0</v>
      </c>
    </row>
    <row r="123" spans="1:6" x14ac:dyDescent="0.25">
      <c r="A123">
        <v>2</v>
      </c>
      <c r="B123">
        <v>2034</v>
      </c>
      <c r="C123">
        <v>0.125</v>
      </c>
      <c r="D123">
        <v>0.48099999999999998</v>
      </c>
      <c r="E123">
        <v>0.3</v>
      </c>
      <c r="F123">
        <v>0</v>
      </c>
    </row>
    <row r="124" spans="1:6" x14ac:dyDescent="0.25">
      <c r="A124">
        <v>3</v>
      </c>
      <c r="B124">
        <v>2034</v>
      </c>
      <c r="C124">
        <v>0.125</v>
      </c>
      <c r="D124">
        <v>0.48099999999999998</v>
      </c>
      <c r="E124">
        <v>0.3</v>
      </c>
      <c r="F124">
        <v>0</v>
      </c>
    </row>
    <row r="125" spans="1:6" x14ac:dyDescent="0.25">
      <c r="A125">
        <v>4</v>
      </c>
      <c r="B125">
        <v>2034</v>
      </c>
      <c r="C125">
        <v>0.125</v>
      </c>
      <c r="D125">
        <v>0.48099999999999998</v>
      </c>
      <c r="E125">
        <v>0.3</v>
      </c>
      <c r="F125">
        <v>0</v>
      </c>
    </row>
    <row r="126" spans="1:6" x14ac:dyDescent="0.25">
      <c r="A126">
        <v>5</v>
      </c>
      <c r="B126">
        <v>2034</v>
      </c>
      <c r="C126">
        <v>0.125</v>
      </c>
      <c r="D126">
        <v>0.48099999999999998</v>
      </c>
      <c r="E126">
        <v>0.3</v>
      </c>
      <c r="F126">
        <v>0</v>
      </c>
    </row>
    <row r="127" spans="1:6" x14ac:dyDescent="0.25">
      <c r="A127">
        <v>6</v>
      </c>
      <c r="B127">
        <v>2034</v>
      </c>
      <c r="C127">
        <v>0.125</v>
      </c>
      <c r="D127">
        <v>0.48099999999999998</v>
      </c>
      <c r="E127">
        <v>0.3</v>
      </c>
      <c r="F127">
        <v>0</v>
      </c>
    </row>
    <row r="128" spans="1:6" x14ac:dyDescent="0.25">
      <c r="A128">
        <v>7</v>
      </c>
      <c r="B128">
        <v>2034</v>
      </c>
      <c r="C128">
        <v>0.125</v>
      </c>
      <c r="D128">
        <v>0.48099999999999998</v>
      </c>
      <c r="E128">
        <v>0.3</v>
      </c>
      <c r="F128">
        <v>0</v>
      </c>
    </row>
    <row r="129" spans="1:6" x14ac:dyDescent="0.25">
      <c r="A129">
        <v>8</v>
      </c>
      <c r="B129">
        <v>2034</v>
      </c>
      <c r="C129">
        <v>0.125</v>
      </c>
      <c r="D129">
        <v>0.48099999999999998</v>
      </c>
      <c r="E129">
        <v>0.3</v>
      </c>
      <c r="F129">
        <v>0</v>
      </c>
    </row>
    <row r="130" spans="1:6" x14ac:dyDescent="0.25">
      <c r="A130">
        <v>9</v>
      </c>
      <c r="B130">
        <v>2034</v>
      </c>
      <c r="C130">
        <v>0.125</v>
      </c>
      <c r="D130">
        <v>0.48099999999999998</v>
      </c>
      <c r="E130">
        <v>0.3</v>
      </c>
      <c r="F130">
        <v>0</v>
      </c>
    </row>
    <row r="131" spans="1:6" x14ac:dyDescent="0.25">
      <c r="A131">
        <v>10</v>
      </c>
      <c r="B131">
        <v>2034</v>
      </c>
      <c r="C131">
        <v>0.125</v>
      </c>
      <c r="D131">
        <v>0.48099999999999998</v>
      </c>
      <c r="E131">
        <v>0.3</v>
      </c>
      <c r="F131">
        <v>0</v>
      </c>
    </row>
    <row r="132" spans="1:6" x14ac:dyDescent="0.25">
      <c r="A132">
        <v>11</v>
      </c>
      <c r="B132">
        <v>2034</v>
      </c>
      <c r="C132">
        <v>0.125</v>
      </c>
      <c r="D132">
        <v>0.48099999999999998</v>
      </c>
      <c r="E132">
        <v>0.3</v>
      </c>
      <c r="F132">
        <v>0</v>
      </c>
    </row>
    <row r="133" spans="1:6" x14ac:dyDescent="0.25">
      <c r="A133">
        <v>12</v>
      </c>
      <c r="B133">
        <v>2034</v>
      </c>
      <c r="C133">
        <v>0.125</v>
      </c>
      <c r="D133">
        <v>0.48099999999999998</v>
      </c>
      <c r="E133">
        <v>0.3</v>
      </c>
      <c r="F133">
        <v>0</v>
      </c>
    </row>
    <row r="134" spans="1:6" x14ac:dyDescent="0.25">
      <c r="A134">
        <v>1</v>
      </c>
      <c r="B134">
        <v>2035</v>
      </c>
      <c r="C134">
        <v>0.125</v>
      </c>
      <c r="D134">
        <v>0.48099999999999998</v>
      </c>
      <c r="E134">
        <v>0.3</v>
      </c>
      <c r="F134">
        <v>0</v>
      </c>
    </row>
    <row r="135" spans="1:6" x14ac:dyDescent="0.25">
      <c r="A135">
        <v>2</v>
      </c>
      <c r="B135">
        <v>2035</v>
      </c>
      <c r="C135">
        <v>0.125</v>
      </c>
      <c r="D135">
        <v>0.48099999999999998</v>
      </c>
      <c r="E135">
        <v>0.3</v>
      </c>
      <c r="F135">
        <v>0</v>
      </c>
    </row>
    <row r="136" spans="1:6" x14ac:dyDescent="0.25">
      <c r="A136">
        <v>3</v>
      </c>
      <c r="B136">
        <v>2035</v>
      </c>
      <c r="C136">
        <v>0.125</v>
      </c>
      <c r="D136">
        <v>0.48099999999999998</v>
      </c>
      <c r="E136">
        <v>0.3</v>
      </c>
      <c r="F136">
        <v>0</v>
      </c>
    </row>
    <row r="137" spans="1:6" x14ac:dyDescent="0.25">
      <c r="A137">
        <v>4</v>
      </c>
      <c r="B137">
        <v>2035</v>
      </c>
      <c r="C137">
        <v>0.125</v>
      </c>
      <c r="D137">
        <v>0.48099999999999998</v>
      </c>
      <c r="E137">
        <v>0.3</v>
      </c>
      <c r="F137">
        <v>0</v>
      </c>
    </row>
    <row r="138" spans="1:6" x14ac:dyDescent="0.25">
      <c r="A138">
        <v>5</v>
      </c>
      <c r="B138">
        <v>2035</v>
      </c>
      <c r="C138">
        <v>0.125</v>
      </c>
      <c r="D138">
        <v>0.48099999999999998</v>
      </c>
      <c r="E138">
        <v>0.3</v>
      </c>
      <c r="F138">
        <v>0</v>
      </c>
    </row>
    <row r="139" spans="1:6" x14ac:dyDescent="0.25">
      <c r="A139">
        <v>6</v>
      </c>
      <c r="B139">
        <v>2035</v>
      </c>
      <c r="C139">
        <v>0.125</v>
      </c>
      <c r="D139">
        <v>0.48099999999999998</v>
      </c>
      <c r="E139">
        <v>0.3</v>
      </c>
      <c r="F139">
        <v>0</v>
      </c>
    </row>
    <row r="140" spans="1:6" x14ac:dyDescent="0.25">
      <c r="A140">
        <v>7</v>
      </c>
      <c r="B140">
        <v>2035</v>
      </c>
      <c r="C140">
        <v>0.125</v>
      </c>
      <c r="D140">
        <v>0.48099999999999998</v>
      </c>
      <c r="E140">
        <v>0.3</v>
      </c>
      <c r="F140">
        <v>0</v>
      </c>
    </row>
    <row r="141" spans="1:6" x14ac:dyDescent="0.25">
      <c r="A141">
        <v>8</v>
      </c>
      <c r="B141">
        <v>2035</v>
      </c>
      <c r="C141">
        <v>0.125</v>
      </c>
      <c r="D141">
        <v>0.48099999999999998</v>
      </c>
      <c r="E141">
        <v>0.3</v>
      </c>
      <c r="F141">
        <v>0</v>
      </c>
    </row>
    <row r="142" spans="1:6" x14ac:dyDescent="0.25">
      <c r="A142">
        <v>9</v>
      </c>
      <c r="B142">
        <v>2035</v>
      </c>
      <c r="C142">
        <v>0.125</v>
      </c>
      <c r="D142">
        <v>0.48099999999999998</v>
      </c>
      <c r="E142">
        <v>0.3</v>
      </c>
      <c r="F142">
        <v>0</v>
      </c>
    </row>
    <row r="143" spans="1:6" x14ac:dyDescent="0.25">
      <c r="A143">
        <v>10</v>
      </c>
      <c r="B143">
        <v>2035</v>
      </c>
      <c r="C143">
        <v>0.125</v>
      </c>
      <c r="D143">
        <v>0.48099999999999998</v>
      </c>
      <c r="E143">
        <v>0.3</v>
      </c>
      <c r="F143">
        <v>0</v>
      </c>
    </row>
    <row r="144" spans="1:6" x14ac:dyDescent="0.25">
      <c r="A144">
        <v>11</v>
      </c>
      <c r="B144">
        <v>2035</v>
      </c>
      <c r="C144">
        <v>0.125</v>
      </c>
      <c r="D144">
        <v>0.48099999999999998</v>
      </c>
      <c r="E144">
        <v>0.3</v>
      </c>
      <c r="F144">
        <v>0</v>
      </c>
    </row>
    <row r="145" spans="1:6" x14ac:dyDescent="0.25">
      <c r="A145">
        <v>12</v>
      </c>
      <c r="B145">
        <v>2035</v>
      </c>
      <c r="C145">
        <v>0.125</v>
      </c>
      <c r="D145">
        <v>0.48099999999999998</v>
      </c>
      <c r="E145">
        <v>0.3</v>
      </c>
      <c r="F145">
        <v>0</v>
      </c>
    </row>
    <row r="146" spans="1:6" x14ac:dyDescent="0.25">
      <c r="A146">
        <v>1</v>
      </c>
      <c r="B146">
        <v>2036</v>
      </c>
      <c r="C146">
        <v>0.125</v>
      </c>
      <c r="D146">
        <v>0.48099999999999998</v>
      </c>
      <c r="E146">
        <v>0.3</v>
      </c>
      <c r="F146">
        <v>0</v>
      </c>
    </row>
    <row r="147" spans="1:6" x14ac:dyDescent="0.25">
      <c r="A147">
        <v>2</v>
      </c>
      <c r="B147">
        <v>2036</v>
      </c>
      <c r="C147">
        <v>0.125</v>
      </c>
      <c r="D147">
        <v>0.48099999999999998</v>
      </c>
      <c r="E147">
        <v>0.3</v>
      </c>
      <c r="F147">
        <v>0</v>
      </c>
    </row>
    <row r="148" spans="1:6" x14ac:dyDescent="0.25">
      <c r="A148">
        <v>3</v>
      </c>
      <c r="B148">
        <v>2036</v>
      </c>
      <c r="C148">
        <v>0.125</v>
      </c>
      <c r="D148">
        <v>0.48099999999999998</v>
      </c>
      <c r="E148">
        <v>0.3</v>
      </c>
      <c r="F148">
        <v>0</v>
      </c>
    </row>
    <row r="149" spans="1:6" x14ac:dyDescent="0.25">
      <c r="A149">
        <v>4</v>
      </c>
      <c r="B149">
        <v>2036</v>
      </c>
      <c r="C149">
        <v>0.125</v>
      </c>
      <c r="D149">
        <v>0.48099999999999998</v>
      </c>
      <c r="E149">
        <v>0.3</v>
      </c>
      <c r="F149">
        <v>0</v>
      </c>
    </row>
    <row r="150" spans="1:6" x14ac:dyDescent="0.25">
      <c r="A150">
        <v>5</v>
      </c>
      <c r="B150">
        <v>2036</v>
      </c>
      <c r="C150">
        <v>0.125</v>
      </c>
      <c r="D150">
        <v>0.48099999999999998</v>
      </c>
      <c r="E150">
        <v>0.3</v>
      </c>
      <c r="F150">
        <v>0</v>
      </c>
    </row>
    <row r="151" spans="1:6" x14ac:dyDescent="0.25">
      <c r="A151">
        <v>6</v>
      </c>
      <c r="B151">
        <v>2036</v>
      </c>
      <c r="C151">
        <v>0.125</v>
      </c>
      <c r="D151">
        <v>0.48099999999999998</v>
      </c>
      <c r="E151">
        <v>0.3</v>
      </c>
      <c r="F151">
        <v>0</v>
      </c>
    </row>
    <row r="152" spans="1:6" x14ac:dyDescent="0.25">
      <c r="A152">
        <v>7</v>
      </c>
      <c r="B152">
        <v>2036</v>
      </c>
      <c r="C152">
        <v>0.125</v>
      </c>
      <c r="D152">
        <v>0.48099999999999998</v>
      </c>
      <c r="E152">
        <v>0.3</v>
      </c>
      <c r="F152">
        <v>0</v>
      </c>
    </row>
    <row r="153" spans="1:6" x14ac:dyDescent="0.25">
      <c r="A153">
        <v>8</v>
      </c>
      <c r="B153">
        <v>2036</v>
      </c>
      <c r="C153">
        <v>0.125</v>
      </c>
      <c r="D153">
        <v>0.48099999999999998</v>
      </c>
      <c r="E153">
        <v>0.3</v>
      </c>
      <c r="F153">
        <v>0</v>
      </c>
    </row>
    <row r="154" spans="1:6" x14ac:dyDescent="0.25">
      <c r="A154">
        <v>9</v>
      </c>
      <c r="B154">
        <v>2036</v>
      </c>
      <c r="C154">
        <v>0.125</v>
      </c>
      <c r="D154">
        <v>0.48099999999999998</v>
      </c>
      <c r="E154">
        <v>0.3</v>
      </c>
      <c r="F154">
        <v>0</v>
      </c>
    </row>
    <row r="155" spans="1:6" x14ac:dyDescent="0.25">
      <c r="A155">
        <v>10</v>
      </c>
      <c r="B155">
        <v>2036</v>
      </c>
      <c r="C155">
        <v>0.125</v>
      </c>
      <c r="D155">
        <v>0.48099999999999998</v>
      </c>
      <c r="E155">
        <v>0.3</v>
      </c>
      <c r="F155">
        <v>0</v>
      </c>
    </row>
    <row r="156" spans="1:6" x14ac:dyDescent="0.25">
      <c r="A156">
        <v>11</v>
      </c>
      <c r="B156">
        <v>2036</v>
      </c>
      <c r="C156">
        <v>0.125</v>
      </c>
      <c r="D156">
        <v>0.48099999999999998</v>
      </c>
      <c r="E156">
        <v>0.3</v>
      </c>
      <c r="F156">
        <v>0</v>
      </c>
    </row>
    <row r="157" spans="1:6" x14ac:dyDescent="0.25">
      <c r="A157">
        <v>12</v>
      </c>
      <c r="B157">
        <v>2036</v>
      </c>
      <c r="C157">
        <v>0.125</v>
      </c>
      <c r="D157">
        <v>0.48099999999999998</v>
      </c>
      <c r="E157">
        <v>0.3</v>
      </c>
      <c r="F157">
        <v>0</v>
      </c>
    </row>
    <row r="158" spans="1:6" x14ac:dyDescent="0.25">
      <c r="A158">
        <v>1</v>
      </c>
      <c r="B158">
        <v>2037</v>
      </c>
      <c r="C158">
        <v>0.125</v>
      </c>
      <c r="D158">
        <v>0.48099999999999998</v>
      </c>
      <c r="E158">
        <v>0.3</v>
      </c>
      <c r="F158">
        <v>0</v>
      </c>
    </row>
    <row r="159" spans="1:6" x14ac:dyDescent="0.25">
      <c r="A159">
        <v>2</v>
      </c>
      <c r="B159">
        <v>2037</v>
      </c>
      <c r="C159">
        <v>0.125</v>
      </c>
      <c r="D159">
        <v>0.48099999999999998</v>
      </c>
      <c r="E159">
        <v>0.3</v>
      </c>
      <c r="F159">
        <v>0</v>
      </c>
    </row>
    <row r="160" spans="1:6" x14ac:dyDescent="0.25">
      <c r="A160">
        <v>3</v>
      </c>
      <c r="B160">
        <v>2037</v>
      </c>
      <c r="C160">
        <v>0.125</v>
      </c>
      <c r="D160">
        <v>0.48099999999999998</v>
      </c>
      <c r="E160">
        <v>0.3</v>
      </c>
      <c r="F160">
        <v>0</v>
      </c>
    </row>
    <row r="161" spans="1:6" x14ac:dyDescent="0.25">
      <c r="A161">
        <v>4</v>
      </c>
      <c r="B161">
        <v>2037</v>
      </c>
      <c r="C161">
        <v>0.125</v>
      </c>
      <c r="D161">
        <v>0.48099999999999998</v>
      </c>
      <c r="E161">
        <v>0.3</v>
      </c>
      <c r="F161">
        <v>0</v>
      </c>
    </row>
    <row r="162" spans="1:6" x14ac:dyDescent="0.25">
      <c r="A162">
        <v>5</v>
      </c>
      <c r="B162">
        <v>2037</v>
      </c>
      <c r="C162">
        <v>0.125</v>
      </c>
      <c r="D162">
        <v>0.48099999999999998</v>
      </c>
      <c r="E162">
        <v>0.3</v>
      </c>
      <c r="F162">
        <v>0</v>
      </c>
    </row>
    <row r="163" spans="1:6" x14ac:dyDescent="0.25">
      <c r="A163">
        <v>6</v>
      </c>
      <c r="B163">
        <v>2037</v>
      </c>
      <c r="C163">
        <v>0.125</v>
      </c>
      <c r="D163">
        <v>0.48099999999999998</v>
      </c>
      <c r="E163">
        <v>0.3</v>
      </c>
      <c r="F163">
        <v>0</v>
      </c>
    </row>
    <row r="164" spans="1:6" x14ac:dyDescent="0.25">
      <c r="A164">
        <v>7</v>
      </c>
      <c r="B164">
        <v>2037</v>
      </c>
      <c r="C164">
        <v>0.125</v>
      </c>
      <c r="D164">
        <v>0.48099999999999998</v>
      </c>
      <c r="E164">
        <v>0.3</v>
      </c>
      <c r="F164">
        <v>0</v>
      </c>
    </row>
    <row r="165" spans="1:6" x14ac:dyDescent="0.25">
      <c r="A165">
        <v>8</v>
      </c>
      <c r="B165">
        <v>2037</v>
      </c>
      <c r="C165">
        <v>0.125</v>
      </c>
      <c r="D165">
        <v>0.48099999999999998</v>
      </c>
      <c r="E165">
        <v>0.3</v>
      </c>
      <c r="F165">
        <v>0</v>
      </c>
    </row>
    <row r="166" spans="1:6" x14ac:dyDescent="0.25">
      <c r="A166">
        <v>9</v>
      </c>
      <c r="B166">
        <v>2037</v>
      </c>
      <c r="C166">
        <v>0.125</v>
      </c>
      <c r="D166">
        <v>0.48099999999999998</v>
      </c>
      <c r="E166">
        <v>0.3</v>
      </c>
      <c r="F166">
        <v>0</v>
      </c>
    </row>
    <row r="167" spans="1:6" x14ac:dyDescent="0.25">
      <c r="A167">
        <v>10</v>
      </c>
      <c r="B167">
        <v>2037</v>
      </c>
      <c r="C167">
        <v>0.125</v>
      </c>
      <c r="D167">
        <v>0.48099999999999998</v>
      </c>
      <c r="E167">
        <v>0.3</v>
      </c>
      <c r="F167">
        <v>0</v>
      </c>
    </row>
    <row r="168" spans="1:6" x14ac:dyDescent="0.25">
      <c r="A168">
        <v>11</v>
      </c>
      <c r="B168">
        <v>2037</v>
      </c>
      <c r="C168">
        <v>0.125</v>
      </c>
      <c r="D168">
        <v>0.48099999999999998</v>
      </c>
      <c r="E168">
        <v>0.3</v>
      </c>
      <c r="F168">
        <v>0</v>
      </c>
    </row>
    <row r="169" spans="1:6" x14ac:dyDescent="0.25">
      <c r="A169">
        <v>12</v>
      </c>
      <c r="B169">
        <v>2037</v>
      </c>
      <c r="C169">
        <v>0.125</v>
      </c>
      <c r="D169">
        <v>0.48099999999999998</v>
      </c>
      <c r="E169">
        <v>0.3</v>
      </c>
      <c r="F169">
        <v>0</v>
      </c>
    </row>
    <row r="170" spans="1:6" x14ac:dyDescent="0.25">
      <c r="A170">
        <v>1</v>
      </c>
      <c r="B170">
        <v>2038</v>
      </c>
      <c r="C170">
        <v>0.125</v>
      </c>
      <c r="D170">
        <v>0.48099999999999998</v>
      </c>
      <c r="E170">
        <v>0.3</v>
      </c>
      <c r="F170">
        <v>0</v>
      </c>
    </row>
    <row r="171" spans="1:6" x14ac:dyDescent="0.25">
      <c r="A171">
        <v>2</v>
      </c>
      <c r="B171">
        <v>2038</v>
      </c>
      <c r="C171">
        <v>0.125</v>
      </c>
      <c r="D171">
        <v>0.48099999999999998</v>
      </c>
      <c r="E171">
        <v>0.3</v>
      </c>
      <c r="F171">
        <v>0</v>
      </c>
    </row>
    <row r="172" spans="1:6" x14ac:dyDescent="0.25">
      <c r="A172">
        <v>3</v>
      </c>
      <c r="B172">
        <v>2038</v>
      </c>
      <c r="C172">
        <v>0.125</v>
      </c>
      <c r="D172">
        <v>0.48099999999999998</v>
      </c>
      <c r="E172">
        <v>0.3</v>
      </c>
      <c r="F172">
        <v>0</v>
      </c>
    </row>
    <row r="173" spans="1:6" x14ac:dyDescent="0.25">
      <c r="A173">
        <v>4</v>
      </c>
      <c r="B173">
        <v>2038</v>
      </c>
      <c r="C173">
        <v>0.125</v>
      </c>
      <c r="D173">
        <v>0.48099999999999998</v>
      </c>
      <c r="E173">
        <v>0.3</v>
      </c>
      <c r="F173">
        <v>0</v>
      </c>
    </row>
    <row r="174" spans="1:6" x14ac:dyDescent="0.25">
      <c r="A174">
        <v>5</v>
      </c>
      <c r="B174">
        <v>2038</v>
      </c>
      <c r="C174">
        <v>0.125</v>
      </c>
      <c r="D174">
        <v>0.48099999999999998</v>
      </c>
      <c r="E174">
        <v>0.3</v>
      </c>
      <c r="F174">
        <v>0</v>
      </c>
    </row>
    <row r="175" spans="1:6" x14ac:dyDescent="0.25">
      <c r="A175">
        <v>6</v>
      </c>
      <c r="B175">
        <v>2038</v>
      </c>
      <c r="C175">
        <v>0.125</v>
      </c>
      <c r="D175">
        <v>0.48099999999999998</v>
      </c>
      <c r="E175">
        <v>0.3</v>
      </c>
      <c r="F175">
        <v>0</v>
      </c>
    </row>
    <row r="176" spans="1:6" x14ac:dyDescent="0.25">
      <c r="A176">
        <v>7</v>
      </c>
      <c r="B176">
        <v>2038</v>
      </c>
      <c r="C176">
        <v>0.125</v>
      </c>
      <c r="D176">
        <v>0.48099999999999998</v>
      </c>
      <c r="E176">
        <v>0.3</v>
      </c>
      <c r="F176">
        <v>0</v>
      </c>
    </row>
    <row r="177" spans="1:6" x14ac:dyDescent="0.25">
      <c r="A177">
        <v>8</v>
      </c>
      <c r="B177">
        <v>2038</v>
      </c>
      <c r="C177">
        <v>0.125</v>
      </c>
      <c r="D177">
        <v>0.48099999999999998</v>
      </c>
      <c r="E177">
        <v>0.3</v>
      </c>
      <c r="F177">
        <v>0</v>
      </c>
    </row>
    <row r="178" spans="1:6" x14ac:dyDescent="0.25">
      <c r="A178">
        <v>9</v>
      </c>
      <c r="B178">
        <v>2038</v>
      </c>
      <c r="C178">
        <v>0.125</v>
      </c>
      <c r="D178">
        <v>0.48099999999999998</v>
      </c>
      <c r="E178">
        <v>0.3</v>
      </c>
      <c r="F178">
        <v>0</v>
      </c>
    </row>
    <row r="179" spans="1:6" x14ac:dyDescent="0.25">
      <c r="A179">
        <v>10</v>
      </c>
      <c r="B179">
        <v>2038</v>
      </c>
      <c r="C179">
        <v>0.125</v>
      </c>
      <c r="D179">
        <v>0.48099999999999998</v>
      </c>
      <c r="E179">
        <v>0.3</v>
      </c>
      <c r="F179">
        <v>0</v>
      </c>
    </row>
    <row r="180" spans="1:6" x14ac:dyDescent="0.25">
      <c r="A180">
        <v>11</v>
      </c>
      <c r="B180">
        <v>2038</v>
      </c>
      <c r="C180">
        <v>0.125</v>
      </c>
      <c r="D180">
        <v>0.48099999999999998</v>
      </c>
      <c r="E180">
        <v>0.3</v>
      </c>
      <c r="F180">
        <v>0</v>
      </c>
    </row>
    <row r="181" spans="1:6" x14ac:dyDescent="0.25">
      <c r="A181">
        <v>12</v>
      </c>
      <c r="B181">
        <v>2038</v>
      </c>
      <c r="C181">
        <v>0.125</v>
      </c>
      <c r="D181">
        <v>0.48099999999999998</v>
      </c>
      <c r="E181">
        <v>0.3</v>
      </c>
      <c r="F181">
        <v>0</v>
      </c>
    </row>
    <row r="182" spans="1:6" x14ac:dyDescent="0.25">
      <c r="A182">
        <v>1</v>
      </c>
      <c r="B182">
        <v>2039</v>
      </c>
      <c r="C182">
        <v>0.125</v>
      </c>
      <c r="D182">
        <v>0.48099999999999998</v>
      </c>
      <c r="E182">
        <v>0.3</v>
      </c>
      <c r="F182">
        <v>0</v>
      </c>
    </row>
    <row r="183" spans="1:6" x14ac:dyDescent="0.25">
      <c r="A183">
        <v>2</v>
      </c>
      <c r="B183">
        <v>2039</v>
      </c>
      <c r="C183">
        <v>0.125</v>
      </c>
      <c r="D183">
        <v>0.48099999999999998</v>
      </c>
      <c r="E183">
        <v>0.3</v>
      </c>
      <c r="F183">
        <v>0</v>
      </c>
    </row>
    <row r="184" spans="1:6" x14ac:dyDescent="0.25">
      <c r="A184">
        <v>3</v>
      </c>
      <c r="B184">
        <v>2039</v>
      </c>
      <c r="C184">
        <v>0.125</v>
      </c>
      <c r="D184">
        <v>0.48099999999999998</v>
      </c>
      <c r="E184">
        <v>0.3</v>
      </c>
      <c r="F184">
        <v>0</v>
      </c>
    </row>
    <row r="185" spans="1:6" x14ac:dyDescent="0.25">
      <c r="A185">
        <v>4</v>
      </c>
      <c r="B185">
        <v>2039</v>
      </c>
      <c r="C185">
        <v>0.125</v>
      </c>
      <c r="D185">
        <v>0.48099999999999998</v>
      </c>
      <c r="E185">
        <v>0.3</v>
      </c>
      <c r="F185">
        <v>0</v>
      </c>
    </row>
    <row r="186" spans="1:6" x14ac:dyDescent="0.25">
      <c r="A186">
        <v>5</v>
      </c>
      <c r="B186">
        <v>2039</v>
      </c>
      <c r="C186">
        <v>0.125</v>
      </c>
      <c r="D186">
        <v>0.48099999999999998</v>
      </c>
      <c r="E186">
        <v>0.3</v>
      </c>
      <c r="F186">
        <v>0</v>
      </c>
    </row>
    <row r="187" spans="1:6" x14ac:dyDescent="0.25">
      <c r="A187">
        <v>6</v>
      </c>
      <c r="B187">
        <v>2039</v>
      </c>
      <c r="C187">
        <v>0.125</v>
      </c>
      <c r="D187">
        <v>0.48099999999999998</v>
      </c>
      <c r="E187">
        <v>0.3</v>
      </c>
      <c r="F187">
        <v>0</v>
      </c>
    </row>
    <row r="188" spans="1:6" x14ac:dyDescent="0.25">
      <c r="A188">
        <v>7</v>
      </c>
      <c r="B188">
        <v>2039</v>
      </c>
      <c r="C188">
        <v>0.125</v>
      </c>
      <c r="D188">
        <v>0.48099999999999998</v>
      </c>
      <c r="E188">
        <v>0.3</v>
      </c>
      <c r="F188">
        <v>0</v>
      </c>
    </row>
    <row r="189" spans="1:6" x14ac:dyDescent="0.25">
      <c r="A189">
        <v>8</v>
      </c>
      <c r="B189">
        <v>2039</v>
      </c>
      <c r="C189">
        <v>0.125</v>
      </c>
      <c r="D189">
        <v>0.48099999999999998</v>
      </c>
      <c r="E189">
        <v>0.3</v>
      </c>
      <c r="F189">
        <v>0</v>
      </c>
    </row>
    <row r="190" spans="1:6" x14ac:dyDescent="0.25">
      <c r="A190">
        <v>9</v>
      </c>
      <c r="B190">
        <v>2039</v>
      </c>
      <c r="C190">
        <v>0.125</v>
      </c>
      <c r="D190">
        <v>0.48099999999999998</v>
      </c>
      <c r="E190">
        <v>0.3</v>
      </c>
      <c r="F190">
        <v>0</v>
      </c>
    </row>
    <row r="191" spans="1:6" x14ac:dyDescent="0.25">
      <c r="A191">
        <v>10</v>
      </c>
      <c r="B191">
        <v>2039</v>
      </c>
      <c r="C191">
        <v>0.125</v>
      </c>
      <c r="D191">
        <v>0.48099999999999998</v>
      </c>
      <c r="E191">
        <v>0.3</v>
      </c>
      <c r="F191">
        <v>0</v>
      </c>
    </row>
    <row r="192" spans="1:6" x14ac:dyDescent="0.25">
      <c r="A192">
        <v>11</v>
      </c>
      <c r="B192">
        <v>2039</v>
      </c>
      <c r="C192">
        <v>0.125</v>
      </c>
      <c r="D192">
        <v>0.48099999999999998</v>
      </c>
      <c r="E192">
        <v>0.3</v>
      </c>
      <c r="F192">
        <v>0</v>
      </c>
    </row>
    <row r="193" spans="1:6" x14ac:dyDescent="0.25">
      <c r="A193">
        <v>12</v>
      </c>
      <c r="B193">
        <v>2039</v>
      </c>
      <c r="C193">
        <v>0.125</v>
      </c>
      <c r="D193">
        <v>0.48099999999999998</v>
      </c>
      <c r="E193">
        <v>0.3</v>
      </c>
      <c r="F193">
        <v>0</v>
      </c>
    </row>
    <row r="194" spans="1:6" x14ac:dyDescent="0.25">
      <c r="A194">
        <v>1</v>
      </c>
      <c r="B194">
        <v>2040</v>
      </c>
      <c r="C194">
        <v>0.125</v>
      </c>
      <c r="D194">
        <v>0.48099999999999998</v>
      </c>
      <c r="E194">
        <v>0.3</v>
      </c>
      <c r="F194">
        <v>0</v>
      </c>
    </row>
    <row r="195" spans="1:6" x14ac:dyDescent="0.25">
      <c r="A195">
        <v>2</v>
      </c>
      <c r="B195">
        <v>2040</v>
      </c>
      <c r="C195">
        <v>0.125</v>
      </c>
      <c r="D195">
        <v>0.48099999999999998</v>
      </c>
      <c r="E195">
        <v>0.3</v>
      </c>
      <c r="F195">
        <v>0</v>
      </c>
    </row>
    <row r="196" spans="1:6" x14ac:dyDescent="0.25">
      <c r="A196">
        <v>3</v>
      </c>
      <c r="B196">
        <v>2040</v>
      </c>
      <c r="C196">
        <v>0.125</v>
      </c>
      <c r="D196">
        <v>0.48099999999999998</v>
      </c>
      <c r="E196">
        <v>0.3</v>
      </c>
      <c r="F196">
        <v>0</v>
      </c>
    </row>
    <row r="197" spans="1:6" x14ac:dyDescent="0.25">
      <c r="A197">
        <v>4</v>
      </c>
      <c r="B197">
        <v>2040</v>
      </c>
      <c r="C197">
        <v>0.125</v>
      </c>
      <c r="D197">
        <v>0.48099999999999998</v>
      </c>
      <c r="E197">
        <v>0.3</v>
      </c>
      <c r="F197">
        <v>0</v>
      </c>
    </row>
    <row r="198" spans="1:6" x14ac:dyDescent="0.25">
      <c r="A198">
        <v>5</v>
      </c>
      <c r="B198">
        <v>2040</v>
      </c>
      <c r="C198">
        <v>0.125</v>
      </c>
      <c r="D198">
        <v>0.48099999999999998</v>
      </c>
      <c r="E198">
        <v>0.3</v>
      </c>
      <c r="F198">
        <v>0</v>
      </c>
    </row>
    <row r="199" spans="1:6" x14ac:dyDescent="0.25">
      <c r="A199">
        <v>6</v>
      </c>
      <c r="B199">
        <v>2040</v>
      </c>
      <c r="C199">
        <v>0.125</v>
      </c>
      <c r="D199">
        <v>0.48099999999999998</v>
      </c>
      <c r="E199">
        <v>0.3</v>
      </c>
      <c r="F199">
        <v>0</v>
      </c>
    </row>
    <row r="200" spans="1:6" x14ac:dyDescent="0.25">
      <c r="A200">
        <v>7</v>
      </c>
      <c r="B200">
        <v>2040</v>
      </c>
      <c r="C200">
        <v>0.125</v>
      </c>
      <c r="D200">
        <v>0.48099999999999998</v>
      </c>
      <c r="E200">
        <v>0.3</v>
      </c>
      <c r="F200">
        <v>0</v>
      </c>
    </row>
    <row r="201" spans="1:6" x14ac:dyDescent="0.25">
      <c r="A201">
        <v>8</v>
      </c>
      <c r="B201">
        <v>2040</v>
      </c>
      <c r="C201">
        <v>0.125</v>
      </c>
      <c r="D201">
        <v>0.48099999999999998</v>
      </c>
      <c r="E201">
        <v>0.3</v>
      </c>
      <c r="F201">
        <v>0</v>
      </c>
    </row>
    <row r="202" spans="1:6" x14ac:dyDescent="0.25">
      <c r="A202">
        <v>9</v>
      </c>
      <c r="B202">
        <v>2040</v>
      </c>
      <c r="C202">
        <v>0.125</v>
      </c>
      <c r="D202">
        <v>0.48099999999999998</v>
      </c>
      <c r="E202">
        <v>0.3</v>
      </c>
      <c r="F202">
        <v>0</v>
      </c>
    </row>
    <row r="203" spans="1:6" x14ac:dyDescent="0.25">
      <c r="A203">
        <v>10</v>
      </c>
      <c r="B203">
        <v>2040</v>
      </c>
      <c r="C203">
        <v>0.125</v>
      </c>
      <c r="D203">
        <v>0.48099999999999998</v>
      </c>
      <c r="E203">
        <v>0.3</v>
      </c>
      <c r="F203">
        <v>0</v>
      </c>
    </row>
    <row r="204" spans="1:6" x14ac:dyDescent="0.25">
      <c r="A204">
        <v>11</v>
      </c>
      <c r="B204">
        <v>2040</v>
      </c>
      <c r="C204">
        <v>0.125</v>
      </c>
      <c r="D204">
        <v>0.48099999999999998</v>
      </c>
      <c r="E204">
        <v>0.3</v>
      </c>
      <c r="F204">
        <v>0</v>
      </c>
    </row>
    <row r="205" spans="1:6" x14ac:dyDescent="0.25">
      <c r="A205">
        <v>12</v>
      </c>
      <c r="B205">
        <v>2040</v>
      </c>
      <c r="C205">
        <v>0.125</v>
      </c>
      <c r="D205">
        <v>0.48099999999999998</v>
      </c>
      <c r="E205">
        <v>0.3</v>
      </c>
      <c r="F205">
        <v>0</v>
      </c>
    </row>
    <row r="206" spans="1:6" x14ac:dyDescent="0.25">
      <c r="A206">
        <v>1</v>
      </c>
      <c r="B206">
        <v>2041</v>
      </c>
      <c r="C206">
        <v>0.125</v>
      </c>
      <c r="D206">
        <v>0.48099999999999998</v>
      </c>
      <c r="E206">
        <v>0.3</v>
      </c>
      <c r="F206">
        <v>0</v>
      </c>
    </row>
    <row r="207" spans="1:6" x14ac:dyDescent="0.25">
      <c r="A207">
        <v>2</v>
      </c>
      <c r="B207">
        <v>2041</v>
      </c>
      <c r="C207">
        <v>0.125</v>
      </c>
      <c r="D207">
        <v>0.48099999999999998</v>
      </c>
      <c r="E207">
        <v>0.3</v>
      </c>
      <c r="F207">
        <v>0</v>
      </c>
    </row>
    <row r="208" spans="1:6" x14ac:dyDescent="0.25">
      <c r="A208">
        <v>3</v>
      </c>
      <c r="B208">
        <v>2041</v>
      </c>
      <c r="C208">
        <v>0.125</v>
      </c>
      <c r="D208">
        <v>0.48099999999999998</v>
      </c>
      <c r="E208">
        <v>0.3</v>
      </c>
      <c r="F208">
        <v>0</v>
      </c>
    </row>
    <row r="209" spans="1:6" x14ac:dyDescent="0.25">
      <c r="A209">
        <v>4</v>
      </c>
      <c r="B209">
        <v>2041</v>
      </c>
      <c r="C209">
        <v>0.125</v>
      </c>
      <c r="D209">
        <v>0.48099999999999998</v>
      </c>
      <c r="E209">
        <v>0.3</v>
      </c>
      <c r="F209">
        <v>0</v>
      </c>
    </row>
    <row r="210" spans="1:6" x14ac:dyDescent="0.25">
      <c r="A210">
        <v>5</v>
      </c>
      <c r="B210">
        <v>2041</v>
      </c>
      <c r="C210">
        <v>0.125</v>
      </c>
      <c r="D210">
        <v>0.48099999999999998</v>
      </c>
      <c r="E210">
        <v>0.3</v>
      </c>
      <c r="F210">
        <v>0</v>
      </c>
    </row>
    <row r="211" spans="1:6" x14ac:dyDescent="0.25">
      <c r="A211">
        <v>6</v>
      </c>
      <c r="B211">
        <v>2041</v>
      </c>
      <c r="C211">
        <v>0.125</v>
      </c>
      <c r="D211">
        <v>0.48099999999999998</v>
      </c>
      <c r="E211">
        <v>0.3</v>
      </c>
      <c r="F211">
        <v>0</v>
      </c>
    </row>
    <row r="212" spans="1:6" x14ac:dyDescent="0.25">
      <c r="A212">
        <v>7</v>
      </c>
      <c r="B212">
        <v>2041</v>
      </c>
      <c r="C212">
        <v>0.125</v>
      </c>
      <c r="D212">
        <v>0.48099999999999998</v>
      </c>
      <c r="E212">
        <v>0.3</v>
      </c>
      <c r="F212">
        <v>0</v>
      </c>
    </row>
    <row r="213" spans="1:6" x14ac:dyDescent="0.25">
      <c r="A213">
        <v>8</v>
      </c>
      <c r="B213">
        <v>2041</v>
      </c>
      <c r="C213">
        <v>0.125</v>
      </c>
      <c r="D213">
        <v>0.48099999999999998</v>
      </c>
      <c r="E213">
        <v>0.3</v>
      </c>
      <c r="F213">
        <v>0</v>
      </c>
    </row>
    <row r="214" spans="1:6" x14ac:dyDescent="0.25">
      <c r="A214">
        <v>9</v>
      </c>
      <c r="B214">
        <v>2041</v>
      </c>
      <c r="C214">
        <v>0.125</v>
      </c>
      <c r="D214">
        <v>0.48099999999999998</v>
      </c>
      <c r="E214">
        <v>0.3</v>
      </c>
      <c r="F214">
        <v>0</v>
      </c>
    </row>
    <row r="215" spans="1:6" x14ac:dyDescent="0.25">
      <c r="A215">
        <v>10</v>
      </c>
      <c r="B215">
        <v>2041</v>
      </c>
      <c r="C215">
        <v>0.125</v>
      </c>
      <c r="D215">
        <v>0.48099999999999998</v>
      </c>
      <c r="E215">
        <v>0.3</v>
      </c>
      <c r="F215">
        <v>0</v>
      </c>
    </row>
    <row r="216" spans="1:6" x14ac:dyDescent="0.25">
      <c r="A216">
        <v>11</v>
      </c>
      <c r="B216">
        <v>2041</v>
      </c>
      <c r="C216">
        <v>0.125</v>
      </c>
      <c r="D216">
        <v>0.48099999999999998</v>
      </c>
      <c r="E216">
        <v>0.3</v>
      </c>
      <c r="F216">
        <v>0</v>
      </c>
    </row>
    <row r="217" spans="1:6" x14ac:dyDescent="0.25">
      <c r="A217">
        <v>12</v>
      </c>
      <c r="B217">
        <v>2041</v>
      </c>
      <c r="C217">
        <v>0.125</v>
      </c>
      <c r="D217">
        <v>0.48099999999999998</v>
      </c>
      <c r="E217">
        <v>0.3</v>
      </c>
      <c r="F217">
        <v>0</v>
      </c>
    </row>
    <row r="218" spans="1:6" x14ac:dyDescent="0.25">
      <c r="A218">
        <v>1</v>
      </c>
      <c r="B218">
        <v>2042</v>
      </c>
      <c r="C218">
        <v>0.125</v>
      </c>
      <c r="D218">
        <v>0.48099999999999998</v>
      </c>
      <c r="E218">
        <v>0.3</v>
      </c>
      <c r="F218">
        <v>0</v>
      </c>
    </row>
    <row r="219" spans="1:6" x14ac:dyDescent="0.25">
      <c r="A219">
        <v>2</v>
      </c>
      <c r="B219">
        <v>2042</v>
      </c>
      <c r="C219">
        <v>0.125</v>
      </c>
      <c r="D219">
        <v>0.48099999999999998</v>
      </c>
      <c r="E219">
        <v>0.3</v>
      </c>
      <c r="F219">
        <v>0</v>
      </c>
    </row>
    <row r="220" spans="1:6" x14ac:dyDescent="0.25">
      <c r="A220">
        <v>3</v>
      </c>
      <c r="B220">
        <v>2042</v>
      </c>
      <c r="C220">
        <v>0.125</v>
      </c>
      <c r="D220">
        <v>0.48099999999999998</v>
      </c>
      <c r="E220">
        <v>0.3</v>
      </c>
      <c r="F220">
        <v>0</v>
      </c>
    </row>
    <row r="221" spans="1:6" x14ac:dyDescent="0.25">
      <c r="A221">
        <v>4</v>
      </c>
      <c r="B221">
        <v>2042</v>
      </c>
      <c r="C221">
        <v>0.125</v>
      </c>
      <c r="D221">
        <v>0.48099999999999998</v>
      </c>
      <c r="E221">
        <v>0.3</v>
      </c>
      <c r="F221">
        <v>0</v>
      </c>
    </row>
    <row r="222" spans="1:6" x14ac:dyDescent="0.25">
      <c r="A222">
        <v>5</v>
      </c>
      <c r="B222">
        <v>2042</v>
      </c>
      <c r="C222">
        <v>0.125</v>
      </c>
      <c r="D222">
        <v>0.48099999999999998</v>
      </c>
      <c r="E222">
        <v>0.3</v>
      </c>
      <c r="F222">
        <v>0</v>
      </c>
    </row>
    <row r="223" spans="1:6" x14ac:dyDescent="0.25">
      <c r="A223">
        <v>6</v>
      </c>
      <c r="B223">
        <v>2042</v>
      </c>
      <c r="C223">
        <v>0.125</v>
      </c>
      <c r="D223">
        <v>0.48099999999999998</v>
      </c>
      <c r="E223">
        <v>0.3</v>
      </c>
      <c r="F223">
        <v>0</v>
      </c>
    </row>
    <row r="224" spans="1:6" x14ac:dyDescent="0.25">
      <c r="A224">
        <v>7</v>
      </c>
      <c r="B224">
        <v>2042</v>
      </c>
      <c r="C224">
        <v>0.125</v>
      </c>
      <c r="D224">
        <v>0.48099999999999998</v>
      </c>
      <c r="E224">
        <v>0.3</v>
      </c>
      <c r="F224">
        <v>0</v>
      </c>
    </row>
    <row r="225" spans="1:6" x14ac:dyDescent="0.25">
      <c r="A225">
        <v>8</v>
      </c>
      <c r="B225">
        <v>2042</v>
      </c>
      <c r="C225">
        <v>0.125</v>
      </c>
      <c r="D225">
        <v>0.48099999999999998</v>
      </c>
      <c r="E225">
        <v>0.3</v>
      </c>
      <c r="F225">
        <v>0</v>
      </c>
    </row>
    <row r="226" spans="1:6" x14ac:dyDescent="0.25">
      <c r="A226">
        <v>9</v>
      </c>
      <c r="B226">
        <v>2042</v>
      </c>
      <c r="C226">
        <v>0.125</v>
      </c>
      <c r="D226">
        <v>0.48099999999999998</v>
      </c>
      <c r="E226">
        <v>0.3</v>
      </c>
      <c r="F226">
        <v>0</v>
      </c>
    </row>
    <row r="227" spans="1:6" x14ac:dyDescent="0.25">
      <c r="A227">
        <v>10</v>
      </c>
      <c r="B227">
        <v>2042</v>
      </c>
      <c r="C227">
        <v>0.125</v>
      </c>
      <c r="D227">
        <v>0.48099999999999998</v>
      </c>
      <c r="E227">
        <v>0.3</v>
      </c>
      <c r="F227">
        <v>0</v>
      </c>
    </row>
    <row r="228" spans="1:6" x14ac:dyDescent="0.25">
      <c r="A228">
        <v>11</v>
      </c>
      <c r="B228">
        <v>2042</v>
      </c>
      <c r="C228">
        <v>0.125</v>
      </c>
      <c r="D228">
        <v>0.48099999999999998</v>
      </c>
      <c r="E228">
        <v>0.3</v>
      </c>
      <c r="F228">
        <v>0</v>
      </c>
    </row>
    <row r="229" spans="1:6" x14ac:dyDescent="0.25">
      <c r="A229">
        <v>12</v>
      </c>
      <c r="B229">
        <v>2042</v>
      </c>
      <c r="C229">
        <v>0.125</v>
      </c>
      <c r="D229">
        <v>0.48099999999999998</v>
      </c>
      <c r="E229">
        <v>0.3</v>
      </c>
      <c r="F229">
        <v>0</v>
      </c>
    </row>
    <row r="230" spans="1:6" x14ac:dyDescent="0.25">
      <c r="A230">
        <v>1</v>
      </c>
      <c r="B230">
        <v>2043</v>
      </c>
      <c r="C230">
        <v>0.125</v>
      </c>
      <c r="D230">
        <v>0.48099999999999998</v>
      </c>
      <c r="E230">
        <v>0.3</v>
      </c>
      <c r="F230">
        <v>0</v>
      </c>
    </row>
    <row r="231" spans="1:6" x14ac:dyDescent="0.25">
      <c r="A231">
        <v>2</v>
      </c>
      <c r="B231">
        <v>2043</v>
      </c>
      <c r="C231">
        <v>0.125</v>
      </c>
      <c r="D231">
        <v>0.48099999999999998</v>
      </c>
      <c r="E231">
        <v>0.3</v>
      </c>
      <c r="F231">
        <v>0</v>
      </c>
    </row>
    <row r="232" spans="1:6" x14ac:dyDescent="0.25">
      <c r="A232">
        <v>3</v>
      </c>
      <c r="B232">
        <v>2043</v>
      </c>
      <c r="C232">
        <v>0.125</v>
      </c>
      <c r="D232">
        <v>0.48099999999999998</v>
      </c>
      <c r="E232">
        <v>0.3</v>
      </c>
      <c r="F232">
        <v>0</v>
      </c>
    </row>
    <row r="233" spans="1:6" x14ac:dyDescent="0.25">
      <c r="A233">
        <v>4</v>
      </c>
      <c r="B233">
        <v>2043</v>
      </c>
      <c r="C233">
        <v>0.125</v>
      </c>
      <c r="D233">
        <v>0.48099999999999998</v>
      </c>
      <c r="E233">
        <v>0.3</v>
      </c>
      <c r="F233">
        <v>0</v>
      </c>
    </row>
    <row r="234" spans="1:6" x14ac:dyDescent="0.25">
      <c r="A234">
        <v>5</v>
      </c>
      <c r="B234">
        <v>2043</v>
      </c>
      <c r="C234">
        <v>0.125</v>
      </c>
      <c r="D234">
        <v>0.48099999999999998</v>
      </c>
      <c r="E234">
        <v>0.3</v>
      </c>
      <c r="F234">
        <v>0</v>
      </c>
    </row>
    <row r="235" spans="1:6" x14ac:dyDescent="0.25">
      <c r="A235">
        <v>6</v>
      </c>
      <c r="B235">
        <v>2043</v>
      </c>
      <c r="C235">
        <v>0.125</v>
      </c>
      <c r="D235">
        <v>0.48099999999999998</v>
      </c>
      <c r="E235">
        <v>0.3</v>
      </c>
      <c r="F235">
        <v>0</v>
      </c>
    </row>
    <row r="236" spans="1:6" x14ac:dyDescent="0.25">
      <c r="A236">
        <v>7</v>
      </c>
      <c r="B236">
        <v>2043</v>
      </c>
      <c r="C236">
        <v>0.125</v>
      </c>
      <c r="D236">
        <v>0.48099999999999998</v>
      </c>
      <c r="E236">
        <v>0.3</v>
      </c>
      <c r="F236">
        <v>0</v>
      </c>
    </row>
    <row r="237" spans="1:6" x14ac:dyDescent="0.25">
      <c r="A237">
        <v>8</v>
      </c>
      <c r="B237">
        <v>2043</v>
      </c>
      <c r="C237">
        <v>0.125</v>
      </c>
      <c r="D237">
        <v>0.48099999999999998</v>
      </c>
      <c r="E237">
        <v>0.3</v>
      </c>
      <c r="F237">
        <v>0</v>
      </c>
    </row>
    <row r="238" spans="1:6" x14ac:dyDescent="0.25">
      <c r="A238">
        <v>9</v>
      </c>
      <c r="B238">
        <v>2043</v>
      </c>
      <c r="C238">
        <v>0.125</v>
      </c>
      <c r="D238">
        <v>0.48099999999999998</v>
      </c>
      <c r="E238">
        <v>0.3</v>
      </c>
      <c r="F238">
        <v>0</v>
      </c>
    </row>
    <row r="239" spans="1:6" x14ac:dyDescent="0.25">
      <c r="A239">
        <v>10</v>
      </c>
      <c r="B239">
        <v>2043</v>
      </c>
      <c r="C239">
        <v>0.125</v>
      </c>
      <c r="D239">
        <v>0.48099999999999998</v>
      </c>
      <c r="E239">
        <v>0.3</v>
      </c>
      <c r="F239">
        <v>0</v>
      </c>
    </row>
    <row r="240" spans="1:6" x14ac:dyDescent="0.25">
      <c r="A240">
        <v>11</v>
      </c>
      <c r="B240">
        <v>2043</v>
      </c>
      <c r="C240">
        <v>0.125</v>
      </c>
      <c r="D240">
        <v>0.48099999999999998</v>
      </c>
      <c r="E240">
        <v>0.3</v>
      </c>
      <c r="F240">
        <v>0</v>
      </c>
    </row>
    <row r="241" spans="1:6" x14ac:dyDescent="0.25">
      <c r="A241">
        <v>12</v>
      </c>
      <c r="B241">
        <v>2043</v>
      </c>
      <c r="C241">
        <v>0.125</v>
      </c>
      <c r="D241">
        <v>0.48099999999999998</v>
      </c>
      <c r="E241">
        <v>0.3</v>
      </c>
      <c r="F241">
        <v>0</v>
      </c>
    </row>
    <row r="242" spans="1:6" x14ac:dyDescent="0.25">
      <c r="A242">
        <v>1</v>
      </c>
      <c r="B242">
        <v>2044</v>
      </c>
      <c r="C242">
        <v>0.125</v>
      </c>
      <c r="D242">
        <v>0.48099999999999998</v>
      </c>
      <c r="E242">
        <v>0.3</v>
      </c>
      <c r="F242">
        <v>0</v>
      </c>
    </row>
    <row r="243" spans="1:6" x14ac:dyDescent="0.25">
      <c r="A243">
        <v>2</v>
      </c>
      <c r="B243">
        <v>2044</v>
      </c>
      <c r="C243">
        <v>0.125</v>
      </c>
      <c r="D243">
        <v>0.48099999999999998</v>
      </c>
      <c r="E243">
        <v>0.3</v>
      </c>
      <c r="F243">
        <v>0</v>
      </c>
    </row>
    <row r="244" spans="1:6" x14ac:dyDescent="0.25">
      <c r="A244">
        <v>3</v>
      </c>
      <c r="B244">
        <v>2044</v>
      </c>
      <c r="C244">
        <v>0.125</v>
      </c>
      <c r="D244">
        <v>0.48099999999999998</v>
      </c>
      <c r="E244">
        <v>0.3</v>
      </c>
      <c r="F244">
        <v>0</v>
      </c>
    </row>
    <row r="245" spans="1:6" x14ac:dyDescent="0.25">
      <c r="A245">
        <v>4</v>
      </c>
      <c r="B245">
        <v>2044</v>
      </c>
      <c r="C245">
        <v>0.125</v>
      </c>
      <c r="D245">
        <v>0.48099999999999998</v>
      </c>
      <c r="E245">
        <v>0.3</v>
      </c>
      <c r="F245">
        <v>0</v>
      </c>
    </row>
    <row r="246" spans="1:6" x14ac:dyDescent="0.25">
      <c r="A246">
        <v>5</v>
      </c>
      <c r="B246">
        <v>2044</v>
      </c>
      <c r="C246">
        <v>0.125</v>
      </c>
      <c r="D246">
        <v>0.48099999999999998</v>
      </c>
      <c r="E246">
        <v>0.3</v>
      </c>
      <c r="F246">
        <v>0</v>
      </c>
    </row>
    <row r="247" spans="1:6" x14ac:dyDescent="0.25">
      <c r="A247">
        <v>6</v>
      </c>
      <c r="B247">
        <v>2044</v>
      </c>
      <c r="C247">
        <v>0.125</v>
      </c>
      <c r="D247">
        <v>0.48099999999999998</v>
      </c>
      <c r="E247">
        <v>0.3</v>
      </c>
      <c r="F247">
        <v>0</v>
      </c>
    </row>
    <row r="248" spans="1:6" x14ac:dyDescent="0.25">
      <c r="A248">
        <v>7</v>
      </c>
      <c r="B248">
        <v>2044</v>
      </c>
      <c r="C248">
        <v>0.125</v>
      </c>
      <c r="D248">
        <v>0.48099999999999998</v>
      </c>
      <c r="E248">
        <v>0.3</v>
      </c>
      <c r="F248">
        <v>0</v>
      </c>
    </row>
    <row r="249" spans="1:6" x14ac:dyDescent="0.25">
      <c r="A249">
        <v>8</v>
      </c>
      <c r="B249">
        <v>2044</v>
      </c>
      <c r="C249">
        <v>0.125</v>
      </c>
      <c r="D249">
        <v>0.48099999999999998</v>
      </c>
      <c r="E249">
        <v>0.3</v>
      </c>
      <c r="F249">
        <v>0</v>
      </c>
    </row>
    <row r="250" spans="1:6" x14ac:dyDescent="0.25">
      <c r="A250">
        <v>9</v>
      </c>
      <c r="B250">
        <v>2044</v>
      </c>
      <c r="C250">
        <v>0.125</v>
      </c>
      <c r="D250">
        <v>0.48099999999999998</v>
      </c>
      <c r="E250">
        <v>0.3</v>
      </c>
      <c r="F250">
        <v>0</v>
      </c>
    </row>
    <row r="251" spans="1:6" x14ac:dyDescent="0.25">
      <c r="A251">
        <v>10</v>
      </c>
      <c r="B251">
        <v>2044</v>
      </c>
      <c r="C251">
        <v>0.125</v>
      </c>
      <c r="D251">
        <v>0.48099999999999998</v>
      </c>
      <c r="E251">
        <v>0.3</v>
      </c>
      <c r="F251">
        <v>0</v>
      </c>
    </row>
    <row r="252" spans="1:6" x14ac:dyDescent="0.25">
      <c r="A252">
        <v>11</v>
      </c>
      <c r="B252">
        <v>2044</v>
      </c>
      <c r="C252">
        <v>0.125</v>
      </c>
      <c r="D252">
        <v>0.48099999999999998</v>
      </c>
      <c r="E252">
        <v>0.3</v>
      </c>
      <c r="F252">
        <v>0</v>
      </c>
    </row>
    <row r="253" spans="1:6" x14ac:dyDescent="0.25">
      <c r="A253">
        <v>12</v>
      </c>
      <c r="B253">
        <v>2044</v>
      </c>
      <c r="C253">
        <v>0.125</v>
      </c>
      <c r="D253">
        <v>0.48099999999999998</v>
      </c>
      <c r="E253">
        <v>0.3</v>
      </c>
      <c r="F253">
        <v>0</v>
      </c>
    </row>
    <row r="254" spans="1:6" x14ac:dyDescent="0.25">
      <c r="A254">
        <v>1</v>
      </c>
      <c r="B254">
        <v>2045</v>
      </c>
      <c r="C254">
        <v>0.125</v>
      </c>
      <c r="D254">
        <v>0.48099999999999998</v>
      </c>
      <c r="E254">
        <v>0.3</v>
      </c>
      <c r="F254">
        <v>0</v>
      </c>
    </row>
    <row r="255" spans="1:6" x14ac:dyDescent="0.25">
      <c r="A255">
        <v>2</v>
      </c>
      <c r="B255">
        <v>2045</v>
      </c>
      <c r="C255">
        <v>0.125</v>
      </c>
      <c r="D255">
        <v>0.48099999999999998</v>
      </c>
      <c r="E255">
        <v>0.3</v>
      </c>
      <c r="F255">
        <v>0</v>
      </c>
    </row>
    <row r="256" spans="1:6" x14ac:dyDescent="0.25">
      <c r="A256">
        <v>3</v>
      </c>
      <c r="B256">
        <v>2045</v>
      </c>
      <c r="C256">
        <v>0.125</v>
      </c>
      <c r="D256">
        <v>0.48099999999999998</v>
      </c>
      <c r="E256">
        <v>0.3</v>
      </c>
      <c r="F256">
        <v>0</v>
      </c>
    </row>
    <row r="257" spans="1:6" x14ac:dyDescent="0.25">
      <c r="A257">
        <v>4</v>
      </c>
      <c r="B257">
        <v>2045</v>
      </c>
      <c r="C257">
        <v>0.125</v>
      </c>
      <c r="D257">
        <v>0.48099999999999998</v>
      </c>
      <c r="E257">
        <v>0.3</v>
      </c>
      <c r="F257">
        <v>0</v>
      </c>
    </row>
    <row r="258" spans="1:6" x14ac:dyDescent="0.25">
      <c r="A258">
        <v>5</v>
      </c>
      <c r="B258">
        <v>2045</v>
      </c>
      <c r="C258">
        <v>0.125</v>
      </c>
      <c r="D258">
        <v>0.48099999999999998</v>
      </c>
      <c r="E258">
        <v>0.3</v>
      </c>
      <c r="F258">
        <v>0</v>
      </c>
    </row>
    <row r="259" spans="1:6" x14ac:dyDescent="0.25">
      <c r="A259">
        <v>6</v>
      </c>
      <c r="B259">
        <v>2045</v>
      </c>
      <c r="C259">
        <v>0.125</v>
      </c>
      <c r="D259">
        <v>0.48099999999999998</v>
      </c>
      <c r="E259">
        <v>0.3</v>
      </c>
      <c r="F259">
        <v>0</v>
      </c>
    </row>
    <row r="260" spans="1:6" x14ac:dyDescent="0.25">
      <c r="A260">
        <v>7</v>
      </c>
      <c r="B260">
        <v>2045</v>
      </c>
      <c r="C260">
        <v>0.125</v>
      </c>
      <c r="D260">
        <v>0.48099999999999998</v>
      </c>
      <c r="E260">
        <v>0.3</v>
      </c>
      <c r="F260">
        <v>0</v>
      </c>
    </row>
    <row r="261" spans="1:6" x14ac:dyDescent="0.25">
      <c r="A261">
        <v>8</v>
      </c>
      <c r="B261">
        <v>2045</v>
      </c>
      <c r="C261">
        <v>0.125</v>
      </c>
      <c r="D261">
        <v>0.48099999999999998</v>
      </c>
      <c r="E261">
        <v>0.3</v>
      </c>
      <c r="F261">
        <v>0</v>
      </c>
    </row>
    <row r="262" spans="1:6" x14ac:dyDescent="0.25">
      <c r="A262">
        <v>9</v>
      </c>
      <c r="B262">
        <v>2045</v>
      </c>
      <c r="C262">
        <v>0.125</v>
      </c>
      <c r="D262">
        <v>0.48099999999999998</v>
      </c>
      <c r="E262">
        <v>0.3</v>
      </c>
      <c r="F262">
        <v>0</v>
      </c>
    </row>
    <row r="263" spans="1:6" x14ac:dyDescent="0.25">
      <c r="A263">
        <v>10</v>
      </c>
      <c r="B263">
        <v>2045</v>
      </c>
      <c r="C263">
        <v>0.125</v>
      </c>
      <c r="D263">
        <v>0.48099999999999998</v>
      </c>
      <c r="E263">
        <v>0.3</v>
      </c>
      <c r="F263">
        <v>0</v>
      </c>
    </row>
    <row r="264" spans="1:6" x14ac:dyDescent="0.25">
      <c r="A264">
        <v>11</v>
      </c>
      <c r="B264">
        <v>2045</v>
      </c>
      <c r="C264">
        <v>0.125</v>
      </c>
      <c r="D264">
        <v>0.48099999999999998</v>
      </c>
      <c r="E264">
        <v>0.3</v>
      </c>
      <c r="F264">
        <v>0</v>
      </c>
    </row>
    <row r="265" spans="1:6" x14ac:dyDescent="0.25">
      <c r="A265">
        <v>12</v>
      </c>
      <c r="B265">
        <v>2045</v>
      </c>
      <c r="C265">
        <v>0.125</v>
      </c>
      <c r="D265">
        <v>0.48099999999999998</v>
      </c>
      <c r="E265">
        <v>0.3</v>
      </c>
      <c r="F265">
        <v>0</v>
      </c>
    </row>
    <row r="266" spans="1:6" x14ac:dyDescent="0.25">
      <c r="A266">
        <v>1</v>
      </c>
      <c r="B266">
        <v>2046</v>
      </c>
      <c r="C266">
        <v>0.125</v>
      </c>
      <c r="D266">
        <v>0.48099999999999998</v>
      </c>
      <c r="E266">
        <v>0.3</v>
      </c>
      <c r="F266">
        <v>0</v>
      </c>
    </row>
    <row r="267" spans="1:6" x14ac:dyDescent="0.25">
      <c r="A267">
        <v>2</v>
      </c>
      <c r="B267">
        <v>2046</v>
      </c>
      <c r="C267">
        <v>0.125</v>
      </c>
      <c r="D267">
        <v>0.48099999999999998</v>
      </c>
      <c r="E267">
        <v>0.3</v>
      </c>
      <c r="F267">
        <v>0</v>
      </c>
    </row>
    <row r="268" spans="1:6" x14ac:dyDescent="0.25">
      <c r="A268">
        <v>3</v>
      </c>
      <c r="B268">
        <v>2046</v>
      </c>
      <c r="C268">
        <v>0.125</v>
      </c>
      <c r="D268">
        <v>0.48099999999999998</v>
      </c>
      <c r="E268">
        <v>0.3</v>
      </c>
      <c r="F268">
        <v>0</v>
      </c>
    </row>
    <row r="269" spans="1:6" x14ac:dyDescent="0.25">
      <c r="A269">
        <v>4</v>
      </c>
      <c r="B269">
        <v>2046</v>
      </c>
      <c r="C269">
        <v>0.125</v>
      </c>
      <c r="D269">
        <v>0.48099999999999998</v>
      </c>
      <c r="E269">
        <v>0.3</v>
      </c>
      <c r="F269">
        <v>0</v>
      </c>
    </row>
    <row r="270" spans="1:6" x14ac:dyDescent="0.25">
      <c r="A270">
        <v>5</v>
      </c>
      <c r="B270">
        <v>2046</v>
      </c>
      <c r="C270">
        <v>0.125</v>
      </c>
      <c r="D270">
        <v>0.48099999999999998</v>
      </c>
      <c r="E270">
        <v>0.3</v>
      </c>
      <c r="F270">
        <v>0</v>
      </c>
    </row>
    <row r="271" spans="1:6" x14ac:dyDescent="0.25">
      <c r="A271">
        <v>6</v>
      </c>
      <c r="B271">
        <v>2046</v>
      </c>
      <c r="C271">
        <v>0.125</v>
      </c>
      <c r="D271">
        <v>0.48099999999999998</v>
      </c>
      <c r="E271">
        <v>0.3</v>
      </c>
      <c r="F271">
        <v>0</v>
      </c>
    </row>
    <row r="272" spans="1:6" x14ac:dyDescent="0.25">
      <c r="A272">
        <v>7</v>
      </c>
      <c r="B272">
        <v>2046</v>
      </c>
      <c r="C272">
        <v>0.125</v>
      </c>
      <c r="D272">
        <v>0.48099999999999998</v>
      </c>
      <c r="E272">
        <v>0.3</v>
      </c>
      <c r="F272">
        <v>0</v>
      </c>
    </row>
    <row r="273" spans="1:6" x14ac:dyDescent="0.25">
      <c r="A273">
        <v>8</v>
      </c>
      <c r="B273">
        <v>2046</v>
      </c>
      <c r="C273">
        <v>0.125</v>
      </c>
      <c r="D273">
        <v>0.48099999999999998</v>
      </c>
      <c r="E273">
        <v>0.3</v>
      </c>
      <c r="F273">
        <v>0</v>
      </c>
    </row>
    <row r="274" spans="1:6" x14ac:dyDescent="0.25">
      <c r="A274">
        <v>9</v>
      </c>
      <c r="B274">
        <v>2046</v>
      </c>
      <c r="C274">
        <v>0.125</v>
      </c>
      <c r="D274">
        <v>0.48099999999999998</v>
      </c>
      <c r="E274">
        <v>0.3</v>
      </c>
      <c r="F274">
        <v>0</v>
      </c>
    </row>
    <row r="275" spans="1:6" x14ac:dyDescent="0.25">
      <c r="A275">
        <v>10</v>
      </c>
      <c r="B275">
        <v>2046</v>
      </c>
      <c r="C275">
        <v>0.125</v>
      </c>
      <c r="D275">
        <v>0.48099999999999998</v>
      </c>
      <c r="E275">
        <v>0.3</v>
      </c>
      <c r="F275">
        <v>0</v>
      </c>
    </row>
    <row r="276" spans="1:6" x14ac:dyDescent="0.25">
      <c r="A276">
        <v>11</v>
      </c>
      <c r="B276">
        <v>2046</v>
      </c>
      <c r="C276">
        <v>0.125</v>
      </c>
      <c r="D276">
        <v>0.48099999999999998</v>
      </c>
      <c r="E276">
        <v>0.3</v>
      </c>
      <c r="F276">
        <v>0</v>
      </c>
    </row>
    <row r="277" spans="1:6" x14ac:dyDescent="0.25">
      <c r="A277">
        <v>12</v>
      </c>
      <c r="B277">
        <v>2046</v>
      </c>
      <c r="C277">
        <v>0.125</v>
      </c>
      <c r="D277">
        <v>0.48099999999999998</v>
      </c>
      <c r="E277">
        <v>0.3</v>
      </c>
      <c r="F277">
        <v>0</v>
      </c>
    </row>
    <row r="278" spans="1:6" x14ac:dyDescent="0.25">
      <c r="A278">
        <v>1</v>
      </c>
      <c r="B278">
        <v>2047</v>
      </c>
      <c r="C278">
        <v>0.125</v>
      </c>
      <c r="D278">
        <v>0.48099999999999998</v>
      </c>
      <c r="E278">
        <v>0.3</v>
      </c>
      <c r="F278">
        <v>0</v>
      </c>
    </row>
    <row r="279" spans="1:6" x14ac:dyDescent="0.25">
      <c r="A279">
        <v>2</v>
      </c>
      <c r="B279">
        <v>2047</v>
      </c>
      <c r="C279">
        <v>0.125</v>
      </c>
      <c r="D279">
        <v>0.48099999999999998</v>
      </c>
      <c r="E279">
        <v>0.3</v>
      </c>
      <c r="F279">
        <v>0</v>
      </c>
    </row>
    <row r="280" spans="1:6" x14ac:dyDescent="0.25">
      <c r="A280">
        <v>3</v>
      </c>
      <c r="B280">
        <v>2047</v>
      </c>
      <c r="C280">
        <v>0.125</v>
      </c>
      <c r="D280">
        <v>0.48099999999999998</v>
      </c>
      <c r="E280">
        <v>0.3</v>
      </c>
      <c r="F280">
        <v>0</v>
      </c>
    </row>
    <row r="281" spans="1:6" x14ac:dyDescent="0.25">
      <c r="A281">
        <v>4</v>
      </c>
      <c r="B281">
        <v>2047</v>
      </c>
      <c r="C281">
        <v>0.125</v>
      </c>
      <c r="D281">
        <v>0.48099999999999998</v>
      </c>
      <c r="E281">
        <v>0.3</v>
      </c>
      <c r="F281">
        <v>0</v>
      </c>
    </row>
    <row r="282" spans="1:6" x14ac:dyDescent="0.25">
      <c r="A282">
        <v>5</v>
      </c>
      <c r="B282">
        <v>2047</v>
      </c>
      <c r="C282">
        <v>0.125</v>
      </c>
      <c r="D282">
        <v>0.48099999999999998</v>
      </c>
      <c r="E282">
        <v>0.3</v>
      </c>
      <c r="F282">
        <v>0</v>
      </c>
    </row>
    <row r="283" spans="1:6" x14ac:dyDescent="0.25">
      <c r="A283">
        <v>6</v>
      </c>
      <c r="B283">
        <v>2047</v>
      </c>
      <c r="C283">
        <v>0.125</v>
      </c>
      <c r="D283">
        <v>0.48099999999999998</v>
      </c>
      <c r="E283">
        <v>0.3</v>
      </c>
      <c r="F283">
        <v>0</v>
      </c>
    </row>
    <row r="284" spans="1:6" x14ac:dyDescent="0.25">
      <c r="A284">
        <v>7</v>
      </c>
      <c r="B284">
        <v>2047</v>
      </c>
      <c r="C284">
        <v>0.125</v>
      </c>
      <c r="D284">
        <v>0.48099999999999998</v>
      </c>
      <c r="E284">
        <v>0.3</v>
      </c>
      <c r="F284">
        <v>0</v>
      </c>
    </row>
    <row r="285" spans="1:6" x14ac:dyDescent="0.25">
      <c r="A285">
        <v>8</v>
      </c>
      <c r="B285">
        <v>2047</v>
      </c>
      <c r="C285">
        <v>0.125</v>
      </c>
      <c r="D285">
        <v>0.48099999999999998</v>
      </c>
      <c r="E285">
        <v>0.3</v>
      </c>
      <c r="F285">
        <v>0</v>
      </c>
    </row>
    <row r="286" spans="1:6" x14ac:dyDescent="0.25">
      <c r="A286">
        <v>9</v>
      </c>
      <c r="B286">
        <v>2047</v>
      </c>
      <c r="C286">
        <v>0.125</v>
      </c>
      <c r="D286">
        <v>0.48099999999999998</v>
      </c>
      <c r="E286">
        <v>0.3</v>
      </c>
      <c r="F286">
        <v>0</v>
      </c>
    </row>
    <row r="287" spans="1:6" x14ac:dyDescent="0.25">
      <c r="A287">
        <v>10</v>
      </c>
      <c r="B287">
        <v>2047</v>
      </c>
      <c r="C287">
        <v>0.125</v>
      </c>
      <c r="D287">
        <v>0.48099999999999998</v>
      </c>
      <c r="E287">
        <v>0.3</v>
      </c>
      <c r="F287">
        <v>0</v>
      </c>
    </row>
    <row r="288" spans="1:6" x14ac:dyDescent="0.25">
      <c r="A288">
        <v>11</v>
      </c>
      <c r="B288">
        <v>2047</v>
      </c>
      <c r="C288">
        <v>0.125</v>
      </c>
      <c r="D288">
        <v>0.48099999999999998</v>
      </c>
      <c r="E288">
        <v>0.3</v>
      </c>
      <c r="F288">
        <v>0</v>
      </c>
    </row>
    <row r="289" spans="1:6" x14ac:dyDescent="0.25">
      <c r="A289">
        <v>12</v>
      </c>
      <c r="B289">
        <v>2047</v>
      </c>
      <c r="C289">
        <v>0.125</v>
      </c>
      <c r="D289">
        <v>0.48099999999999998</v>
      </c>
      <c r="E289">
        <v>0.3</v>
      </c>
      <c r="F289">
        <v>0</v>
      </c>
    </row>
    <row r="290" spans="1:6" x14ac:dyDescent="0.25">
      <c r="A290">
        <v>1</v>
      </c>
      <c r="B290">
        <v>2048</v>
      </c>
      <c r="C290">
        <v>0.125</v>
      </c>
      <c r="D290">
        <v>0.48099999999999998</v>
      </c>
      <c r="E290">
        <v>0.3</v>
      </c>
      <c r="F290">
        <v>0</v>
      </c>
    </row>
    <row r="291" spans="1:6" x14ac:dyDescent="0.25">
      <c r="A291">
        <v>2</v>
      </c>
      <c r="B291">
        <v>2048</v>
      </c>
      <c r="C291">
        <v>0.125</v>
      </c>
      <c r="D291">
        <v>0.48099999999999998</v>
      </c>
      <c r="E291">
        <v>0.3</v>
      </c>
      <c r="F291">
        <v>0</v>
      </c>
    </row>
    <row r="292" spans="1:6" x14ac:dyDescent="0.25">
      <c r="A292">
        <v>3</v>
      </c>
      <c r="B292">
        <v>2048</v>
      </c>
      <c r="C292">
        <v>0.125</v>
      </c>
      <c r="D292">
        <v>0.48099999999999998</v>
      </c>
      <c r="E292">
        <v>0.3</v>
      </c>
      <c r="F292">
        <v>0</v>
      </c>
    </row>
    <row r="293" spans="1:6" x14ac:dyDescent="0.25">
      <c r="A293">
        <v>4</v>
      </c>
      <c r="B293">
        <v>2048</v>
      </c>
      <c r="C293">
        <v>0.125</v>
      </c>
      <c r="D293">
        <v>0.48099999999999998</v>
      </c>
      <c r="E293">
        <v>0.3</v>
      </c>
      <c r="F293">
        <v>0</v>
      </c>
    </row>
    <row r="294" spans="1:6" x14ac:dyDescent="0.25">
      <c r="A294">
        <v>5</v>
      </c>
      <c r="B294">
        <v>2048</v>
      </c>
      <c r="C294">
        <v>0.125</v>
      </c>
      <c r="D294">
        <v>0.48099999999999998</v>
      </c>
      <c r="E294">
        <v>0.3</v>
      </c>
      <c r="F294">
        <v>0</v>
      </c>
    </row>
    <row r="295" spans="1:6" x14ac:dyDescent="0.25">
      <c r="A295">
        <v>6</v>
      </c>
      <c r="B295">
        <v>2048</v>
      </c>
      <c r="C295">
        <v>0.125</v>
      </c>
      <c r="D295">
        <v>0.48099999999999998</v>
      </c>
      <c r="E295">
        <v>0.3</v>
      </c>
      <c r="F295">
        <v>0</v>
      </c>
    </row>
    <row r="296" spans="1:6" x14ac:dyDescent="0.25">
      <c r="A296">
        <v>7</v>
      </c>
      <c r="B296">
        <v>2048</v>
      </c>
      <c r="C296">
        <v>0.125</v>
      </c>
      <c r="D296">
        <v>0.48099999999999998</v>
      </c>
      <c r="E296">
        <v>0.3</v>
      </c>
      <c r="F296">
        <v>0</v>
      </c>
    </row>
    <row r="297" spans="1:6" x14ac:dyDescent="0.25">
      <c r="A297">
        <v>8</v>
      </c>
      <c r="B297">
        <v>2048</v>
      </c>
      <c r="C297">
        <v>0.125</v>
      </c>
      <c r="D297">
        <v>0.48099999999999998</v>
      </c>
      <c r="E297">
        <v>0.3</v>
      </c>
      <c r="F297">
        <v>0</v>
      </c>
    </row>
    <row r="298" spans="1:6" x14ac:dyDescent="0.25">
      <c r="A298">
        <v>9</v>
      </c>
      <c r="B298">
        <v>2048</v>
      </c>
      <c r="C298">
        <v>0.125</v>
      </c>
      <c r="D298">
        <v>0.48099999999999998</v>
      </c>
      <c r="E298">
        <v>0.3</v>
      </c>
      <c r="F298">
        <v>0</v>
      </c>
    </row>
    <row r="299" spans="1:6" x14ac:dyDescent="0.25">
      <c r="A299">
        <v>10</v>
      </c>
      <c r="B299">
        <v>2048</v>
      </c>
      <c r="C299">
        <v>0.125</v>
      </c>
      <c r="D299">
        <v>0.48099999999999998</v>
      </c>
      <c r="E299">
        <v>0.3</v>
      </c>
      <c r="F299">
        <v>0</v>
      </c>
    </row>
    <row r="300" spans="1:6" x14ac:dyDescent="0.25">
      <c r="A300">
        <v>11</v>
      </c>
      <c r="B300">
        <v>2048</v>
      </c>
      <c r="C300">
        <v>0.125</v>
      </c>
      <c r="D300">
        <v>0.48099999999999998</v>
      </c>
      <c r="E300">
        <v>0.3</v>
      </c>
      <c r="F300">
        <v>0</v>
      </c>
    </row>
    <row r="301" spans="1:6" x14ac:dyDescent="0.25">
      <c r="A301">
        <v>12</v>
      </c>
      <c r="B301">
        <v>2048</v>
      </c>
      <c r="C301">
        <v>0.125</v>
      </c>
      <c r="D301">
        <v>0.48099999999999998</v>
      </c>
      <c r="E301">
        <v>0.3</v>
      </c>
      <c r="F301">
        <v>0</v>
      </c>
    </row>
    <row r="302" spans="1:6" x14ac:dyDescent="0.25">
      <c r="A302">
        <v>1</v>
      </c>
      <c r="B302">
        <v>2049</v>
      </c>
      <c r="C302">
        <v>0.125</v>
      </c>
      <c r="D302">
        <v>0.48099999999999998</v>
      </c>
      <c r="E302">
        <v>0.3</v>
      </c>
      <c r="F302">
        <v>0</v>
      </c>
    </row>
    <row r="303" spans="1:6" x14ac:dyDescent="0.25">
      <c r="A303">
        <v>2</v>
      </c>
      <c r="B303">
        <v>2049</v>
      </c>
      <c r="C303">
        <v>0.125</v>
      </c>
      <c r="D303">
        <v>0.48099999999999998</v>
      </c>
      <c r="E303">
        <v>0.3</v>
      </c>
      <c r="F303">
        <v>0</v>
      </c>
    </row>
    <row r="304" spans="1:6" x14ac:dyDescent="0.25">
      <c r="A304">
        <v>3</v>
      </c>
      <c r="B304">
        <v>2049</v>
      </c>
      <c r="C304">
        <v>0.125</v>
      </c>
      <c r="D304">
        <v>0.48099999999999998</v>
      </c>
      <c r="E304">
        <v>0.3</v>
      </c>
      <c r="F304">
        <v>0</v>
      </c>
    </row>
    <row r="305" spans="1:6" x14ac:dyDescent="0.25">
      <c r="A305">
        <v>4</v>
      </c>
      <c r="B305">
        <v>2049</v>
      </c>
      <c r="C305">
        <v>0.125</v>
      </c>
      <c r="D305">
        <v>0.48099999999999998</v>
      </c>
      <c r="E305">
        <v>0.3</v>
      </c>
      <c r="F305">
        <v>0</v>
      </c>
    </row>
    <row r="306" spans="1:6" x14ac:dyDescent="0.25">
      <c r="A306">
        <v>5</v>
      </c>
      <c r="B306">
        <v>2049</v>
      </c>
      <c r="C306">
        <v>0.125</v>
      </c>
      <c r="D306">
        <v>0.48099999999999998</v>
      </c>
      <c r="E306">
        <v>0.3</v>
      </c>
      <c r="F306">
        <v>0</v>
      </c>
    </row>
    <row r="307" spans="1:6" x14ac:dyDescent="0.25">
      <c r="A307">
        <v>6</v>
      </c>
      <c r="B307">
        <v>2049</v>
      </c>
      <c r="C307">
        <v>0.125</v>
      </c>
      <c r="D307">
        <v>0.48099999999999998</v>
      </c>
      <c r="E307">
        <v>0.3</v>
      </c>
      <c r="F307">
        <v>0</v>
      </c>
    </row>
    <row r="308" spans="1:6" x14ac:dyDescent="0.25">
      <c r="A308">
        <v>7</v>
      </c>
      <c r="B308">
        <v>2049</v>
      </c>
      <c r="C308">
        <v>0.125</v>
      </c>
      <c r="D308">
        <v>0.48099999999999998</v>
      </c>
      <c r="E308">
        <v>0.3</v>
      </c>
      <c r="F308">
        <v>0</v>
      </c>
    </row>
    <row r="309" spans="1:6" x14ac:dyDescent="0.25">
      <c r="A309">
        <v>8</v>
      </c>
      <c r="B309">
        <v>2049</v>
      </c>
      <c r="C309">
        <v>0.125</v>
      </c>
      <c r="D309">
        <v>0.48099999999999998</v>
      </c>
      <c r="E309">
        <v>0.3</v>
      </c>
      <c r="F309">
        <v>0</v>
      </c>
    </row>
    <row r="310" spans="1:6" x14ac:dyDescent="0.25">
      <c r="A310">
        <v>9</v>
      </c>
      <c r="B310">
        <v>2049</v>
      </c>
      <c r="C310">
        <v>0.125</v>
      </c>
      <c r="D310">
        <v>0.48099999999999998</v>
      </c>
      <c r="E310">
        <v>0.3</v>
      </c>
      <c r="F310">
        <v>0</v>
      </c>
    </row>
    <row r="311" spans="1:6" x14ac:dyDescent="0.25">
      <c r="A311">
        <v>10</v>
      </c>
      <c r="B311">
        <v>2049</v>
      </c>
      <c r="C311">
        <v>0.125</v>
      </c>
      <c r="D311">
        <v>0.48099999999999998</v>
      </c>
      <c r="E311">
        <v>0.3</v>
      </c>
      <c r="F311">
        <v>0</v>
      </c>
    </row>
    <row r="312" spans="1:6" x14ac:dyDescent="0.25">
      <c r="A312">
        <v>11</v>
      </c>
      <c r="B312">
        <v>2049</v>
      </c>
      <c r="C312">
        <v>0.125</v>
      </c>
      <c r="D312">
        <v>0.48099999999999998</v>
      </c>
      <c r="E312">
        <v>0.3</v>
      </c>
      <c r="F312">
        <v>0</v>
      </c>
    </row>
    <row r="313" spans="1:6" x14ac:dyDescent="0.25">
      <c r="A313">
        <v>12</v>
      </c>
      <c r="B313">
        <v>2049</v>
      </c>
      <c r="C313">
        <v>0.125</v>
      </c>
      <c r="D313">
        <v>0.48099999999999998</v>
      </c>
      <c r="E313">
        <v>0.3</v>
      </c>
      <c r="F313">
        <v>0</v>
      </c>
    </row>
    <row r="314" spans="1:6" x14ac:dyDescent="0.25">
      <c r="A314">
        <v>1</v>
      </c>
      <c r="B314">
        <v>2050</v>
      </c>
      <c r="C314">
        <v>0.125</v>
      </c>
      <c r="D314">
        <v>0.48099999999999998</v>
      </c>
      <c r="E314">
        <v>0.3</v>
      </c>
      <c r="F314">
        <v>0</v>
      </c>
    </row>
    <row r="315" spans="1:6" x14ac:dyDescent="0.25">
      <c r="A315">
        <v>2</v>
      </c>
      <c r="B315">
        <v>2050</v>
      </c>
      <c r="C315">
        <v>0.125</v>
      </c>
      <c r="D315">
        <v>0.48099999999999998</v>
      </c>
      <c r="E315">
        <v>0.3</v>
      </c>
      <c r="F315">
        <v>0</v>
      </c>
    </row>
    <row r="316" spans="1:6" x14ac:dyDescent="0.25">
      <c r="A316">
        <v>3</v>
      </c>
      <c r="B316">
        <v>2050</v>
      </c>
      <c r="C316">
        <v>0.125</v>
      </c>
      <c r="D316">
        <v>0.48099999999999998</v>
      </c>
      <c r="E316">
        <v>0.3</v>
      </c>
      <c r="F316">
        <v>0</v>
      </c>
    </row>
    <row r="317" spans="1:6" x14ac:dyDescent="0.25">
      <c r="A317">
        <v>4</v>
      </c>
      <c r="B317">
        <v>2050</v>
      </c>
      <c r="C317">
        <v>0.125</v>
      </c>
      <c r="D317">
        <v>0.48099999999999998</v>
      </c>
      <c r="E317">
        <v>0.3</v>
      </c>
      <c r="F317">
        <v>0</v>
      </c>
    </row>
    <row r="318" spans="1:6" x14ac:dyDescent="0.25">
      <c r="A318">
        <v>5</v>
      </c>
      <c r="B318">
        <v>2050</v>
      </c>
      <c r="C318">
        <v>0.125</v>
      </c>
      <c r="D318">
        <v>0.48099999999999998</v>
      </c>
      <c r="E318">
        <v>0.3</v>
      </c>
      <c r="F318">
        <v>0</v>
      </c>
    </row>
    <row r="319" spans="1:6" x14ac:dyDescent="0.25">
      <c r="A319">
        <v>6</v>
      </c>
      <c r="B319">
        <v>2050</v>
      </c>
      <c r="C319">
        <v>0.125</v>
      </c>
      <c r="D319">
        <v>0.48099999999999998</v>
      </c>
      <c r="E319">
        <v>0.3</v>
      </c>
      <c r="F319">
        <v>0</v>
      </c>
    </row>
    <row r="320" spans="1:6" x14ac:dyDescent="0.25">
      <c r="A320">
        <v>7</v>
      </c>
      <c r="B320">
        <v>2050</v>
      </c>
      <c r="C320">
        <v>0.125</v>
      </c>
      <c r="D320">
        <v>0.48099999999999998</v>
      </c>
      <c r="E320">
        <v>0.3</v>
      </c>
      <c r="F320">
        <v>0</v>
      </c>
    </row>
    <row r="321" spans="1:6" x14ac:dyDescent="0.25">
      <c r="A321">
        <v>8</v>
      </c>
      <c r="B321">
        <v>2050</v>
      </c>
      <c r="C321">
        <v>0.125</v>
      </c>
      <c r="D321">
        <v>0.48099999999999998</v>
      </c>
      <c r="E321">
        <v>0.3</v>
      </c>
      <c r="F321">
        <v>0</v>
      </c>
    </row>
    <row r="322" spans="1:6" x14ac:dyDescent="0.25">
      <c r="A322">
        <v>9</v>
      </c>
      <c r="B322">
        <v>2050</v>
      </c>
      <c r="C322">
        <v>0.125</v>
      </c>
      <c r="D322">
        <v>0.48099999999999998</v>
      </c>
      <c r="E322">
        <v>0.3</v>
      </c>
      <c r="F322">
        <v>0</v>
      </c>
    </row>
    <row r="323" spans="1:6" x14ac:dyDescent="0.25">
      <c r="A323">
        <v>10</v>
      </c>
      <c r="B323">
        <v>2050</v>
      </c>
      <c r="C323">
        <v>0.125</v>
      </c>
      <c r="D323">
        <v>0.48099999999999998</v>
      </c>
      <c r="E323">
        <v>0.3</v>
      </c>
      <c r="F323">
        <v>0</v>
      </c>
    </row>
    <row r="324" spans="1:6" x14ac:dyDescent="0.25">
      <c r="A324">
        <v>11</v>
      </c>
      <c r="B324">
        <v>2050</v>
      </c>
      <c r="C324">
        <v>0.125</v>
      </c>
      <c r="D324">
        <v>0.48099999999999998</v>
      </c>
      <c r="E324">
        <v>0.3</v>
      </c>
      <c r="F324">
        <v>0</v>
      </c>
    </row>
    <row r="325" spans="1:6" x14ac:dyDescent="0.25">
      <c r="A325">
        <v>12</v>
      </c>
      <c r="B325">
        <v>2050</v>
      </c>
      <c r="C325">
        <v>0.125</v>
      </c>
      <c r="D325">
        <v>0.48099999999999998</v>
      </c>
      <c r="E325">
        <v>0.3</v>
      </c>
      <c r="F325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3739-45C2-4A8D-9266-24BB3FC8F4DB}">
  <dimension ref="A1:AA18"/>
  <sheetViews>
    <sheetView workbookViewId="0">
      <selection activeCell="F44" sqref="F44"/>
    </sheetView>
  </sheetViews>
  <sheetFormatPr baseColWidth="10" defaultRowHeight="15" x14ac:dyDescent="0.25"/>
  <cols>
    <col min="1" max="1" width="17.7109375" customWidth="1"/>
    <col min="2" max="2" width="14.42578125" customWidth="1"/>
    <col min="3" max="3" width="18" customWidth="1"/>
    <col min="6" max="6" width="17.42578125" customWidth="1"/>
    <col min="7" max="7" width="18.28515625" customWidth="1"/>
    <col min="8" max="8" width="18" customWidth="1"/>
    <col min="9" max="9" width="19.28515625" customWidth="1"/>
    <col min="10" max="10" width="21.85546875" customWidth="1"/>
    <col min="14" max="14" width="20.140625" customWidth="1"/>
    <col min="20" max="20" width="20.5703125" customWidth="1"/>
  </cols>
  <sheetData>
    <row r="1" spans="1:27" x14ac:dyDescent="0.25">
      <c r="A1" s="4" t="s">
        <v>18</v>
      </c>
      <c r="B1" s="4" t="s">
        <v>14</v>
      </c>
      <c r="C1" s="4" t="s">
        <v>19</v>
      </c>
      <c r="D1" s="4" t="s">
        <v>20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1" t="s">
        <v>11</v>
      </c>
      <c r="L1" s="1" t="s">
        <v>25</v>
      </c>
      <c r="M1" s="4" t="s">
        <v>13</v>
      </c>
      <c r="N1" s="4" t="s">
        <v>2</v>
      </c>
      <c r="O1" s="4" t="s">
        <v>24</v>
      </c>
      <c r="P1" s="4" t="s">
        <v>34</v>
      </c>
      <c r="Q1" s="4" t="s">
        <v>35</v>
      </c>
      <c r="R1" s="4" t="s">
        <v>36</v>
      </c>
      <c r="S1" s="4" t="s">
        <v>39</v>
      </c>
      <c r="T1" s="4" t="s">
        <v>40</v>
      </c>
      <c r="U1" s="4" t="s">
        <v>47</v>
      </c>
      <c r="V1" s="4" t="s">
        <v>48</v>
      </c>
      <c r="W1" s="4" t="s">
        <v>49</v>
      </c>
      <c r="X1" s="4" t="s">
        <v>50</v>
      </c>
      <c r="Y1" s="4" t="s">
        <v>51</v>
      </c>
      <c r="Z1" s="4" t="s">
        <v>58</v>
      </c>
      <c r="AA1" s="4" t="s">
        <v>59</v>
      </c>
    </row>
    <row r="2" spans="1:27" x14ac:dyDescent="0.25">
      <c r="A2" s="3" t="s">
        <v>27</v>
      </c>
      <c r="B2" s="10">
        <v>211115</v>
      </c>
      <c r="C2" s="6">
        <v>40000</v>
      </c>
      <c r="D2" s="6">
        <v>25</v>
      </c>
      <c r="E2" s="5">
        <v>0.25</v>
      </c>
      <c r="F2" s="5">
        <v>0</v>
      </c>
      <c r="G2" s="6">
        <v>13000</v>
      </c>
      <c r="H2" s="5">
        <v>0</v>
      </c>
      <c r="I2" s="6">
        <v>9.8000000000000004E-2</v>
      </c>
      <c r="J2" s="6">
        <v>0.2</v>
      </c>
      <c r="K2" s="5">
        <v>0.5</v>
      </c>
      <c r="L2" s="5">
        <v>0.8</v>
      </c>
      <c r="M2">
        <v>25</v>
      </c>
      <c r="N2" s="5">
        <v>5</v>
      </c>
      <c r="O2" s="5">
        <v>5</v>
      </c>
      <c r="P2" s="6">
        <v>68.997492539999996</v>
      </c>
      <c r="Q2" s="6">
        <v>68.997492539999996</v>
      </c>
      <c r="R2" s="13">
        <v>0.85</v>
      </c>
      <c r="S2" s="6">
        <v>0.38879999999999998</v>
      </c>
      <c r="T2" s="5">
        <v>100000</v>
      </c>
      <c r="U2" s="5">
        <v>0</v>
      </c>
      <c r="V2" s="5">
        <v>0</v>
      </c>
      <c r="W2" s="5">
        <v>0</v>
      </c>
      <c r="X2" s="5">
        <v>0</v>
      </c>
      <c r="Y2" s="6">
        <v>0.11799999999999999</v>
      </c>
      <c r="Z2" s="5">
        <v>0</v>
      </c>
      <c r="AA2" s="5">
        <v>0</v>
      </c>
    </row>
    <row r="3" spans="1:27" x14ac:dyDescent="0.25">
      <c r="A3" s="3" t="s">
        <v>31</v>
      </c>
      <c r="B3" s="7">
        <v>18800</v>
      </c>
      <c r="C3" s="7">
        <v>0</v>
      </c>
      <c r="D3">
        <v>200</v>
      </c>
      <c r="E3" s="5">
        <v>0.25</v>
      </c>
      <c r="F3" s="5">
        <v>0</v>
      </c>
      <c r="G3" s="6">
        <v>5000</v>
      </c>
      <c r="H3" s="5">
        <v>0</v>
      </c>
      <c r="I3" s="6">
        <v>8.5999999999999993E-2</v>
      </c>
      <c r="J3" s="6">
        <v>0.2</v>
      </c>
      <c r="K3" s="5">
        <v>0.5</v>
      </c>
      <c r="L3" s="5">
        <v>0.8</v>
      </c>
      <c r="M3">
        <v>20</v>
      </c>
      <c r="N3" s="5">
        <v>5</v>
      </c>
      <c r="O3" s="5">
        <v>5</v>
      </c>
      <c r="P3" s="6">
        <v>6.4290486009999999</v>
      </c>
      <c r="Q3" s="6">
        <v>6.4290486009999999</v>
      </c>
      <c r="R3" s="13">
        <v>0.95</v>
      </c>
      <c r="S3" s="6">
        <v>0.2</v>
      </c>
      <c r="T3" s="5">
        <v>25000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</row>
    <row r="4" spans="1:27" x14ac:dyDescent="0.25">
      <c r="A4" s="3" t="s">
        <v>41</v>
      </c>
      <c r="B4" s="7">
        <v>195370</v>
      </c>
      <c r="C4" s="7">
        <v>0</v>
      </c>
      <c r="D4">
        <v>200</v>
      </c>
      <c r="E4" s="5">
        <v>0.25</v>
      </c>
      <c r="F4" s="5">
        <v>0</v>
      </c>
      <c r="G4" s="6">
        <v>20000</v>
      </c>
      <c r="H4" s="5">
        <v>0</v>
      </c>
      <c r="I4" s="6">
        <v>8.5999999999999993E-2</v>
      </c>
      <c r="J4" s="6">
        <v>0.2</v>
      </c>
      <c r="K4" s="5">
        <v>0.5</v>
      </c>
      <c r="L4" s="5">
        <v>0.8</v>
      </c>
      <c r="M4" s="9">
        <v>20</v>
      </c>
      <c r="N4" s="5">
        <v>5</v>
      </c>
      <c r="O4" s="5">
        <v>5</v>
      </c>
      <c r="P4" s="6">
        <v>8.0020722230000008</v>
      </c>
      <c r="Q4" s="6">
        <v>8.0020722230000008</v>
      </c>
      <c r="R4" s="13">
        <v>0.95</v>
      </c>
      <c r="S4" s="6">
        <v>0.2</v>
      </c>
      <c r="T4" s="5">
        <v>25000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</row>
    <row r="5" spans="1:27" x14ac:dyDescent="0.25">
      <c r="A5" s="3" t="s">
        <v>56</v>
      </c>
      <c r="B5" s="7">
        <v>35000</v>
      </c>
      <c r="C5" s="7">
        <v>0</v>
      </c>
      <c r="D5">
        <v>50</v>
      </c>
      <c r="E5" s="5">
        <v>0.25</v>
      </c>
      <c r="F5" s="5">
        <v>0</v>
      </c>
      <c r="G5" s="6">
        <v>50000</v>
      </c>
      <c r="H5" s="5">
        <v>0</v>
      </c>
      <c r="I5" s="6">
        <v>0.3</v>
      </c>
      <c r="J5" s="6">
        <v>0.3</v>
      </c>
      <c r="K5" s="5">
        <v>0.5</v>
      </c>
      <c r="L5" s="5">
        <v>0.8</v>
      </c>
      <c r="M5">
        <v>30</v>
      </c>
      <c r="N5" s="5">
        <v>5</v>
      </c>
      <c r="O5" s="5">
        <v>5</v>
      </c>
      <c r="P5" s="6">
        <v>0</v>
      </c>
      <c r="Q5" s="6">
        <v>0</v>
      </c>
      <c r="R5" s="13">
        <v>0.7</v>
      </c>
      <c r="S5" s="6">
        <v>0.27439999999999998</v>
      </c>
      <c r="T5" s="5">
        <v>25000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</row>
    <row r="6" spans="1:27" x14ac:dyDescent="0.25">
      <c r="A6" s="3"/>
    </row>
    <row r="7" spans="1:27" x14ac:dyDescent="0.25">
      <c r="A7" s="3"/>
    </row>
    <row r="8" spans="1:27" x14ac:dyDescent="0.25">
      <c r="A8" s="3"/>
    </row>
    <row r="9" spans="1:27" x14ac:dyDescent="0.25">
      <c r="A9" s="3"/>
    </row>
    <row r="10" spans="1:27" x14ac:dyDescent="0.25">
      <c r="A10" s="3"/>
    </row>
    <row r="11" spans="1:27" x14ac:dyDescent="0.25">
      <c r="A11" s="3"/>
    </row>
    <row r="12" spans="1:27" x14ac:dyDescent="0.25">
      <c r="A12" s="3"/>
    </row>
    <row r="13" spans="1:27" x14ac:dyDescent="0.25">
      <c r="A13" s="3"/>
    </row>
    <row r="14" spans="1:27" x14ac:dyDescent="0.25">
      <c r="A14" s="3"/>
    </row>
    <row r="15" spans="1:27" x14ac:dyDescent="0.25">
      <c r="A15" s="3"/>
    </row>
    <row r="16" spans="1:27" x14ac:dyDescent="0.25">
      <c r="A16" s="3"/>
    </row>
    <row r="17" spans="1:1" x14ac:dyDescent="0.25">
      <c r="A17" s="3"/>
    </row>
    <row r="18" spans="1:1" x14ac:dyDescent="0.25">
      <c r="A18" s="3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2037-FB6F-4527-A823-BAF75500CD20}">
  <dimension ref="A1:H28"/>
  <sheetViews>
    <sheetView workbookViewId="0">
      <selection activeCell="K17" sqref="K17"/>
    </sheetView>
  </sheetViews>
  <sheetFormatPr baseColWidth="10" defaultRowHeight="15" x14ac:dyDescent="0.25"/>
  <sheetData>
    <row r="1" spans="1:8" x14ac:dyDescent="0.25">
      <c r="A1" t="s">
        <v>89</v>
      </c>
      <c r="B1" t="s">
        <v>75</v>
      </c>
      <c r="C1" t="s">
        <v>76</v>
      </c>
      <c r="D1" t="s">
        <v>77</v>
      </c>
      <c r="H1" s="23" t="s">
        <v>190</v>
      </c>
    </row>
    <row r="2" spans="1:8" x14ac:dyDescent="0.25">
      <c r="A2">
        <v>2024</v>
      </c>
      <c r="B2">
        <v>0</v>
      </c>
      <c r="C2">
        <v>5800</v>
      </c>
      <c r="D2">
        <v>100</v>
      </c>
    </row>
    <row r="3" spans="1:8" x14ac:dyDescent="0.25">
      <c r="A3">
        <v>2025</v>
      </c>
      <c r="B3">
        <v>184.39400000000001</v>
      </c>
      <c r="C3">
        <v>5510</v>
      </c>
      <c r="D3">
        <v>100</v>
      </c>
    </row>
    <row r="4" spans="1:8" x14ac:dyDescent="0.25">
      <c r="A4">
        <v>2026</v>
      </c>
      <c r="B4">
        <v>98.009000000000015</v>
      </c>
      <c r="C4">
        <v>6730</v>
      </c>
      <c r="D4">
        <v>100</v>
      </c>
    </row>
    <row r="5" spans="1:8" x14ac:dyDescent="0.25">
      <c r="A5">
        <v>2027</v>
      </c>
      <c r="B5">
        <v>83.361999999999995</v>
      </c>
      <c r="C5">
        <v>7630</v>
      </c>
      <c r="D5">
        <v>200</v>
      </c>
    </row>
    <row r="6" spans="1:8" x14ac:dyDescent="0.25">
      <c r="A6">
        <v>2028</v>
      </c>
      <c r="B6">
        <v>235.08099999999999</v>
      </c>
      <c r="C6">
        <v>6440</v>
      </c>
      <c r="D6">
        <v>250</v>
      </c>
    </row>
    <row r="7" spans="1:8" x14ac:dyDescent="0.25">
      <c r="A7">
        <v>2029</v>
      </c>
      <c r="B7">
        <v>708.94100000000003</v>
      </c>
      <c r="C7">
        <v>10440</v>
      </c>
      <c r="D7">
        <v>300</v>
      </c>
    </row>
    <row r="8" spans="1:8" x14ac:dyDescent="0.25">
      <c r="A8">
        <v>2030</v>
      </c>
      <c r="B8">
        <v>976.00700000000006</v>
      </c>
      <c r="C8">
        <v>7830</v>
      </c>
      <c r="D8">
        <v>250</v>
      </c>
    </row>
    <row r="9" spans="1:8" x14ac:dyDescent="0.25">
      <c r="A9">
        <v>2031</v>
      </c>
      <c r="B9">
        <v>958.91700000000003</v>
      </c>
      <c r="C9">
        <v>7970</v>
      </c>
      <c r="D9">
        <v>500</v>
      </c>
    </row>
    <row r="10" spans="1:8" x14ac:dyDescent="0.25">
      <c r="A10">
        <v>2032</v>
      </c>
      <c r="B10">
        <v>1763.2419999999995</v>
      </c>
      <c r="C10">
        <v>9150</v>
      </c>
      <c r="D10">
        <v>600</v>
      </c>
    </row>
    <row r="11" spans="1:8" x14ac:dyDescent="0.25">
      <c r="A11">
        <v>2033</v>
      </c>
      <c r="B11">
        <v>5453.0510000000013</v>
      </c>
      <c r="C11">
        <v>7780</v>
      </c>
      <c r="D11">
        <v>700</v>
      </c>
    </row>
    <row r="12" spans="1:8" x14ac:dyDescent="0.25">
      <c r="A12">
        <v>2034</v>
      </c>
      <c r="B12">
        <v>6568.9410000000007</v>
      </c>
      <c r="C12">
        <v>9090</v>
      </c>
      <c r="D12">
        <v>900</v>
      </c>
    </row>
    <row r="13" spans="1:8" x14ac:dyDescent="0.25">
      <c r="A13">
        <v>2035</v>
      </c>
      <c r="B13">
        <v>13458.527</v>
      </c>
      <c r="C13">
        <v>10150</v>
      </c>
      <c r="D13">
        <v>1400</v>
      </c>
    </row>
    <row r="14" spans="1:8" x14ac:dyDescent="0.25">
      <c r="A14">
        <v>2036</v>
      </c>
      <c r="B14">
        <v>22532.142999999996</v>
      </c>
      <c r="C14">
        <v>9600</v>
      </c>
      <c r="D14">
        <v>1200</v>
      </c>
    </row>
    <row r="15" spans="1:8" x14ac:dyDescent="0.25">
      <c r="A15">
        <v>2037</v>
      </c>
      <c r="B15">
        <v>17516.055</v>
      </c>
      <c r="C15">
        <v>9440</v>
      </c>
      <c r="D15">
        <v>1500</v>
      </c>
    </row>
    <row r="16" spans="1:8" x14ac:dyDescent="0.25">
      <c r="A16">
        <v>2038</v>
      </c>
      <c r="B16">
        <v>8474.1800000000039</v>
      </c>
      <c r="C16">
        <v>6900</v>
      </c>
      <c r="D16">
        <v>1400</v>
      </c>
    </row>
    <row r="17" spans="1:4" x14ac:dyDescent="0.25">
      <c r="A17">
        <v>2039</v>
      </c>
      <c r="B17">
        <v>3781.3799999999987</v>
      </c>
      <c r="C17">
        <v>7830</v>
      </c>
      <c r="D17">
        <v>2100</v>
      </c>
    </row>
    <row r="18" spans="1:4" x14ac:dyDescent="0.25">
      <c r="A18">
        <v>2040</v>
      </c>
      <c r="B18">
        <v>3811.8649999999975</v>
      </c>
      <c r="C18">
        <v>7230</v>
      </c>
      <c r="D18">
        <v>2700</v>
      </c>
    </row>
    <row r="19" spans="1:4" x14ac:dyDescent="0.25">
      <c r="A19">
        <v>2041</v>
      </c>
      <c r="B19">
        <v>3577.8349999999932</v>
      </c>
      <c r="C19">
        <v>9860</v>
      </c>
      <c r="D19">
        <v>1000</v>
      </c>
    </row>
    <row r="20" spans="1:4" x14ac:dyDescent="0.25">
      <c r="A20">
        <v>2042</v>
      </c>
      <c r="B20">
        <v>4451.4400000000051</v>
      </c>
      <c r="C20">
        <v>14890</v>
      </c>
      <c r="D20">
        <v>800</v>
      </c>
    </row>
    <row r="21" spans="1:4" x14ac:dyDescent="0.25">
      <c r="A21">
        <v>2043</v>
      </c>
      <c r="B21">
        <v>7438.2240000000056</v>
      </c>
      <c r="C21">
        <v>13340</v>
      </c>
      <c r="D21">
        <v>1900</v>
      </c>
    </row>
    <row r="22" spans="1:4" x14ac:dyDescent="0.25">
      <c r="A22">
        <v>2044</v>
      </c>
      <c r="B22">
        <v>15574.545999999998</v>
      </c>
      <c r="C22" s="7">
        <v>11210</v>
      </c>
      <c r="D22" s="7">
        <v>1200</v>
      </c>
    </row>
    <row r="23" spans="1:4" x14ac:dyDescent="0.25">
      <c r="A23">
        <v>2045</v>
      </c>
      <c r="B23">
        <v>17542.319999999989</v>
      </c>
      <c r="C23">
        <v>0</v>
      </c>
      <c r="D23">
        <v>0</v>
      </c>
    </row>
    <row r="24" spans="1:4" x14ac:dyDescent="0.25">
      <c r="A24">
        <v>2046</v>
      </c>
      <c r="B24">
        <v>25086.870000000006</v>
      </c>
      <c r="C24">
        <v>0</v>
      </c>
      <c r="D24">
        <v>0</v>
      </c>
    </row>
    <row r="25" spans="1:4" x14ac:dyDescent="0.25">
      <c r="A25">
        <v>2047</v>
      </c>
      <c r="B25">
        <v>33666.9</v>
      </c>
      <c r="C25">
        <v>0</v>
      </c>
      <c r="D25">
        <v>0</v>
      </c>
    </row>
    <row r="26" spans="1:4" x14ac:dyDescent="0.25">
      <c r="A26">
        <v>2048</v>
      </c>
      <c r="B26">
        <v>40000</v>
      </c>
      <c r="C26">
        <v>0</v>
      </c>
      <c r="D26">
        <v>0</v>
      </c>
    </row>
    <row r="27" spans="1:4" x14ac:dyDescent="0.25">
      <c r="A27">
        <v>2049</v>
      </c>
      <c r="B27">
        <v>0</v>
      </c>
      <c r="C27">
        <v>0</v>
      </c>
      <c r="D27">
        <v>0</v>
      </c>
    </row>
    <row r="28" spans="1:4" x14ac:dyDescent="0.25">
      <c r="A28">
        <v>2050</v>
      </c>
      <c r="B28">
        <v>0</v>
      </c>
      <c r="C28">
        <v>0</v>
      </c>
      <c r="D28">
        <v>0</v>
      </c>
    </row>
  </sheetData>
  <hyperlinks>
    <hyperlink ref="H1" r:id="rId1" display="https://ourworldindata.org/grapher/cumulative-installed-wind-energy-capacity-gigawatts?time=earliest..2024&amp;country=~OWID_EU27&amp;tableFilter=countries" xr:uid="{EB3998CC-1E8C-4650-ACE6-5B76E514F038}"/>
  </hyperlink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329D-454B-4A8C-B502-49D79ABB4242}">
  <dimension ref="A1:E28"/>
  <sheetViews>
    <sheetView workbookViewId="0">
      <selection activeCell="C5" sqref="C5"/>
    </sheetView>
  </sheetViews>
  <sheetFormatPr baseColWidth="10" defaultRowHeight="15" x14ac:dyDescent="0.25"/>
  <sheetData>
    <row r="1" spans="1:5" x14ac:dyDescent="0.25">
      <c r="A1" t="s">
        <v>15</v>
      </c>
      <c r="B1" s="3" t="s">
        <v>26</v>
      </c>
      <c r="C1" s="3" t="s">
        <v>32</v>
      </c>
      <c r="D1" s="3" t="s">
        <v>42</v>
      </c>
      <c r="E1" s="3" t="s">
        <v>57</v>
      </c>
    </row>
    <row r="2" spans="1:5" x14ac:dyDescent="0.25">
      <c r="A2">
        <v>2024</v>
      </c>
      <c r="B2">
        <v>0.02</v>
      </c>
      <c r="C2">
        <v>0.02</v>
      </c>
      <c r="D2">
        <v>0.02</v>
      </c>
      <c r="E2">
        <v>0.02</v>
      </c>
    </row>
    <row r="3" spans="1:5" x14ac:dyDescent="0.25">
      <c r="A3">
        <v>2025</v>
      </c>
      <c r="B3" s="2">
        <v>2.2200000000000001E-2</v>
      </c>
      <c r="C3" s="2">
        <v>2.2200000000000001E-2</v>
      </c>
      <c r="D3" s="2">
        <v>2.2200000000000001E-2</v>
      </c>
      <c r="E3" s="2">
        <v>2.2200000000000001E-2</v>
      </c>
    </row>
    <row r="4" spans="1:5" x14ac:dyDescent="0.25">
      <c r="A4">
        <v>2026</v>
      </c>
      <c r="B4" s="2">
        <v>2.4400000000000002E-2</v>
      </c>
      <c r="C4" s="2">
        <v>2.4400000000000002E-2</v>
      </c>
      <c r="D4" s="2">
        <v>2.4400000000000002E-2</v>
      </c>
      <c r="E4" s="2">
        <v>2.4400000000000002E-2</v>
      </c>
    </row>
    <row r="5" spans="1:5" x14ac:dyDescent="0.25">
      <c r="A5">
        <v>2027</v>
      </c>
      <c r="B5" s="2">
        <v>2.6599999999999999E-2</v>
      </c>
      <c r="C5" s="2">
        <v>2.6599999999999999E-2</v>
      </c>
      <c r="D5" s="2">
        <v>2.6599999999999999E-2</v>
      </c>
      <c r="E5" s="2">
        <v>2.6599999999999999E-2</v>
      </c>
    </row>
    <row r="6" spans="1:5" x14ac:dyDescent="0.25">
      <c r="A6">
        <v>2028</v>
      </c>
      <c r="B6" s="2">
        <v>2.8799999999999999E-2</v>
      </c>
      <c r="C6" s="2">
        <v>2.8799999999999999E-2</v>
      </c>
      <c r="D6" s="2">
        <v>2.8799999999999999E-2</v>
      </c>
      <c r="E6" s="2">
        <v>2.8799999999999999E-2</v>
      </c>
    </row>
    <row r="7" spans="1:5" x14ac:dyDescent="0.25">
      <c r="A7">
        <v>2029</v>
      </c>
      <c r="B7" s="2">
        <v>3.1E-2</v>
      </c>
      <c r="C7" s="2">
        <v>3.1E-2</v>
      </c>
      <c r="D7" s="2">
        <v>3.1E-2</v>
      </c>
      <c r="E7" s="2">
        <v>3.1E-2</v>
      </c>
    </row>
    <row r="8" spans="1:5" x14ac:dyDescent="0.25">
      <c r="A8">
        <v>2030</v>
      </c>
      <c r="B8" s="2">
        <v>3.32E-2</v>
      </c>
      <c r="C8" s="2">
        <v>3.32E-2</v>
      </c>
      <c r="D8" s="2">
        <v>3.32E-2</v>
      </c>
      <c r="E8" s="2">
        <v>3.32E-2</v>
      </c>
    </row>
    <row r="9" spans="1:5" x14ac:dyDescent="0.25">
      <c r="A9">
        <v>2031</v>
      </c>
      <c r="B9" s="2">
        <v>3.5400000000000001E-2</v>
      </c>
      <c r="C9" s="2">
        <v>3.5400000000000001E-2</v>
      </c>
      <c r="D9" s="2">
        <v>3.5400000000000001E-2</v>
      </c>
      <c r="E9" s="2">
        <v>3.5400000000000001E-2</v>
      </c>
    </row>
    <row r="10" spans="1:5" x14ac:dyDescent="0.25">
      <c r="A10">
        <v>2032</v>
      </c>
      <c r="B10" s="2">
        <v>3.7600000000000001E-2</v>
      </c>
      <c r="C10" s="2">
        <v>3.7600000000000001E-2</v>
      </c>
      <c r="D10" s="2">
        <v>3.7600000000000001E-2</v>
      </c>
      <c r="E10" s="2">
        <v>3.7600000000000001E-2</v>
      </c>
    </row>
    <row r="11" spans="1:5" x14ac:dyDescent="0.25">
      <c r="A11">
        <v>2033</v>
      </c>
      <c r="B11" s="2">
        <v>3.9800000000000002E-2</v>
      </c>
      <c r="C11" s="2">
        <v>3.9800000000000002E-2</v>
      </c>
      <c r="D11" s="2">
        <v>3.9800000000000002E-2</v>
      </c>
      <c r="E11" s="2">
        <v>3.9800000000000002E-2</v>
      </c>
    </row>
    <row r="12" spans="1:5" x14ac:dyDescent="0.25">
      <c r="A12">
        <v>2034</v>
      </c>
      <c r="B12" s="2">
        <v>3.9800000000000002E-2</v>
      </c>
      <c r="C12" s="2">
        <v>3.9800000000000002E-2</v>
      </c>
      <c r="D12" s="2">
        <v>3.9800000000000002E-2</v>
      </c>
      <c r="E12" s="2">
        <v>3.9800000000000002E-2</v>
      </c>
    </row>
    <row r="13" spans="1:5" x14ac:dyDescent="0.25">
      <c r="A13">
        <v>2035</v>
      </c>
      <c r="B13" s="2">
        <v>4.2000000000000003E-2</v>
      </c>
      <c r="C13" s="2">
        <v>4.2000000000000003E-2</v>
      </c>
      <c r="D13" s="2">
        <v>4.2000000000000003E-2</v>
      </c>
      <c r="E13" s="2">
        <v>4.2000000000000003E-2</v>
      </c>
    </row>
    <row r="14" spans="1:5" x14ac:dyDescent="0.25">
      <c r="A14">
        <v>2036</v>
      </c>
      <c r="B14" s="2">
        <v>4.4200000000000003E-2</v>
      </c>
      <c r="C14" s="2">
        <v>4.4200000000000003E-2</v>
      </c>
      <c r="D14" s="2">
        <v>4.4200000000000003E-2</v>
      </c>
      <c r="E14" s="2">
        <v>4.4200000000000003E-2</v>
      </c>
    </row>
    <row r="15" spans="1:5" x14ac:dyDescent="0.25">
      <c r="A15">
        <v>2037</v>
      </c>
      <c r="B15" s="2">
        <v>4.6399999999999997E-2</v>
      </c>
      <c r="C15" s="2">
        <v>4.6399999999999997E-2</v>
      </c>
      <c r="D15" s="2">
        <v>4.6399999999999997E-2</v>
      </c>
      <c r="E15" s="2">
        <v>4.6399999999999997E-2</v>
      </c>
    </row>
    <row r="16" spans="1:5" x14ac:dyDescent="0.25">
      <c r="A16">
        <v>2038</v>
      </c>
      <c r="B16" s="2">
        <v>4.8599999999999997E-2</v>
      </c>
      <c r="C16" s="2">
        <v>4.8599999999999997E-2</v>
      </c>
      <c r="D16" s="2">
        <v>4.8599999999999997E-2</v>
      </c>
      <c r="E16" s="2">
        <v>4.8599999999999997E-2</v>
      </c>
    </row>
    <row r="17" spans="1:5" x14ac:dyDescent="0.25">
      <c r="A17">
        <v>2039</v>
      </c>
      <c r="B17" s="2">
        <v>5.0799999999999998E-2</v>
      </c>
      <c r="C17" s="2">
        <v>5.0799999999999998E-2</v>
      </c>
      <c r="D17" s="2">
        <v>5.0799999999999998E-2</v>
      </c>
      <c r="E17" s="2">
        <v>5.0799999999999998E-2</v>
      </c>
    </row>
    <row r="18" spans="1:5" x14ac:dyDescent="0.25">
      <c r="A18">
        <v>2040</v>
      </c>
      <c r="B18" s="2">
        <v>5.2999999999999999E-2</v>
      </c>
      <c r="C18" s="2">
        <v>5.2999999999999999E-2</v>
      </c>
      <c r="D18" s="2">
        <v>5.2999999999999999E-2</v>
      </c>
      <c r="E18" s="2">
        <v>5.2999999999999999E-2</v>
      </c>
    </row>
    <row r="19" spans="1:5" x14ac:dyDescent="0.25">
      <c r="A19">
        <v>2041</v>
      </c>
      <c r="B19" s="2">
        <v>5.5199999999999999E-2</v>
      </c>
      <c r="C19" s="2">
        <v>5.5199999999999999E-2</v>
      </c>
      <c r="D19" s="2">
        <v>5.5199999999999999E-2</v>
      </c>
      <c r="E19" s="2">
        <v>5.5199999999999999E-2</v>
      </c>
    </row>
    <row r="20" spans="1:5" x14ac:dyDescent="0.25">
      <c r="A20">
        <v>2042</v>
      </c>
      <c r="B20" s="2">
        <v>5.74E-2</v>
      </c>
      <c r="C20" s="2">
        <v>5.74E-2</v>
      </c>
      <c r="D20" s="2">
        <v>5.74E-2</v>
      </c>
      <c r="E20" s="2">
        <v>5.74E-2</v>
      </c>
    </row>
    <row r="21" spans="1:5" x14ac:dyDescent="0.25">
      <c r="A21">
        <v>2043</v>
      </c>
      <c r="B21" s="2">
        <v>5.96E-2</v>
      </c>
      <c r="C21" s="2">
        <v>5.96E-2</v>
      </c>
      <c r="D21" s="2">
        <v>5.96E-2</v>
      </c>
      <c r="E21" s="2">
        <v>5.96E-2</v>
      </c>
    </row>
    <row r="22" spans="1:5" x14ac:dyDescent="0.25">
      <c r="A22">
        <v>2044</v>
      </c>
      <c r="B22" s="2">
        <v>6.1800000000000001E-2</v>
      </c>
      <c r="C22" s="2">
        <v>6.1800000000000001E-2</v>
      </c>
      <c r="D22" s="2">
        <v>6.1800000000000001E-2</v>
      </c>
      <c r="E22" s="2">
        <v>6.1800000000000001E-2</v>
      </c>
    </row>
    <row r="23" spans="1:5" x14ac:dyDescent="0.25">
      <c r="A23">
        <v>2045</v>
      </c>
      <c r="B23" s="2">
        <v>6.4000000000000001E-2</v>
      </c>
      <c r="C23" s="2">
        <v>6.4000000000000001E-2</v>
      </c>
      <c r="D23" s="2">
        <v>6.4000000000000001E-2</v>
      </c>
      <c r="E23" s="2">
        <v>6.4000000000000001E-2</v>
      </c>
    </row>
    <row r="24" spans="1:5" x14ac:dyDescent="0.25">
      <c r="A24">
        <v>2046</v>
      </c>
      <c r="B24" s="2">
        <v>6.6199999999999995E-2</v>
      </c>
      <c r="C24" s="2">
        <v>6.6199999999999995E-2</v>
      </c>
      <c r="D24" s="2">
        <v>6.6199999999999995E-2</v>
      </c>
      <c r="E24" s="2">
        <v>6.6199999999999995E-2</v>
      </c>
    </row>
    <row r="25" spans="1:5" x14ac:dyDescent="0.25">
      <c r="A25">
        <v>2047</v>
      </c>
      <c r="B25" s="2">
        <v>6.8400000000000002E-2</v>
      </c>
      <c r="C25" s="2">
        <v>6.8400000000000002E-2</v>
      </c>
      <c r="D25" s="2">
        <v>6.8400000000000002E-2</v>
      </c>
      <c r="E25" s="2">
        <v>6.8400000000000002E-2</v>
      </c>
    </row>
    <row r="26" spans="1:5" x14ac:dyDescent="0.25">
      <c r="A26">
        <v>2048</v>
      </c>
      <c r="B26" s="2">
        <v>7.0599999999999996E-2</v>
      </c>
      <c r="C26" s="2">
        <v>7.0599999999999996E-2</v>
      </c>
      <c r="D26" s="2">
        <v>7.0599999999999996E-2</v>
      </c>
      <c r="E26" s="2">
        <v>7.0599999999999996E-2</v>
      </c>
    </row>
    <row r="27" spans="1:5" x14ac:dyDescent="0.25">
      <c r="A27">
        <v>2049</v>
      </c>
      <c r="B27" s="2">
        <v>7.2800000000000004E-2</v>
      </c>
      <c r="C27" s="2">
        <v>7.2800000000000004E-2</v>
      </c>
      <c r="D27" s="2">
        <v>7.2800000000000004E-2</v>
      </c>
      <c r="E27" s="2">
        <v>7.2800000000000004E-2</v>
      </c>
    </row>
    <row r="28" spans="1:5" x14ac:dyDescent="0.25">
      <c r="A28">
        <v>2050</v>
      </c>
      <c r="B28">
        <v>7.4999999999999997E-2</v>
      </c>
      <c r="C28">
        <v>7.4999999999999997E-2</v>
      </c>
      <c r="D28">
        <v>7.4999999999999997E-2</v>
      </c>
      <c r="E28">
        <v>7.4999999999999997E-2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3316B-9FC2-4B52-982D-1F4DD6859A8E}">
  <dimension ref="A1:E28"/>
  <sheetViews>
    <sheetView workbookViewId="0">
      <selection activeCell="B12" sqref="B12"/>
    </sheetView>
  </sheetViews>
  <sheetFormatPr baseColWidth="10" defaultRowHeight="15" x14ac:dyDescent="0.25"/>
  <sheetData>
    <row r="1" spans="1:5" x14ac:dyDescent="0.25">
      <c r="A1" t="s">
        <v>15</v>
      </c>
      <c r="B1" s="3" t="s">
        <v>26</v>
      </c>
      <c r="C1" s="3" t="s">
        <v>32</v>
      </c>
      <c r="D1" s="3" t="s">
        <v>42</v>
      </c>
      <c r="E1" s="3" t="s">
        <v>57</v>
      </c>
    </row>
    <row r="2" spans="1:5" x14ac:dyDescent="0.25">
      <c r="A2">
        <v>2024</v>
      </c>
      <c r="B2">
        <v>26229.707720000002</v>
      </c>
      <c r="C2">
        <v>26229.707720000002</v>
      </c>
      <c r="D2">
        <v>26229.707720000002</v>
      </c>
      <c r="E2">
        <v>26229.707720000002</v>
      </c>
    </row>
    <row r="3" spans="1:5" x14ac:dyDescent="0.25">
      <c r="A3">
        <v>2025</v>
      </c>
      <c r="B3">
        <v>26589.174669999997</v>
      </c>
      <c r="C3">
        <v>26589.174669999997</v>
      </c>
      <c r="D3">
        <v>26589.174669999997</v>
      </c>
      <c r="E3">
        <v>26589.174669999997</v>
      </c>
    </row>
    <row r="4" spans="1:5" x14ac:dyDescent="0.25">
      <c r="A4">
        <v>2026</v>
      </c>
      <c r="B4">
        <v>60431.69513</v>
      </c>
      <c r="C4">
        <v>60431.69513</v>
      </c>
      <c r="D4">
        <v>60431.69513</v>
      </c>
      <c r="E4">
        <v>60431.69513</v>
      </c>
    </row>
    <row r="5" spans="1:5" x14ac:dyDescent="0.25">
      <c r="A5">
        <v>2027</v>
      </c>
      <c r="B5">
        <v>95314.195130000007</v>
      </c>
      <c r="C5">
        <v>95314.195130000007</v>
      </c>
      <c r="D5">
        <v>95314.195130000007</v>
      </c>
      <c r="E5">
        <v>95314.195130000007</v>
      </c>
    </row>
    <row r="6" spans="1:5" x14ac:dyDescent="0.25">
      <c r="A6">
        <v>2028</v>
      </c>
      <c r="B6">
        <v>130196.6951</v>
      </c>
      <c r="C6">
        <v>130196.6951</v>
      </c>
      <c r="D6">
        <v>130196.6951</v>
      </c>
      <c r="E6">
        <v>130196.6951</v>
      </c>
    </row>
    <row r="7" spans="1:5" x14ac:dyDescent="0.25">
      <c r="A7">
        <v>2029</v>
      </c>
      <c r="B7">
        <v>165780.465</v>
      </c>
      <c r="C7">
        <v>165780.465</v>
      </c>
      <c r="D7">
        <v>165780.465</v>
      </c>
      <c r="E7">
        <v>165780.465</v>
      </c>
    </row>
    <row r="8" spans="1:5" x14ac:dyDescent="0.25">
      <c r="A8">
        <v>2030</v>
      </c>
      <c r="B8">
        <v>179750.54879999999</v>
      </c>
      <c r="C8">
        <v>179750.54879999999</v>
      </c>
      <c r="D8">
        <v>179750.54879999999</v>
      </c>
      <c r="E8">
        <v>179750.54879999999</v>
      </c>
    </row>
    <row r="9" spans="1:5" x14ac:dyDescent="0.25">
      <c r="A9">
        <v>2031</v>
      </c>
      <c r="B9">
        <v>195610.7611</v>
      </c>
      <c r="C9">
        <v>195610.7611</v>
      </c>
      <c r="D9">
        <v>195610.7611</v>
      </c>
      <c r="E9">
        <v>195610.7611</v>
      </c>
    </row>
    <row r="10" spans="1:5" x14ac:dyDescent="0.25">
      <c r="A10">
        <v>2032</v>
      </c>
      <c r="B10">
        <v>196499.72339999999</v>
      </c>
      <c r="C10">
        <v>196499.72339999999</v>
      </c>
      <c r="D10">
        <v>196499.72339999999</v>
      </c>
      <c r="E10">
        <v>196499.72339999999</v>
      </c>
    </row>
    <row r="11" spans="1:5" x14ac:dyDescent="0.25">
      <c r="A11">
        <v>2033</v>
      </c>
      <c r="B11">
        <v>198853.9976</v>
      </c>
      <c r="C11">
        <v>198853.9976</v>
      </c>
      <c r="D11">
        <v>198853.9976</v>
      </c>
      <c r="E11">
        <v>198853.9976</v>
      </c>
    </row>
    <row r="12" spans="1:5" x14ac:dyDescent="0.25">
      <c r="A12">
        <v>2034</v>
      </c>
      <c r="B12">
        <v>202089.00579999998</v>
      </c>
      <c r="C12">
        <v>202089.00579999998</v>
      </c>
      <c r="D12">
        <v>202089.00579999998</v>
      </c>
      <c r="E12">
        <v>202089.00579999998</v>
      </c>
    </row>
    <row r="13" spans="1:5" x14ac:dyDescent="0.25">
      <c r="A13">
        <v>2035</v>
      </c>
      <c r="B13">
        <v>164077.8836</v>
      </c>
      <c r="C13">
        <v>164077.8836</v>
      </c>
      <c r="D13">
        <v>164077.8836</v>
      </c>
      <c r="E13">
        <v>164077.8836</v>
      </c>
    </row>
    <row r="14" spans="1:5" x14ac:dyDescent="0.25">
      <c r="A14">
        <v>2036</v>
      </c>
      <c r="B14">
        <v>126654.49769999999</v>
      </c>
      <c r="C14">
        <v>126654.49769999999</v>
      </c>
      <c r="D14">
        <v>126654.49769999999</v>
      </c>
      <c r="E14">
        <v>126654.49769999999</v>
      </c>
    </row>
    <row r="15" spans="1:5" x14ac:dyDescent="0.25">
      <c r="A15">
        <v>2037</v>
      </c>
      <c r="B15">
        <v>90701.344779999999</v>
      </c>
      <c r="C15">
        <v>90701.344779999999</v>
      </c>
      <c r="D15">
        <v>90701.344779999999</v>
      </c>
      <c r="E15">
        <v>90701.344779999999</v>
      </c>
    </row>
    <row r="16" spans="1:5" x14ac:dyDescent="0.25">
      <c r="A16">
        <v>2038</v>
      </c>
      <c r="B16">
        <v>57298.538379999998</v>
      </c>
      <c r="C16">
        <v>57298.538379999998</v>
      </c>
      <c r="D16">
        <v>57298.538379999998</v>
      </c>
      <c r="E16">
        <v>57298.538379999998</v>
      </c>
    </row>
    <row r="17" spans="1:5" x14ac:dyDescent="0.25">
      <c r="A17">
        <v>2039</v>
      </c>
      <c r="B17">
        <v>40938.322699999997</v>
      </c>
      <c r="C17">
        <v>40938.322699999997</v>
      </c>
      <c r="D17">
        <v>40938.322699999997</v>
      </c>
      <c r="E17">
        <v>40938.322699999997</v>
      </c>
    </row>
    <row r="18" spans="1:5" x14ac:dyDescent="0.25">
      <c r="A18">
        <v>2040</v>
      </c>
      <c r="B18">
        <v>30788.296410000003</v>
      </c>
      <c r="C18">
        <v>30788.296410000003</v>
      </c>
      <c r="D18">
        <v>30788.296410000003</v>
      </c>
      <c r="E18">
        <v>30788.296410000003</v>
      </c>
    </row>
    <row r="19" spans="1:5" x14ac:dyDescent="0.25">
      <c r="A19">
        <v>2041</v>
      </c>
      <c r="B19">
        <v>28368.054080000002</v>
      </c>
      <c r="C19">
        <v>28368.054080000002</v>
      </c>
      <c r="D19">
        <v>28368.054080000002</v>
      </c>
      <c r="E19">
        <v>28368.054080000002</v>
      </c>
    </row>
    <row r="20" spans="1:5" x14ac:dyDescent="0.25">
      <c r="A20">
        <v>2042</v>
      </c>
      <c r="B20">
        <v>31250.81408</v>
      </c>
      <c r="C20">
        <v>31250.81408</v>
      </c>
      <c r="D20">
        <v>31250.81408</v>
      </c>
      <c r="E20">
        <v>31250.81408</v>
      </c>
    </row>
    <row r="21" spans="1:5" x14ac:dyDescent="0.25">
      <c r="A21">
        <v>2043</v>
      </c>
      <c r="B21">
        <v>34011.350160000002</v>
      </c>
      <c r="C21">
        <v>34011.350160000002</v>
      </c>
      <c r="D21">
        <v>34011.350160000002</v>
      </c>
      <c r="E21">
        <v>34011.350160000002</v>
      </c>
    </row>
    <row r="22" spans="1:5" x14ac:dyDescent="0.25">
      <c r="A22">
        <v>2044</v>
      </c>
      <c r="B22">
        <v>35066.675019999995</v>
      </c>
      <c r="C22">
        <v>35066.675019999995</v>
      </c>
      <c r="D22">
        <v>35066.675019999995</v>
      </c>
      <c r="E22">
        <v>35066.675019999995</v>
      </c>
    </row>
    <row r="23" spans="1:5" x14ac:dyDescent="0.25">
      <c r="A23">
        <v>2045</v>
      </c>
      <c r="B23">
        <v>33453.543590000001</v>
      </c>
      <c r="C23">
        <v>33453.543590000001</v>
      </c>
      <c r="D23">
        <v>33453.543590000001</v>
      </c>
      <c r="E23">
        <v>33453.543590000001</v>
      </c>
    </row>
    <row r="24" spans="1:5" x14ac:dyDescent="0.25">
      <c r="A24">
        <v>2046</v>
      </c>
      <c r="B24">
        <v>25310.301890000002</v>
      </c>
      <c r="C24">
        <v>25310.301890000002</v>
      </c>
      <c r="D24">
        <v>25310.301890000002</v>
      </c>
      <c r="E24">
        <v>25310.301890000002</v>
      </c>
    </row>
    <row r="25" spans="1:5" x14ac:dyDescent="0.25">
      <c r="A25">
        <v>2047</v>
      </c>
      <c r="B25">
        <v>11877.08452</v>
      </c>
      <c r="C25">
        <v>11877.08452</v>
      </c>
      <c r="D25">
        <v>11877.08452</v>
      </c>
      <c r="E25">
        <v>11877.08452</v>
      </c>
    </row>
    <row r="26" spans="1:5" x14ac:dyDescent="0.25">
      <c r="A26">
        <v>2048</v>
      </c>
      <c r="B26">
        <v>0</v>
      </c>
      <c r="C26">
        <v>0</v>
      </c>
      <c r="D26">
        <v>0</v>
      </c>
      <c r="E26">
        <v>0</v>
      </c>
    </row>
    <row r="27" spans="1:5" x14ac:dyDescent="0.25">
      <c r="A27">
        <v>2049</v>
      </c>
      <c r="B27">
        <v>0</v>
      </c>
      <c r="C27">
        <v>0</v>
      </c>
      <c r="D27">
        <v>0</v>
      </c>
      <c r="E27">
        <v>0</v>
      </c>
    </row>
    <row r="28" spans="1:5" x14ac:dyDescent="0.25">
      <c r="A28">
        <v>2050</v>
      </c>
      <c r="B28">
        <v>0</v>
      </c>
      <c r="C28">
        <v>0</v>
      </c>
      <c r="D28">
        <v>0</v>
      </c>
      <c r="E28">
        <v>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A601-26C3-4DCA-97B6-9342C547A4A0}">
  <dimension ref="A1:E28"/>
  <sheetViews>
    <sheetView workbookViewId="0">
      <selection activeCell="O19" sqref="O19"/>
    </sheetView>
  </sheetViews>
  <sheetFormatPr baseColWidth="10" defaultRowHeight="15" x14ac:dyDescent="0.25"/>
  <sheetData>
    <row r="1" spans="1:5" x14ac:dyDescent="0.25">
      <c r="A1" t="s">
        <v>15</v>
      </c>
      <c r="B1" s="3" t="s">
        <v>26</v>
      </c>
      <c r="C1" s="3" t="s">
        <v>32</v>
      </c>
      <c r="D1" s="3" t="s">
        <v>42</v>
      </c>
      <c r="E1" s="3" t="s">
        <v>57</v>
      </c>
    </row>
    <row r="2" spans="1:5" x14ac:dyDescent="0.25">
      <c r="A2">
        <v>2024</v>
      </c>
      <c r="B2">
        <v>65500</v>
      </c>
      <c r="C2">
        <v>2100</v>
      </c>
      <c r="D2">
        <v>15280</v>
      </c>
      <c r="E2">
        <v>999999</v>
      </c>
    </row>
    <row r="3" spans="1:5" x14ac:dyDescent="0.25">
      <c r="A3">
        <v>2025</v>
      </c>
      <c r="B3">
        <v>68120</v>
      </c>
      <c r="C3">
        <v>2100</v>
      </c>
      <c r="D3">
        <v>15280</v>
      </c>
      <c r="E3">
        <v>999999</v>
      </c>
    </row>
    <row r="4" spans="1:5" x14ac:dyDescent="0.25">
      <c r="A4">
        <v>2026</v>
      </c>
      <c r="B4">
        <v>70844.800000000003</v>
      </c>
      <c r="C4">
        <v>3960</v>
      </c>
      <c r="D4">
        <v>15850</v>
      </c>
      <c r="E4">
        <v>999999</v>
      </c>
    </row>
    <row r="5" spans="1:5" x14ac:dyDescent="0.25">
      <c r="A5">
        <v>2027</v>
      </c>
      <c r="B5">
        <v>73678.592000000004</v>
      </c>
      <c r="C5">
        <v>3420</v>
      </c>
      <c r="D5">
        <v>18700</v>
      </c>
      <c r="E5">
        <v>999999</v>
      </c>
    </row>
    <row r="6" spans="1:5" x14ac:dyDescent="0.25">
      <c r="A6">
        <v>2028</v>
      </c>
      <c r="B6">
        <v>76625.735680000013</v>
      </c>
      <c r="C6">
        <v>4990</v>
      </c>
      <c r="D6">
        <v>20440</v>
      </c>
      <c r="E6">
        <v>999999</v>
      </c>
    </row>
    <row r="7" spans="1:5" x14ac:dyDescent="0.25">
      <c r="A7">
        <v>2029</v>
      </c>
      <c r="B7">
        <v>79690.765107200001</v>
      </c>
      <c r="C7">
        <v>6410</v>
      </c>
      <c r="D7">
        <v>20900</v>
      </c>
      <c r="E7">
        <v>999999</v>
      </c>
    </row>
    <row r="8" spans="1:5" x14ac:dyDescent="0.25">
      <c r="A8">
        <v>2030</v>
      </c>
      <c r="B8">
        <v>82878.395711488018</v>
      </c>
      <c r="C8">
        <v>6310</v>
      </c>
      <c r="D8">
        <v>21800</v>
      </c>
      <c r="E8">
        <v>999999</v>
      </c>
    </row>
    <row r="9" spans="1:5" x14ac:dyDescent="0.25">
      <c r="A9">
        <v>2031</v>
      </c>
      <c r="B9">
        <v>82878.395711488018</v>
      </c>
      <c r="C9">
        <v>7865.4149999999991</v>
      </c>
      <c r="D9">
        <v>23164.68</v>
      </c>
      <c r="E9">
        <v>999999</v>
      </c>
    </row>
    <row r="10" spans="1:5" x14ac:dyDescent="0.25">
      <c r="A10">
        <v>2032</v>
      </c>
      <c r="B10">
        <v>82878.395711488018</v>
      </c>
      <c r="C10">
        <v>9804.2397974999967</v>
      </c>
      <c r="D10">
        <v>24614.788968000001</v>
      </c>
      <c r="E10">
        <v>999999</v>
      </c>
    </row>
    <row r="11" spans="1:5" x14ac:dyDescent="0.25">
      <c r="A11">
        <v>2033</v>
      </c>
      <c r="B11">
        <v>82878.395711488018</v>
      </c>
      <c r="C11">
        <v>12220.984907583746</v>
      </c>
      <c r="D11">
        <v>26155.674757396799</v>
      </c>
      <c r="E11">
        <v>999999</v>
      </c>
    </row>
    <row r="12" spans="1:5" x14ac:dyDescent="0.25">
      <c r="A12">
        <v>2034</v>
      </c>
      <c r="B12">
        <v>82878.395711488018</v>
      </c>
      <c r="C12">
        <v>15233.457687303138</v>
      </c>
      <c r="D12">
        <v>27793.019997209838</v>
      </c>
      <c r="E12">
        <v>999999</v>
      </c>
    </row>
    <row r="13" spans="1:5" x14ac:dyDescent="0.25">
      <c r="A13">
        <v>2035</v>
      </c>
      <c r="B13">
        <v>82878.395711488018</v>
      </c>
      <c r="C13">
        <v>18988.505007223361</v>
      </c>
      <c r="D13">
        <v>29532.863049035175</v>
      </c>
      <c r="E13">
        <v>999999</v>
      </c>
    </row>
    <row r="14" spans="1:5" x14ac:dyDescent="0.25">
      <c r="A14">
        <v>2036</v>
      </c>
      <c r="B14">
        <v>82878.395711488018</v>
      </c>
      <c r="C14">
        <v>20887.355507945696</v>
      </c>
      <c r="D14">
        <v>31009.506201486936</v>
      </c>
      <c r="E14">
        <v>999999</v>
      </c>
    </row>
    <row r="15" spans="1:5" x14ac:dyDescent="0.25">
      <c r="A15">
        <v>2037</v>
      </c>
      <c r="B15">
        <v>82878.395711488018</v>
      </c>
      <c r="C15">
        <v>22976.091058740265</v>
      </c>
      <c r="D15">
        <v>32559.981511561284</v>
      </c>
      <c r="E15">
        <v>999999</v>
      </c>
    </row>
    <row r="16" spans="1:5" x14ac:dyDescent="0.25">
      <c r="A16">
        <v>2038</v>
      </c>
      <c r="B16">
        <v>82878.395711488018</v>
      </c>
      <c r="C16">
        <v>25273.700164614293</v>
      </c>
      <c r="D16">
        <v>34187.980587139347</v>
      </c>
      <c r="E16">
        <v>999999</v>
      </c>
    </row>
    <row r="17" spans="1:5" x14ac:dyDescent="0.25">
      <c r="A17">
        <v>2039</v>
      </c>
      <c r="B17">
        <v>82878.395711488018</v>
      </c>
      <c r="C17">
        <v>27801.070181075727</v>
      </c>
      <c r="D17">
        <v>35897.379616496313</v>
      </c>
      <c r="E17">
        <v>999999</v>
      </c>
    </row>
    <row r="18" spans="1:5" x14ac:dyDescent="0.25">
      <c r="A18">
        <v>2040</v>
      </c>
      <c r="B18">
        <v>82878.395711488018</v>
      </c>
      <c r="C18">
        <v>30581.177199183301</v>
      </c>
      <c r="D18">
        <v>37692.24859732113</v>
      </c>
      <c r="E18">
        <v>999999</v>
      </c>
    </row>
    <row r="19" spans="1:5" x14ac:dyDescent="0.25">
      <c r="A19">
        <v>2041</v>
      </c>
      <c r="B19">
        <v>82878.395711488018</v>
      </c>
      <c r="C19">
        <v>30581.177199183301</v>
      </c>
      <c r="D19">
        <v>37692.24859732113</v>
      </c>
      <c r="E19">
        <v>999999</v>
      </c>
    </row>
    <row r="20" spans="1:5" x14ac:dyDescent="0.25">
      <c r="A20">
        <v>2042</v>
      </c>
      <c r="B20">
        <v>82878.395711488018</v>
      </c>
      <c r="C20">
        <v>30581.177199183301</v>
      </c>
      <c r="D20">
        <v>37692.24859732113</v>
      </c>
      <c r="E20">
        <v>999999</v>
      </c>
    </row>
    <row r="21" spans="1:5" x14ac:dyDescent="0.25">
      <c r="A21">
        <v>2043</v>
      </c>
      <c r="B21">
        <v>82878.395711488018</v>
      </c>
      <c r="C21">
        <v>30581.177199183301</v>
      </c>
      <c r="D21">
        <v>37692.24859732113</v>
      </c>
      <c r="E21">
        <v>999999</v>
      </c>
    </row>
    <row r="22" spans="1:5" x14ac:dyDescent="0.25">
      <c r="A22">
        <v>2044</v>
      </c>
      <c r="B22">
        <v>82878.395711488018</v>
      </c>
      <c r="C22">
        <v>30581.177199183301</v>
      </c>
      <c r="D22">
        <v>37692.24859732113</v>
      </c>
      <c r="E22">
        <v>999999</v>
      </c>
    </row>
    <row r="23" spans="1:5" x14ac:dyDescent="0.25">
      <c r="A23">
        <v>2045</v>
      </c>
      <c r="B23">
        <v>82878.395711488018</v>
      </c>
      <c r="C23">
        <v>30581.177199183301</v>
      </c>
      <c r="D23">
        <v>37692.24859732113</v>
      </c>
      <c r="E23">
        <v>999999</v>
      </c>
    </row>
    <row r="24" spans="1:5" x14ac:dyDescent="0.25">
      <c r="A24">
        <v>2046</v>
      </c>
      <c r="B24">
        <v>82878.395711488018</v>
      </c>
      <c r="C24">
        <v>30581.177199183301</v>
      </c>
      <c r="D24">
        <v>37692.24859732113</v>
      </c>
      <c r="E24">
        <v>999999</v>
      </c>
    </row>
    <row r="25" spans="1:5" x14ac:dyDescent="0.25">
      <c r="A25">
        <v>2047</v>
      </c>
      <c r="B25">
        <v>82878.395711488018</v>
      </c>
      <c r="C25">
        <v>30581.177199183301</v>
      </c>
      <c r="D25">
        <v>37692.24859732113</v>
      </c>
      <c r="E25">
        <v>999999</v>
      </c>
    </row>
    <row r="26" spans="1:5" x14ac:dyDescent="0.25">
      <c r="A26">
        <v>2048</v>
      </c>
      <c r="B26">
        <v>82878.395711488018</v>
      </c>
      <c r="C26">
        <v>30581.177199183301</v>
      </c>
      <c r="D26">
        <v>37692.24859732113</v>
      </c>
      <c r="E26">
        <v>999999</v>
      </c>
    </row>
    <row r="27" spans="1:5" x14ac:dyDescent="0.25">
      <c r="A27">
        <v>2049</v>
      </c>
      <c r="B27">
        <v>82878.395711488018</v>
      </c>
      <c r="C27">
        <v>30581.177199183301</v>
      </c>
      <c r="D27">
        <v>37692.24859732113</v>
      </c>
      <c r="E27">
        <v>999999</v>
      </c>
    </row>
    <row r="28" spans="1:5" x14ac:dyDescent="0.25">
      <c r="A28">
        <v>2050</v>
      </c>
      <c r="B28">
        <v>82878.395711488018</v>
      </c>
      <c r="C28">
        <v>30581.177199183301</v>
      </c>
      <c r="D28">
        <v>37692.24859732113</v>
      </c>
      <c r="E28">
        <v>999999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B19D-A699-4685-BD4E-A72E73D671DD}">
  <dimension ref="A1:E109"/>
  <sheetViews>
    <sheetView workbookViewId="0">
      <selection activeCell="I39" sqref="I39"/>
    </sheetView>
  </sheetViews>
  <sheetFormatPr baseColWidth="10" defaultRowHeight="15" x14ac:dyDescent="0.25"/>
  <cols>
    <col min="2" max="2" width="17.5703125" customWidth="1"/>
    <col min="3" max="3" width="8.7109375" customWidth="1"/>
    <col min="5" max="5" width="8.28515625" customWidth="1"/>
  </cols>
  <sheetData>
    <row r="1" spans="1:5" x14ac:dyDescent="0.25">
      <c r="A1" s="11" t="s">
        <v>67</v>
      </c>
      <c r="B1" s="11" t="s">
        <v>60</v>
      </c>
      <c r="C1" s="11" t="s">
        <v>61</v>
      </c>
      <c r="D1" s="11" t="s">
        <v>62</v>
      </c>
    </row>
    <row r="2" spans="1:5" x14ac:dyDescent="0.25">
      <c r="A2" s="24">
        <v>2024</v>
      </c>
      <c r="B2" s="11" t="s">
        <v>69</v>
      </c>
      <c r="C2" s="2">
        <v>270613611.10000002</v>
      </c>
      <c r="D2">
        <v>29.19</v>
      </c>
    </row>
    <row r="3" spans="1:5" x14ac:dyDescent="0.25">
      <c r="A3" s="24"/>
      <c r="B3" s="11" t="s">
        <v>70</v>
      </c>
      <c r="C3" s="2">
        <v>1047284444</v>
      </c>
      <c r="D3">
        <v>42.69</v>
      </c>
      <c r="E3" s="2"/>
    </row>
    <row r="4" spans="1:5" x14ac:dyDescent="0.25">
      <c r="A4" s="24"/>
      <c r="B4" s="11" t="s">
        <v>71</v>
      </c>
      <c r="C4" s="2">
        <v>2930833333</v>
      </c>
      <c r="D4">
        <v>150</v>
      </c>
    </row>
    <row r="5" spans="1:5" x14ac:dyDescent="0.25">
      <c r="A5" s="24"/>
      <c r="B5" s="11" t="s">
        <v>68</v>
      </c>
      <c r="C5" s="2">
        <v>484006334</v>
      </c>
      <c r="D5">
        <v>22.68</v>
      </c>
    </row>
    <row r="6" spans="1:5" x14ac:dyDescent="0.25">
      <c r="A6" s="24">
        <v>2025</v>
      </c>
      <c r="B6" s="11" t="s">
        <v>69</v>
      </c>
      <c r="C6" s="2">
        <v>270613611.10000002</v>
      </c>
      <c r="D6">
        <v>29.19</v>
      </c>
    </row>
    <row r="7" spans="1:5" x14ac:dyDescent="0.25">
      <c r="A7" s="24"/>
      <c r="B7" s="11" t="s">
        <v>70</v>
      </c>
      <c r="C7" s="2">
        <v>1047284444</v>
      </c>
      <c r="D7">
        <v>42.69</v>
      </c>
    </row>
    <row r="8" spans="1:5" x14ac:dyDescent="0.25">
      <c r="A8" s="24"/>
      <c r="B8" s="11" t="s">
        <v>71</v>
      </c>
      <c r="C8" s="2">
        <v>2930833333</v>
      </c>
      <c r="D8">
        <v>150</v>
      </c>
    </row>
    <row r="9" spans="1:5" x14ac:dyDescent="0.25">
      <c r="A9" s="24"/>
      <c r="B9" s="11" t="s">
        <v>68</v>
      </c>
      <c r="C9" s="2">
        <f>SUM(C5*(1-0.04052))</f>
        <v>464394397.34631997</v>
      </c>
      <c r="D9">
        <v>22.545000000000002</v>
      </c>
    </row>
    <row r="10" spans="1:5" x14ac:dyDescent="0.25">
      <c r="A10" s="24">
        <v>2026</v>
      </c>
      <c r="B10" s="11" t="s">
        <v>69</v>
      </c>
      <c r="C10" s="2">
        <v>270613611.10000002</v>
      </c>
      <c r="D10">
        <v>29.19</v>
      </c>
    </row>
    <row r="11" spans="1:5" x14ac:dyDescent="0.25">
      <c r="A11" s="24"/>
      <c r="B11" s="11" t="s">
        <v>70</v>
      </c>
      <c r="C11" s="2">
        <v>1047284444</v>
      </c>
      <c r="D11">
        <v>42.69</v>
      </c>
    </row>
    <row r="12" spans="1:5" x14ac:dyDescent="0.25">
      <c r="A12" s="24"/>
      <c r="B12" s="11" t="s">
        <v>71</v>
      </c>
      <c r="C12" s="2">
        <v>2930833333</v>
      </c>
      <c r="D12">
        <v>150</v>
      </c>
    </row>
    <row r="13" spans="1:5" x14ac:dyDescent="0.25">
      <c r="A13" s="24"/>
      <c r="B13" s="11" t="s">
        <v>68</v>
      </c>
      <c r="C13" s="2">
        <f>SUM(C9*(1-0.04052))</f>
        <v>445577136.36584711</v>
      </c>
      <c r="D13">
        <v>22.41</v>
      </c>
    </row>
    <row r="14" spans="1:5" x14ac:dyDescent="0.25">
      <c r="A14" s="24">
        <v>2027</v>
      </c>
      <c r="B14" s="11" t="s">
        <v>69</v>
      </c>
      <c r="C14" s="2">
        <v>270613611.10000002</v>
      </c>
      <c r="D14">
        <v>29.19</v>
      </c>
    </row>
    <row r="15" spans="1:5" x14ac:dyDescent="0.25">
      <c r="A15" s="24"/>
      <c r="B15" s="11" t="s">
        <v>70</v>
      </c>
      <c r="C15" s="2">
        <v>1047284444</v>
      </c>
      <c r="D15">
        <v>42.69</v>
      </c>
    </row>
    <row r="16" spans="1:5" x14ac:dyDescent="0.25">
      <c r="A16" s="24"/>
      <c r="B16" s="11" t="s">
        <v>71</v>
      </c>
      <c r="C16" s="2">
        <v>2930833333</v>
      </c>
      <c r="D16">
        <v>150</v>
      </c>
    </row>
    <row r="17" spans="1:4" x14ac:dyDescent="0.25">
      <c r="A17" s="24"/>
      <c r="B17" s="11" t="s">
        <v>68</v>
      </c>
      <c r="C17" s="2">
        <f>SUM(C13*(1-0.04052))</f>
        <v>427522350.80030298</v>
      </c>
      <c r="D17">
        <v>22.274999999999999</v>
      </c>
    </row>
    <row r="18" spans="1:4" x14ac:dyDescent="0.25">
      <c r="A18" s="24">
        <v>2028</v>
      </c>
      <c r="B18" s="11" t="s">
        <v>69</v>
      </c>
      <c r="C18" s="2">
        <v>270613611.10000002</v>
      </c>
      <c r="D18">
        <v>29.19</v>
      </c>
    </row>
    <row r="19" spans="1:4" x14ac:dyDescent="0.25">
      <c r="A19" s="24"/>
      <c r="B19" s="11" t="s">
        <v>70</v>
      </c>
      <c r="C19" s="2">
        <v>1047284444</v>
      </c>
      <c r="D19">
        <v>42.69</v>
      </c>
    </row>
    <row r="20" spans="1:4" x14ac:dyDescent="0.25">
      <c r="A20" s="24"/>
      <c r="B20" s="11" t="s">
        <v>71</v>
      </c>
      <c r="C20" s="2">
        <v>2930833333</v>
      </c>
      <c r="D20">
        <v>150</v>
      </c>
    </row>
    <row r="21" spans="1:4" x14ac:dyDescent="0.25">
      <c r="A21" s="24"/>
      <c r="B21" s="11" t="s">
        <v>68</v>
      </c>
      <c r="C21" s="2">
        <f>SUM(C17*(1-0.04052))</f>
        <v>410199145.14587468</v>
      </c>
      <c r="D21">
        <v>22.14</v>
      </c>
    </row>
    <row r="22" spans="1:4" x14ac:dyDescent="0.25">
      <c r="A22" s="24">
        <v>2029</v>
      </c>
      <c r="B22" s="11" t="s">
        <v>69</v>
      </c>
      <c r="C22" s="2">
        <v>270613611.10000002</v>
      </c>
      <c r="D22">
        <v>29.19</v>
      </c>
    </row>
    <row r="23" spans="1:4" x14ac:dyDescent="0.25">
      <c r="A23" s="24"/>
      <c r="B23" s="11" t="s">
        <v>70</v>
      </c>
      <c r="C23" s="2">
        <v>1047284444</v>
      </c>
      <c r="D23">
        <v>42.69</v>
      </c>
    </row>
    <row r="24" spans="1:4" x14ac:dyDescent="0.25">
      <c r="A24" s="24"/>
      <c r="B24" s="11" t="s">
        <v>71</v>
      </c>
      <c r="C24" s="2">
        <v>2930833333</v>
      </c>
      <c r="D24">
        <v>150</v>
      </c>
    </row>
    <row r="25" spans="1:4" x14ac:dyDescent="0.25">
      <c r="A25" s="24"/>
      <c r="B25" s="11" t="s">
        <v>68</v>
      </c>
      <c r="C25" s="2">
        <f>SUM(C21*(1-0.04052))</f>
        <v>393577875.78456384</v>
      </c>
      <c r="D25">
        <v>22.004999999999999</v>
      </c>
    </row>
    <row r="26" spans="1:4" x14ac:dyDescent="0.25">
      <c r="A26" s="24">
        <v>2030</v>
      </c>
      <c r="B26" s="11" t="s">
        <v>69</v>
      </c>
      <c r="C26" s="2">
        <v>270613611.10000002</v>
      </c>
      <c r="D26">
        <v>29.19</v>
      </c>
    </row>
    <row r="27" spans="1:4" x14ac:dyDescent="0.25">
      <c r="A27" s="24"/>
      <c r="B27" s="11" t="s">
        <v>70</v>
      </c>
      <c r="C27" s="2">
        <v>1047284444</v>
      </c>
      <c r="D27">
        <v>42.69</v>
      </c>
    </row>
    <row r="28" spans="1:4" x14ac:dyDescent="0.25">
      <c r="A28" s="24"/>
      <c r="B28" s="11" t="s">
        <v>71</v>
      </c>
      <c r="C28" s="2">
        <v>2930833333</v>
      </c>
      <c r="D28">
        <v>150</v>
      </c>
    </row>
    <row r="29" spans="1:4" x14ac:dyDescent="0.25">
      <c r="A29" s="24"/>
      <c r="B29" s="11" t="s">
        <v>68</v>
      </c>
      <c r="C29" s="2">
        <f>SUM(C25*(1-0.04052))</f>
        <v>377630100.25777334</v>
      </c>
      <c r="D29">
        <v>21.87</v>
      </c>
    </row>
    <row r="30" spans="1:4" x14ac:dyDescent="0.25">
      <c r="A30" s="24">
        <v>2031</v>
      </c>
      <c r="B30" s="11" t="s">
        <v>69</v>
      </c>
      <c r="C30" s="2">
        <v>270613611.10000002</v>
      </c>
      <c r="D30">
        <v>29.19</v>
      </c>
    </row>
    <row r="31" spans="1:4" x14ac:dyDescent="0.25">
      <c r="A31" s="24"/>
      <c r="B31" s="11" t="s">
        <v>70</v>
      </c>
      <c r="C31" s="2">
        <v>1047284444</v>
      </c>
      <c r="D31">
        <v>42.69</v>
      </c>
    </row>
    <row r="32" spans="1:4" x14ac:dyDescent="0.25">
      <c r="A32" s="24"/>
      <c r="B32" s="11" t="s">
        <v>71</v>
      </c>
      <c r="C32" s="2">
        <v>2930833333</v>
      </c>
      <c r="D32">
        <v>150</v>
      </c>
    </row>
    <row r="33" spans="1:4" x14ac:dyDescent="0.25">
      <c r="A33" s="24"/>
      <c r="B33" s="11" t="s">
        <v>68</v>
      </c>
      <c r="C33" s="2">
        <f>SUM(C29*(1-0.04052))</f>
        <v>362328528.59532839</v>
      </c>
      <c r="D33">
        <v>21.734999999999999</v>
      </c>
    </row>
    <row r="34" spans="1:4" x14ac:dyDescent="0.25">
      <c r="A34" s="24">
        <v>2032</v>
      </c>
      <c r="B34" s="11" t="s">
        <v>69</v>
      </c>
      <c r="C34" s="2">
        <v>270613611.10000002</v>
      </c>
      <c r="D34">
        <v>29.19</v>
      </c>
    </row>
    <row r="35" spans="1:4" x14ac:dyDescent="0.25">
      <c r="A35" s="24"/>
      <c r="B35" s="11" t="s">
        <v>70</v>
      </c>
      <c r="C35" s="2">
        <v>1047284444</v>
      </c>
      <c r="D35">
        <v>42.69</v>
      </c>
    </row>
    <row r="36" spans="1:4" x14ac:dyDescent="0.25">
      <c r="A36" s="24"/>
      <c r="B36" s="11" t="s">
        <v>71</v>
      </c>
      <c r="C36" s="2">
        <v>2930833333</v>
      </c>
      <c r="D36">
        <v>150</v>
      </c>
    </row>
    <row r="37" spans="1:4" x14ac:dyDescent="0.25">
      <c r="A37" s="24"/>
      <c r="B37" s="11" t="s">
        <v>68</v>
      </c>
      <c r="C37" s="2">
        <f>SUM(C33*(1-0.04052))</f>
        <v>347646976.61664569</v>
      </c>
      <c r="D37">
        <v>21.6</v>
      </c>
    </row>
    <row r="38" spans="1:4" x14ac:dyDescent="0.25">
      <c r="A38" s="24">
        <v>2033</v>
      </c>
      <c r="B38" s="11" t="s">
        <v>69</v>
      </c>
      <c r="C38" s="2">
        <v>270613611.10000002</v>
      </c>
      <c r="D38">
        <v>29.19</v>
      </c>
    </row>
    <row r="39" spans="1:4" x14ac:dyDescent="0.25">
      <c r="A39" s="24"/>
      <c r="B39" s="11" t="s">
        <v>70</v>
      </c>
      <c r="C39" s="2">
        <v>1047284444</v>
      </c>
      <c r="D39">
        <v>42.69</v>
      </c>
    </row>
    <row r="40" spans="1:4" x14ac:dyDescent="0.25">
      <c r="A40" s="24"/>
      <c r="B40" s="11" t="s">
        <v>71</v>
      </c>
      <c r="C40" s="2">
        <v>2930833333</v>
      </c>
      <c r="D40">
        <v>150</v>
      </c>
    </row>
    <row r="41" spans="1:4" x14ac:dyDescent="0.25">
      <c r="A41" s="24"/>
      <c r="B41" s="11" t="s">
        <v>68</v>
      </c>
      <c r="C41" s="2">
        <f>SUM(C37*(1-0.04052))</f>
        <v>333560321.12413919</v>
      </c>
      <c r="D41">
        <v>21.465</v>
      </c>
    </row>
    <row r="42" spans="1:4" x14ac:dyDescent="0.25">
      <c r="A42" s="24">
        <v>2034</v>
      </c>
      <c r="B42" s="11" t="s">
        <v>69</v>
      </c>
      <c r="C42" s="2">
        <v>270613611.10000002</v>
      </c>
      <c r="D42">
        <v>29.19</v>
      </c>
    </row>
    <row r="43" spans="1:4" x14ac:dyDescent="0.25">
      <c r="A43" s="24"/>
      <c r="B43" s="11" t="s">
        <v>70</v>
      </c>
      <c r="C43" s="2">
        <v>1047284444</v>
      </c>
      <c r="D43">
        <v>42.69</v>
      </c>
    </row>
    <row r="44" spans="1:4" x14ac:dyDescent="0.25">
      <c r="A44" s="24"/>
      <c r="B44" s="11" t="s">
        <v>71</v>
      </c>
      <c r="C44" s="2">
        <v>2930833333</v>
      </c>
      <c r="D44">
        <v>150</v>
      </c>
    </row>
    <row r="45" spans="1:4" x14ac:dyDescent="0.25">
      <c r="A45" s="24"/>
      <c r="B45" s="11" t="s">
        <v>68</v>
      </c>
      <c r="C45" s="2">
        <f>SUM(C41*(1-0.04052))</f>
        <v>320044456.91218907</v>
      </c>
      <c r="D45">
        <v>21.33</v>
      </c>
    </row>
    <row r="46" spans="1:4" x14ac:dyDescent="0.25">
      <c r="A46" s="24">
        <v>2035</v>
      </c>
      <c r="B46" s="11" t="s">
        <v>69</v>
      </c>
      <c r="C46" s="2">
        <v>270613611.10000002</v>
      </c>
      <c r="D46">
        <v>29.19</v>
      </c>
    </row>
    <row r="47" spans="1:4" x14ac:dyDescent="0.25">
      <c r="A47" s="24"/>
      <c r="B47" s="11" t="s">
        <v>70</v>
      </c>
      <c r="C47" s="2">
        <v>1047284444</v>
      </c>
      <c r="D47">
        <v>42.69</v>
      </c>
    </row>
    <row r="48" spans="1:4" x14ac:dyDescent="0.25">
      <c r="A48" s="24"/>
      <c r="B48" s="11" t="s">
        <v>71</v>
      </c>
      <c r="C48" s="2">
        <v>2930833333</v>
      </c>
      <c r="D48">
        <v>150</v>
      </c>
    </row>
    <row r="49" spans="1:4" x14ac:dyDescent="0.25">
      <c r="A49" s="24"/>
      <c r="B49" s="11" t="s">
        <v>68</v>
      </c>
      <c r="C49" s="2">
        <f>SUM(C45*(1-0.04052))</f>
        <v>307076255.51810718</v>
      </c>
      <c r="D49">
        <v>21.195</v>
      </c>
    </row>
    <row r="50" spans="1:4" x14ac:dyDescent="0.25">
      <c r="A50" s="24">
        <v>2036</v>
      </c>
      <c r="B50" s="11" t="s">
        <v>69</v>
      </c>
      <c r="C50" s="2">
        <v>270613611.10000002</v>
      </c>
      <c r="D50">
        <v>29.19</v>
      </c>
    </row>
    <row r="51" spans="1:4" x14ac:dyDescent="0.25">
      <c r="A51" s="24"/>
      <c r="B51" s="11" t="s">
        <v>70</v>
      </c>
      <c r="C51" s="2">
        <v>1047284444</v>
      </c>
      <c r="D51">
        <v>42.69</v>
      </c>
    </row>
    <row r="52" spans="1:4" x14ac:dyDescent="0.25">
      <c r="A52" s="24"/>
      <c r="B52" s="11" t="s">
        <v>71</v>
      </c>
      <c r="C52" s="2">
        <v>2930833333</v>
      </c>
      <c r="D52">
        <v>150</v>
      </c>
    </row>
    <row r="53" spans="1:4" x14ac:dyDescent="0.25">
      <c r="A53" s="24"/>
      <c r="B53" s="11" t="s">
        <v>68</v>
      </c>
      <c r="C53" s="2">
        <f>SUM(C49*(1-0.04052))</f>
        <v>294633525.64451349</v>
      </c>
      <c r="D53">
        <v>21.06</v>
      </c>
    </row>
    <row r="54" spans="1:4" x14ac:dyDescent="0.25">
      <c r="A54" s="24">
        <v>2037</v>
      </c>
      <c r="B54" s="11" t="s">
        <v>69</v>
      </c>
      <c r="C54" s="2">
        <v>270613611.10000002</v>
      </c>
      <c r="D54">
        <v>29.19</v>
      </c>
    </row>
    <row r="55" spans="1:4" x14ac:dyDescent="0.25">
      <c r="A55" s="24"/>
      <c r="B55" s="11" t="s">
        <v>70</v>
      </c>
      <c r="C55" s="2">
        <v>1047284444</v>
      </c>
      <c r="D55">
        <v>42.69</v>
      </c>
    </row>
    <row r="56" spans="1:4" x14ac:dyDescent="0.25">
      <c r="A56" s="24"/>
      <c r="B56" s="11" t="s">
        <v>71</v>
      </c>
      <c r="C56" s="2">
        <v>2930833333</v>
      </c>
      <c r="D56">
        <v>150</v>
      </c>
    </row>
    <row r="57" spans="1:4" x14ac:dyDescent="0.25">
      <c r="A57" s="24"/>
      <c r="B57" s="11" t="s">
        <v>68</v>
      </c>
      <c r="C57" s="2">
        <f>SUM(C53*(1-0.04052))</f>
        <v>282694975.1853978</v>
      </c>
      <c r="D57">
        <v>20.925000000000001</v>
      </c>
    </row>
    <row r="58" spans="1:4" x14ac:dyDescent="0.25">
      <c r="A58" s="24">
        <v>2038</v>
      </c>
      <c r="B58" s="11" t="s">
        <v>69</v>
      </c>
      <c r="C58" s="2">
        <v>270613611.10000002</v>
      </c>
      <c r="D58">
        <v>29.19</v>
      </c>
    </row>
    <row r="59" spans="1:4" x14ac:dyDescent="0.25">
      <c r="A59" s="24"/>
      <c r="B59" s="11" t="s">
        <v>70</v>
      </c>
      <c r="C59" s="2">
        <v>1047284444</v>
      </c>
      <c r="D59">
        <v>42.69</v>
      </c>
    </row>
    <row r="60" spans="1:4" x14ac:dyDescent="0.25">
      <c r="A60" s="24"/>
      <c r="B60" s="11" t="s">
        <v>71</v>
      </c>
      <c r="C60" s="2">
        <v>2930833333</v>
      </c>
      <c r="D60">
        <v>150</v>
      </c>
    </row>
    <row r="61" spans="1:4" x14ac:dyDescent="0.25">
      <c r="A61" s="24"/>
      <c r="B61" s="11" t="s">
        <v>68</v>
      </c>
      <c r="C61" s="2">
        <f>SUM(C57*(1-0.04052))</f>
        <v>271240174.79088551</v>
      </c>
      <c r="D61">
        <v>20.79</v>
      </c>
    </row>
    <row r="62" spans="1:4" x14ac:dyDescent="0.25">
      <c r="A62" s="24">
        <v>2039</v>
      </c>
      <c r="B62" s="11" t="s">
        <v>69</v>
      </c>
      <c r="C62" s="2">
        <v>270613611.10000002</v>
      </c>
      <c r="D62">
        <v>29.19</v>
      </c>
    </row>
    <row r="63" spans="1:4" x14ac:dyDescent="0.25">
      <c r="A63" s="24"/>
      <c r="B63" s="11" t="s">
        <v>70</v>
      </c>
      <c r="C63" s="2">
        <v>1047284444</v>
      </c>
      <c r="D63">
        <v>42.69</v>
      </c>
    </row>
    <row r="64" spans="1:4" x14ac:dyDescent="0.25">
      <c r="A64" s="24"/>
      <c r="B64" s="11" t="s">
        <v>71</v>
      </c>
      <c r="C64" s="2">
        <v>2930833333</v>
      </c>
      <c r="D64">
        <v>150</v>
      </c>
    </row>
    <row r="65" spans="1:4" x14ac:dyDescent="0.25">
      <c r="A65" s="24"/>
      <c r="B65" s="11" t="s">
        <v>68</v>
      </c>
      <c r="C65" s="2">
        <f>SUM(C61*(1-0.04052))</f>
        <v>260249522.90835881</v>
      </c>
      <c r="D65">
        <v>20.655000000000001</v>
      </c>
    </row>
    <row r="66" spans="1:4" x14ac:dyDescent="0.25">
      <c r="A66" s="24">
        <v>2040</v>
      </c>
      <c r="B66" s="11" t="s">
        <v>69</v>
      </c>
      <c r="C66" s="2">
        <v>270613611.10000002</v>
      </c>
      <c r="D66">
        <v>29.19</v>
      </c>
    </row>
    <row r="67" spans="1:4" x14ac:dyDescent="0.25">
      <c r="A67" s="24"/>
      <c r="B67" s="11" t="s">
        <v>70</v>
      </c>
      <c r="C67" s="2">
        <v>1047284444</v>
      </c>
      <c r="D67">
        <v>42.69</v>
      </c>
    </row>
    <row r="68" spans="1:4" x14ac:dyDescent="0.25">
      <c r="A68" s="24"/>
      <c r="B68" s="11" t="s">
        <v>71</v>
      </c>
      <c r="C68" s="2">
        <v>2930833333</v>
      </c>
      <c r="D68">
        <v>150</v>
      </c>
    </row>
    <row r="69" spans="1:4" x14ac:dyDescent="0.25">
      <c r="A69" s="24"/>
      <c r="B69" s="11" t="s">
        <v>68</v>
      </c>
      <c r="C69" s="2">
        <f>SUM(C65*(1-0.04052))</f>
        <v>249704212.24011213</v>
      </c>
      <c r="D69">
        <v>20.52</v>
      </c>
    </row>
    <row r="70" spans="1:4" x14ac:dyDescent="0.25">
      <c r="A70" s="24">
        <v>2041</v>
      </c>
      <c r="B70" s="11" t="s">
        <v>69</v>
      </c>
      <c r="C70" s="2">
        <v>270613611.10000002</v>
      </c>
      <c r="D70">
        <v>29.19</v>
      </c>
    </row>
    <row r="71" spans="1:4" x14ac:dyDescent="0.25">
      <c r="A71" s="24"/>
      <c r="B71" s="11" t="s">
        <v>70</v>
      </c>
      <c r="C71" s="2">
        <v>1047284444</v>
      </c>
      <c r="D71">
        <v>42.69</v>
      </c>
    </row>
    <row r="72" spans="1:4" x14ac:dyDescent="0.25">
      <c r="A72" s="24"/>
      <c r="B72" s="11" t="s">
        <v>71</v>
      </c>
      <c r="C72" s="2">
        <v>2930833333</v>
      </c>
      <c r="D72">
        <v>150</v>
      </c>
    </row>
    <row r="73" spans="1:4" x14ac:dyDescent="0.25">
      <c r="A73" s="24"/>
      <c r="B73" s="11" t="s">
        <v>68</v>
      </c>
      <c r="C73" s="2">
        <f>SUM(C69*(1-0.04052))</f>
        <v>239586197.56014279</v>
      </c>
      <c r="D73">
        <v>20.52</v>
      </c>
    </row>
    <row r="74" spans="1:4" x14ac:dyDescent="0.25">
      <c r="A74" s="24">
        <v>2042</v>
      </c>
      <c r="B74" s="11" t="s">
        <v>69</v>
      </c>
      <c r="C74" s="2">
        <v>270613611.10000002</v>
      </c>
      <c r="D74">
        <v>29.19</v>
      </c>
    </row>
    <row r="75" spans="1:4" x14ac:dyDescent="0.25">
      <c r="A75" s="24"/>
      <c r="B75" s="11" t="s">
        <v>70</v>
      </c>
      <c r="C75" s="2">
        <v>1047284444</v>
      </c>
      <c r="D75">
        <v>42.69</v>
      </c>
    </row>
    <row r="76" spans="1:4" x14ac:dyDescent="0.25">
      <c r="A76" s="24"/>
      <c r="B76" s="11" t="s">
        <v>71</v>
      </c>
      <c r="C76" s="2">
        <v>2930833333</v>
      </c>
      <c r="D76">
        <v>150</v>
      </c>
    </row>
    <row r="77" spans="1:4" x14ac:dyDescent="0.25">
      <c r="A77" s="24"/>
      <c r="B77" s="11" t="s">
        <v>68</v>
      </c>
      <c r="C77" s="2">
        <f>SUM(C73*(1-0.04052))</f>
        <v>229878164.83500579</v>
      </c>
      <c r="D77">
        <v>20.52</v>
      </c>
    </row>
    <row r="78" spans="1:4" x14ac:dyDescent="0.25">
      <c r="A78" s="24">
        <v>2043</v>
      </c>
      <c r="B78" s="11" t="s">
        <v>69</v>
      </c>
      <c r="C78" s="2">
        <v>270613611.10000002</v>
      </c>
      <c r="D78">
        <v>29.19</v>
      </c>
    </row>
    <row r="79" spans="1:4" x14ac:dyDescent="0.25">
      <c r="A79" s="24"/>
      <c r="B79" s="11" t="s">
        <v>70</v>
      </c>
      <c r="C79" s="2">
        <v>1047284444</v>
      </c>
      <c r="D79">
        <v>42.69</v>
      </c>
    </row>
    <row r="80" spans="1:4" x14ac:dyDescent="0.25">
      <c r="A80" s="24"/>
      <c r="B80" s="11" t="s">
        <v>71</v>
      </c>
      <c r="C80" s="2">
        <v>2930833333</v>
      </c>
      <c r="D80">
        <v>150</v>
      </c>
    </row>
    <row r="81" spans="1:4" x14ac:dyDescent="0.25">
      <c r="A81" s="24"/>
      <c r="B81" s="11" t="s">
        <v>68</v>
      </c>
      <c r="C81" s="2">
        <f>SUM(C77*(1-0.04052))</f>
        <v>220563501.59589136</v>
      </c>
      <c r="D81">
        <v>20.52</v>
      </c>
    </row>
    <row r="82" spans="1:4" x14ac:dyDescent="0.25">
      <c r="A82" s="24">
        <v>2044</v>
      </c>
      <c r="B82" s="11" t="s">
        <v>69</v>
      </c>
      <c r="C82" s="2">
        <v>270613611.10000002</v>
      </c>
      <c r="D82">
        <v>29.19</v>
      </c>
    </row>
    <row r="83" spans="1:4" x14ac:dyDescent="0.25">
      <c r="A83" s="24"/>
      <c r="B83" s="11" t="s">
        <v>70</v>
      </c>
      <c r="C83" s="2">
        <v>1047284444</v>
      </c>
      <c r="D83">
        <v>42.69</v>
      </c>
    </row>
    <row r="84" spans="1:4" x14ac:dyDescent="0.25">
      <c r="A84" s="24"/>
      <c r="B84" s="11" t="s">
        <v>71</v>
      </c>
      <c r="C84" s="2">
        <v>2930833333</v>
      </c>
      <c r="D84">
        <v>150</v>
      </c>
    </row>
    <row r="85" spans="1:4" x14ac:dyDescent="0.25">
      <c r="A85" s="24"/>
      <c r="B85" s="11" t="s">
        <v>68</v>
      </c>
      <c r="C85" s="2">
        <f>SUM(C81*(1-0.04052))</f>
        <v>211626268.51122585</v>
      </c>
      <c r="D85">
        <v>20.52</v>
      </c>
    </row>
    <row r="86" spans="1:4" x14ac:dyDescent="0.25">
      <c r="A86" s="24">
        <v>2045</v>
      </c>
      <c r="B86" s="11" t="s">
        <v>69</v>
      </c>
      <c r="C86" s="2">
        <v>270613611.10000002</v>
      </c>
      <c r="D86">
        <v>29.19</v>
      </c>
    </row>
    <row r="87" spans="1:4" x14ac:dyDescent="0.25">
      <c r="A87" s="24"/>
      <c r="B87" s="11" t="s">
        <v>70</v>
      </c>
      <c r="C87" s="2">
        <v>1047284444</v>
      </c>
      <c r="D87">
        <v>42.69</v>
      </c>
    </row>
    <row r="88" spans="1:4" x14ac:dyDescent="0.25">
      <c r="A88" s="24"/>
      <c r="B88" s="11" t="s">
        <v>71</v>
      </c>
      <c r="C88" s="2">
        <v>2930833333</v>
      </c>
      <c r="D88">
        <v>150</v>
      </c>
    </row>
    <row r="89" spans="1:4" x14ac:dyDescent="0.25">
      <c r="A89" s="24"/>
      <c r="B89" s="11" t="s">
        <v>68</v>
      </c>
      <c r="C89" s="2">
        <f>SUM(C85*(1-0.04052))</f>
        <v>203051172.11115098</v>
      </c>
      <c r="D89">
        <v>20.52</v>
      </c>
    </row>
    <row r="90" spans="1:4" x14ac:dyDescent="0.25">
      <c r="A90" s="24">
        <v>2046</v>
      </c>
      <c r="B90" s="11" t="s">
        <v>69</v>
      </c>
      <c r="C90" s="2">
        <v>270613611.10000002</v>
      </c>
      <c r="D90">
        <v>29.19</v>
      </c>
    </row>
    <row r="91" spans="1:4" x14ac:dyDescent="0.25">
      <c r="A91" s="24"/>
      <c r="B91" s="11" t="s">
        <v>70</v>
      </c>
      <c r="C91" s="2">
        <v>1047284444</v>
      </c>
      <c r="D91">
        <v>42.69</v>
      </c>
    </row>
    <row r="92" spans="1:4" x14ac:dyDescent="0.25">
      <c r="A92" s="24"/>
      <c r="B92" s="11" t="s">
        <v>71</v>
      </c>
      <c r="C92" s="2">
        <v>2930833333</v>
      </c>
      <c r="D92">
        <v>150</v>
      </c>
    </row>
    <row r="93" spans="1:4" x14ac:dyDescent="0.25">
      <c r="A93" s="24"/>
      <c r="B93" s="11" t="s">
        <v>68</v>
      </c>
      <c r="C93" s="2">
        <f>SUM(C89*(1-0.04052))</f>
        <v>194823538.61720714</v>
      </c>
      <c r="D93">
        <v>20.52</v>
      </c>
    </row>
    <row r="94" spans="1:4" x14ac:dyDescent="0.25">
      <c r="A94" s="24">
        <v>2047</v>
      </c>
      <c r="B94" s="11" t="s">
        <v>69</v>
      </c>
      <c r="C94" s="2">
        <v>270613611.10000002</v>
      </c>
      <c r="D94">
        <v>29.19</v>
      </c>
    </row>
    <row r="95" spans="1:4" x14ac:dyDescent="0.25">
      <c r="A95" s="24"/>
      <c r="B95" s="11" t="s">
        <v>70</v>
      </c>
      <c r="C95" s="2">
        <v>1047284444</v>
      </c>
      <c r="D95">
        <v>42.69</v>
      </c>
    </row>
    <row r="96" spans="1:4" x14ac:dyDescent="0.25">
      <c r="A96" s="24"/>
      <c r="B96" s="11" t="s">
        <v>71</v>
      </c>
      <c r="C96" s="2">
        <v>2930833333</v>
      </c>
      <c r="D96">
        <v>150</v>
      </c>
    </row>
    <row r="97" spans="1:4" x14ac:dyDescent="0.25">
      <c r="A97" s="24"/>
      <c r="B97" s="11" t="s">
        <v>68</v>
      </c>
      <c r="C97" s="2">
        <f>SUM(C93*(1-0.04052))</f>
        <v>186929288.8324379</v>
      </c>
      <c r="D97">
        <v>20.52</v>
      </c>
    </row>
    <row r="98" spans="1:4" x14ac:dyDescent="0.25">
      <c r="A98" s="24">
        <v>2048</v>
      </c>
      <c r="B98" s="11" t="s">
        <v>69</v>
      </c>
      <c r="C98" s="2">
        <v>270613611.10000002</v>
      </c>
      <c r="D98">
        <v>29.19</v>
      </c>
    </row>
    <row r="99" spans="1:4" x14ac:dyDescent="0.25">
      <c r="A99" s="24"/>
      <c r="B99" s="11" t="s">
        <v>70</v>
      </c>
      <c r="C99" s="2">
        <v>1047284444</v>
      </c>
      <c r="D99">
        <v>42.69</v>
      </c>
    </row>
    <row r="100" spans="1:4" x14ac:dyDescent="0.25">
      <c r="A100" s="24"/>
      <c r="B100" s="11" t="s">
        <v>71</v>
      </c>
      <c r="C100" s="2">
        <v>2930833333</v>
      </c>
      <c r="D100">
        <v>150</v>
      </c>
    </row>
    <row r="101" spans="1:4" x14ac:dyDescent="0.25">
      <c r="A101" s="24"/>
      <c r="B101" s="11" t="s">
        <v>68</v>
      </c>
      <c r="C101" s="2">
        <f>SUM(C97*(1-0.04052))</f>
        <v>179354914.04894751</v>
      </c>
      <c r="D101">
        <v>20.52</v>
      </c>
    </row>
    <row r="102" spans="1:4" x14ac:dyDescent="0.25">
      <c r="A102" s="24">
        <v>2049</v>
      </c>
      <c r="B102" s="11" t="s">
        <v>69</v>
      </c>
      <c r="C102" s="2">
        <v>270613611.10000002</v>
      </c>
      <c r="D102">
        <v>29.19</v>
      </c>
    </row>
    <row r="103" spans="1:4" x14ac:dyDescent="0.25">
      <c r="A103" s="24"/>
      <c r="B103" s="11" t="s">
        <v>70</v>
      </c>
      <c r="C103" s="2">
        <v>1047284444</v>
      </c>
      <c r="D103">
        <v>42.69</v>
      </c>
    </row>
    <row r="104" spans="1:4" x14ac:dyDescent="0.25">
      <c r="A104" s="24"/>
      <c r="B104" s="11" t="s">
        <v>71</v>
      </c>
      <c r="C104" s="2">
        <v>2930833333</v>
      </c>
      <c r="D104">
        <v>150</v>
      </c>
    </row>
    <row r="105" spans="1:4" x14ac:dyDescent="0.25">
      <c r="A105" s="24"/>
      <c r="B105" s="11" t="s">
        <v>68</v>
      </c>
      <c r="C105" s="2">
        <f>SUM(C101*(1-0.04052))</f>
        <v>172087452.93168417</v>
      </c>
      <c r="D105">
        <v>20.52</v>
      </c>
    </row>
    <row r="106" spans="1:4" x14ac:dyDescent="0.25">
      <c r="A106" s="24">
        <v>2050</v>
      </c>
      <c r="B106" s="11" t="s">
        <v>69</v>
      </c>
      <c r="C106" s="2">
        <v>270613611.10000002</v>
      </c>
      <c r="D106">
        <v>29.19</v>
      </c>
    </row>
    <row r="107" spans="1:4" x14ac:dyDescent="0.25">
      <c r="A107" s="24"/>
      <c r="B107" s="11" t="s">
        <v>70</v>
      </c>
      <c r="C107" s="2">
        <v>1047284444</v>
      </c>
      <c r="D107">
        <v>42.69</v>
      </c>
    </row>
    <row r="108" spans="1:4" x14ac:dyDescent="0.25">
      <c r="A108" s="24"/>
      <c r="B108" s="11" t="s">
        <v>71</v>
      </c>
      <c r="C108" s="2">
        <v>2930833333</v>
      </c>
      <c r="D108">
        <v>150</v>
      </c>
    </row>
    <row r="109" spans="1:4" x14ac:dyDescent="0.25">
      <c r="A109" s="24"/>
      <c r="B109" s="11" t="s">
        <v>68</v>
      </c>
      <c r="C109" s="2">
        <f>SUM(C105*(1-0.04052))</f>
        <v>165114469.33889231</v>
      </c>
      <c r="D109">
        <v>20.52</v>
      </c>
    </row>
  </sheetData>
  <autoFilter ref="B1:B109" xr:uid="{DB5FB19D-A699-4685-BD4E-A72E73D671DD}"/>
  <mergeCells count="27">
    <mergeCell ref="A102:A105"/>
    <mergeCell ref="A106:A109"/>
    <mergeCell ref="A82:A85"/>
    <mergeCell ref="A86:A89"/>
    <mergeCell ref="A90:A93"/>
    <mergeCell ref="A94:A97"/>
    <mergeCell ref="A98:A101"/>
    <mergeCell ref="A62:A65"/>
    <mergeCell ref="A66:A69"/>
    <mergeCell ref="A70:A73"/>
    <mergeCell ref="A74:A77"/>
    <mergeCell ref="A78:A81"/>
    <mergeCell ref="A42:A45"/>
    <mergeCell ref="A46:A49"/>
    <mergeCell ref="A50:A53"/>
    <mergeCell ref="A54:A57"/>
    <mergeCell ref="A58:A61"/>
    <mergeCell ref="A22:A25"/>
    <mergeCell ref="A26:A29"/>
    <mergeCell ref="A30:A33"/>
    <mergeCell ref="A34:A37"/>
    <mergeCell ref="A38:A41"/>
    <mergeCell ref="A2:A5"/>
    <mergeCell ref="A6:A9"/>
    <mergeCell ref="A10:A13"/>
    <mergeCell ref="A14:A17"/>
    <mergeCell ref="A18:A21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D52F-0ADA-4AC5-8A50-4699398C8904}">
  <dimension ref="A1:H15"/>
  <sheetViews>
    <sheetView workbookViewId="0">
      <selection activeCell="D1" sqref="D1"/>
    </sheetView>
  </sheetViews>
  <sheetFormatPr baseColWidth="10" defaultRowHeight="15" x14ac:dyDescent="0.25"/>
  <sheetData>
    <row r="1" spans="1:8" x14ac:dyDescent="0.25">
      <c r="A1" t="s">
        <v>90</v>
      </c>
      <c r="B1" t="s">
        <v>82</v>
      </c>
      <c r="C1" t="s">
        <v>83</v>
      </c>
      <c r="D1" t="s">
        <v>72</v>
      </c>
      <c r="E1" t="s">
        <v>73</v>
      </c>
      <c r="F1" t="s">
        <v>104</v>
      </c>
      <c r="G1" t="s">
        <v>74</v>
      </c>
      <c r="H1" t="s">
        <v>78</v>
      </c>
    </row>
    <row r="2" spans="1:8" x14ac:dyDescent="0.25">
      <c r="A2" t="s">
        <v>16</v>
      </c>
      <c r="B2" t="s">
        <v>75</v>
      </c>
      <c r="C2" t="s">
        <v>108</v>
      </c>
      <c r="D2">
        <v>1</v>
      </c>
      <c r="E2" s="12">
        <v>150</v>
      </c>
      <c r="F2" s="20">
        <v>24000</v>
      </c>
      <c r="G2">
        <v>0</v>
      </c>
    </row>
    <row r="3" spans="1:8" x14ac:dyDescent="0.25">
      <c r="A3" t="s">
        <v>16</v>
      </c>
      <c r="B3" t="s">
        <v>75</v>
      </c>
      <c r="C3" t="s">
        <v>91</v>
      </c>
      <c r="D3">
        <v>1</v>
      </c>
      <c r="E3" s="12">
        <v>125</v>
      </c>
      <c r="F3" s="20">
        <v>2000</v>
      </c>
      <c r="G3">
        <v>0</v>
      </c>
    </row>
    <row r="4" spans="1:8" x14ac:dyDescent="0.25">
      <c r="A4" t="s">
        <v>16</v>
      </c>
      <c r="B4" t="s">
        <v>75</v>
      </c>
      <c r="C4" t="s">
        <v>86</v>
      </c>
      <c r="D4">
        <v>1</v>
      </c>
      <c r="E4" s="12">
        <v>76</v>
      </c>
      <c r="F4" s="20">
        <v>7000</v>
      </c>
      <c r="G4">
        <v>0</v>
      </c>
    </row>
    <row r="5" spans="1:8" x14ac:dyDescent="0.25">
      <c r="A5" t="s">
        <v>16</v>
      </c>
      <c r="B5" t="s">
        <v>75</v>
      </c>
      <c r="C5" t="s">
        <v>87</v>
      </c>
      <c r="D5">
        <v>1</v>
      </c>
      <c r="E5" s="12">
        <v>75</v>
      </c>
      <c r="F5" s="7">
        <v>22000</v>
      </c>
      <c r="G5">
        <v>1</v>
      </c>
      <c r="H5" t="s">
        <v>79</v>
      </c>
    </row>
    <row r="6" spans="1:8" x14ac:dyDescent="0.25">
      <c r="A6" t="s">
        <v>16</v>
      </c>
      <c r="B6" t="s">
        <v>76</v>
      </c>
      <c r="C6" t="s">
        <v>120</v>
      </c>
      <c r="D6">
        <v>1</v>
      </c>
      <c r="E6" s="12">
        <v>60</v>
      </c>
      <c r="F6" s="20">
        <v>18000</v>
      </c>
      <c r="G6">
        <v>0</v>
      </c>
      <c r="H6" t="s">
        <v>80</v>
      </c>
    </row>
    <row r="7" spans="1:8" x14ac:dyDescent="0.25">
      <c r="A7" t="s">
        <v>16</v>
      </c>
      <c r="B7" t="s">
        <v>76</v>
      </c>
      <c r="C7" t="s">
        <v>121</v>
      </c>
      <c r="D7">
        <v>1</v>
      </c>
      <c r="E7" s="12">
        <v>55</v>
      </c>
      <c r="F7" s="20">
        <v>14000</v>
      </c>
      <c r="G7">
        <v>0</v>
      </c>
      <c r="H7" t="s">
        <v>80</v>
      </c>
    </row>
    <row r="8" spans="1:8" x14ac:dyDescent="0.25">
      <c r="A8" t="s">
        <v>16</v>
      </c>
      <c r="B8" t="s">
        <v>76</v>
      </c>
      <c r="C8" t="s">
        <v>122</v>
      </c>
      <c r="D8">
        <v>1</v>
      </c>
      <c r="E8" s="12">
        <v>35</v>
      </c>
      <c r="F8" s="20">
        <v>13000</v>
      </c>
      <c r="G8">
        <v>0</v>
      </c>
      <c r="H8" t="s">
        <v>80</v>
      </c>
    </row>
    <row r="9" spans="1:8" x14ac:dyDescent="0.25">
      <c r="A9" t="s">
        <v>16</v>
      </c>
      <c r="B9" t="s">
        <v>76</v>
      </c>
      <c r="C9" t="s">
        <v>123</v>
      </c>
      <c r="D9">
        <v>1</v>
      </c>
      <c r="E9" s="12">
        <v>0</v>
      </c>
      <c r="F9" s="7">
        <v>999999</v>
      </c>
      <c r="G9">
        <v>1</v>
      </c>
      <c r="H9" t="s">
        <v>111</v>
      </c>
    </row>
    <row r="10" spans="1:8" x14ac:dyDescent="0.25">
      <c r="A10" t="s">
        <v>16</v>
      </c>
      <c r="B10" t="s">
        <v>77</v>
      </c>
      <c r="C10" t="s">
        <v>124</v>
      </c>
      <c r="D10">
        <v>1</v>
      </c>
      <c r="E10" s="12">
        <v>60</v>
      </c>
      <c r="F10" s="20">
        <v>5000</v>
      </c>
      <c r="G10">
        <v>0</v>
      </c>
      <c r="H10" t="s">
        <v>81</v>
      </c>
    </row>
    <row r="11" spans="1:8" x14ac:dyDescent="0.25">
      <c r="A11" t="s">
        <v>16</v>
      </c>
      <c r="B11" t="s">
        <v>77</v>
      </c>
      <c r="C11" t="s">
        <v>125</v>
      </c>
      <c r="D11">
        <v>1</v>
      </c>
      <c r="E11" s="12">
        <v>55</v>
      </c>
      <c r="F11" s="20">
        <v>9000</v>
      </c>
      <c r="G11">
        <v>0</v>
      </c>
    </row>
    <row r="12" spans="1:8" x14ac:dyDescent="0.25">
      <c r="A12" t="s">
        <v>16</v>
      </c>
      <c r="B12" t="s">
        <v>77</v>
      </c>
      <c r="C12" t="s">
        <v>126</v>
      </c>
      <c r="D12">
        <v>1</v>
      </c>
      <c r="E12" s="12">
        <v>35</v>
      </c>
      <c r="F12" s="20">
        <v>7000</v>
      </c>
      <c r="G12">
        <v>0</v>
      </c>
    </row>
    <row r="13" spans="1:8" x14ac:dyDescent="0.25">
      <c r="A13" t="s">
        <v>16</v>
      </c>
      <c r="B13" t="s">
        <v>77</v>
      </c>
      <c r="C13" t="s">
        <v>127</v>
      </c>
      <c r="D13">
        <v>1</v>
      </c>
      <c r="E13" s="12">
        <v>0</v>
      </c>
      <c r="F13" s="7">
        <v>999999</v>
      </c>
      <c r="G13">
        <v>1</v>
      </c>
    </row>
    <row r="14" spans="1:8" x14ac:dyDescent="0.25">
      <c r="A14" t="s">
        <v>16</v>
      </c>
      <c r="B14" t="s">
        <v>88</v>
      </c>
      <c r="C14" t="s">
        <v>113</v>
      </c>
      <c r="D14">
        <v>1</v>
      </c>
      <c r="E14" s="12">
        <v>0</v>
      </c>
      <c r="F14">
        <v>0</v>
      </c>
      <c r="G14">
        <v>0</v>
      </c>
    </row>
    <row r="15" spans="1:8" x14ac:dyDescent="0.25">
      <c r="A15" t="s">
        <v>16</v>
      </c>
      <c r="B15" t="s">
        <v>88</v>
      </c>
      <c r="C15" t="s">
        <v>93</v>
      </c>
      <c r="D15">
        <v>1</v>
      </c>
      <c r="E15" s="12">
        <v>0</v>
      </c>
      <c r="F15" s="12">
        <v>0</v>
      </c>
      <c r="G15">
        <v>1</v>
      </c>
      <c r="H15" t="s">
        <v>111</v>
      </c>
    </row>
  </sheetData>
  <phoneticPr fontId="7" type="noConversion"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A697-84AA-4F97-BE70-81695B57512E}">
  <dimension ref="A1:F46"/>
  <sheetViews>
    <sheetView workbookViewId="0">
      <selection activeCell="H4" sqref="H4"/>
    </sheetView>
  </sheetViews>
  <sheetFormatPr baseColWidth="10" defaultRowHeight="15" x14ac:dyDescent="0.25"/>
  <cols>
    <col min="3" max="3" width="25.85546875" customWidth="1"/>
    <col min="5" max="5" width="18.7109375" customWidth="1"/>
    <col min="6" max="6" width="12" customWidth="1"/>
  </cols>
  <sheetData>
    <row r="1" spans="1:6" x14ac:dyDescent="0.25">
      <c r="A1" t="s">
        <v>82</v>
      </c>
      <c r="B1" t="s">
        <v>83</v>
      </c>
      <c r="C1" t="s">
        <v>84</v>
      </c>
      <c r="D1" t="s">
        <v>100</v>
      </c>
      <c r="E1" t="s">
        <v>101</v>
      </c>
      <c r="F1" t="s">
        <v>99</v>
      </c>
    </row>
    <row r="2" spans="1:6" x14ac:dyDescent="0.25">
      <c r="A2" s="12" t="s">
        <v>75</v>
      </c>
      <c r="B2" s="12" t="s">
        <v>87</v>
      </c>
      <c r="C2" s="12" t="s">
        <v>136</v>
      </c>
      <c r="D2" s="12">
        <v>11.080597014925374</v>
      </c>
      <c r="E2" s="12">
        <v>11.080597014925374</v>
      </c>
      <c r="F2">
        <v>0.99399999999999999</v>
      </c>
    </row>
    <row r="3" spans="1:6" x14ac:dyDescent="0.25">
      <c r="A3" s="12" t="s">
        <v>75</v>
      </c>
      <c r="B3" s="12" t="s">
        <v>87</v>
      </c>
      <c r="C3" s="12" t="s">
        <v>177</v>
      </c>
      <c r="D3" s="12">
        <v>46.4</v>
      </c>
      <c r="E3" s="12">
        <v>46.4</v>
      </c>
      <c r="F3">
        <v>0.92100000000000004</v>
      </c>
    </row>
    <row r="4" spans="1:6" x14ac:dyDescent="0.25">
      <c r="A4" s="12" t="s">
        <v>75</v>
      </c>
      <c r="B4" s="12" t="s">
        <v>87</v>
      </c>
      <c r="C4" s="12" t="s">
        <v>178</v>
      </c>
      <c r="D4" s="12">
        <v>7.6179104477611936</v>
      </c>
      <c r="E4" s="12">
        <v>7.6179104477611936</v>
      </c>
      <c r="F4">
        <v>0.27400000000000002</v>
      </c>
    </row>
    <row r="5" spans="1:6" x14ac:dyDescent="0.25">
      <c r="A5" s="12" t="s">
        <v>75</v>
      </c>
      <c r="B5" s="12" t="s">
        <v>87</v>
      </c>
      <c r="C5" s="12" t="s">
        <v>138</v>
      </c>
      <c r="D5" s="12">
        <v>0.62328358208955215</v>
      </c>
      <c r="E5" s="12">
        <v>0.62328358208955215</v>
      </c>
      <c r="F5">
        <v>0.97</v>
      </c>
    </row>
    <row r="6" spans="1:6" x14ac:dyDescent="0.25">
      <c r="A6" s="12" t="s">
        <v>75</v>
      </c>
      <c r="B6" s="12" t="s">
        <v>86</v>
      </c>
      <c r="C6" s="12" t="s">
        <v>179</v>
      </c>
      <c r="D6" s="12">
        <v>2.0776119402985072E-2</v>
      </c>
      <c r="E6" s="12">
        <v>2.0776119402985072E-2</v>
      </c>
      <c r="F6">
        <v>0.68100000000000005</v>
      </c>
    </row>
    <row r="7" spans="1:6" x14ac:dyDescent="0.25">
      <c r="A7" s="12" t="s">
        <v>75</v>
      </c>
      <c r="B7" s="12" t="s">
        <v>108</v>
      </c>
      <c r="C7" s="12" t="s">
        <v>180</v>
      </c>
      <c r="D7" s="12">
        <v>3.047164179104477</v>
      </c>
      <c r="E7" s="12">
        <v>3.047164179104477</v>
      </c>
      <c r="F7">
        <v>0.88900000000000001</v>
      </c>
    </row>
    <row r="8" spans="1:6" x14ac:dyDescent="0.25">
      <c r="A8" s="12" t="s">
        <v>75</v>
      </c>
      <c r="B8" s="12" t="s">
        <v>86</v>
      </c>
      <c r="C8" s="12" t="s">
        <v>136</v>
      </c>
      <c r="D8" s="12">
        <v>0.20776119402985074</v>
      </c>
      <c r="E8" s="12">
        <v>0.20776119402985074</v>
      </c>
      <c r="F8">
        <v>0.1</v>
      </c>
    </row>
    <row r="9" spans="1:6" x14ac:dyDescent="0.25">
      <c r="A9" s="12" t="s">
        <v>76</v>
      </c>
      <c r="B9" s="12" t="s">
        <v>120</v>
      </c>
      <c r="C9" s="12" t="s">
        <v>116</v>
      </c>
      <c r="D9" s="12">
        <v>15</v>
      </c>
      <c r="E9" s="12">
        <v>15</v>
      </c>
      <c r="F9" s="9">
        <v>0</v>
      </c>
    </row>
    <row r="10" spans="1:6" x14ac:dyDescent="0.25">
      <c r="A10" s="12" t="s">
        <v>76</v>
      </c>
      <c r="B10" s="12" t="s">
        <v>121</v>
      </c>
      <c r="C10" s="12" t="s">
        <v>118</v>
      </c>
      <c r="D10" s="12">
        <v>180</v>
      </c>
      <c r="E10" s="12">
        <v>180</v>
      </c>
      <c r="F10" s="9">
        <v>0.95</v>
      </c>
    </row>
    <row r="11" spans="1:6" x14ac:dyDescent="0.25">
      <c r="A11" s="12" t="s">
        <v>76</v>
      </c>
      <c r="B11" s="12" t="s">
        <v>122</v>
      </c>
      <c r="C11" s="12" t="s">
        <v>136</v>
      </c>
      <c r="D11" s="12">
        <v>0.80645121600000003</v>
      </c>
      <c r="E11" s="12">
        <v>0.80645121600000003</v>
      </c>
      <c r="F11" t="s">
        <v>85</v>
      </c>
    </row>
    <row r="12" spans="1:6" x14ac:dyDescent="0.25">
      <c r="A12" s="12" t="s">
        <v>76</v>
      </c>
      <c r="B12" s="12" t="s">
        <v>122</v>
      </c>
      <c r="C12" s="12" t="s">
        <v>137</v>
      </c>
      <c r="D12" s="12">
        <v>2.4417760000000005E-3</v>
      </c>
      <c r="E12" s="12">
        <v>2.4417760000000005E-3</v>
      </c>
      <c r="F12" t="s">
        <v>85</v>
      </c>
    </row>
    <row r="13" spans="1:6" x14ac:dyDescent="0.25">
      <c r="A13" s="12" t="s">
        <v>76</v>
      </c>
      <c r="B13" s="12" t="s">
        <v>122</v>
      </c>
      <c r="C13" s="12" t="s">
        <v>138</v>
      </c>
      <c r="D13" s="12">
        <v>0.99598527400000014</v>
      </c>
      <c r="E13" s="12">
        <v>0.99598527400000014</v>
      </c>
      <c r="F13" t="s">
        <v>85</v>
      </c>
    </row>
    <row r="14" spans="1:6" x14ac:dyDescent="0.25">
      <c r="A14" s="12" t="s">
        <v>76</v>
      </c>
      <c r="B14" s="12" t="s">
        <v>122</v>
      </c>
      <c r="C14" s="12" t="s">
        <v>139</v>
      </c>
      <c r="D14" s="12">
        <v>1.8875200000000002E-3</v>
      </c>
      <c r="E14" s="12">
        <v>1.8875200000000002E-3</v>
      </c>
      <c r="F14" t="s">
        <v>85</v>
      </c>
    </row>
    <row r="15" spans="1:6" x14ac:dyDescent="0.25">
      <c r="A15" s="12" t="s">
        <v>76</v>
      </c>
      <c r="B15" s="12" t="s">
        <v>122</v>
      </c>
      <c r="C15" s="12" t="s">
        <v>140</v>
      </c>
      <c r="D15" s="12">
        <v>4.4819000000000006E-5</v>
      </c>
      <c r="E15" s="12">
        <v>4.4819000000000006E-5</v>
      </c>
      <c r="F15" t="s">
        <v>85</v>
      </c>
    </row>
    <row r="16" spans="1:6" x14ac:dyDescent="0.25">
      <c r="A16" s="12" t="s">
        <v>76</v>
      </c>
      <c r="B16" s="12" t="s">
        <v>121</v>
      </c>
      <c r="C16" s="12" t="s">
        <v>141</v>
      </c>
      <c r="D16" s="12">
        <v>4.6005630000000002E-3</v>
      </c>
      <c r="E16" s="12">
        <v>4.6005630000000002E-3</v>
      </c>
      <c r="F16" t="s">
        <v>85</v>
      </c>
    </row>
    <row r="17" spans="1:6" x14ac:dyDescent="0.25">
      <c r="A17" s="12" t="s">
        <v>76</v>
      </c>
      <c r="B17" s="12" t="s">
        <v>121</v>
      </c>
      <c r="C17" s="12" t="s">
        <v>142</v>
      </c>
      <c r="D17" s="12">
        <v>9.0565300000000008E-4</v>
      </c>
      <c r="E17" s="12">
        <v>9.0565300000000008E-4</v>
      </c>
      <c r="F17" t="s">
        <v>85</v>
      </c>
    </row>
    <row r="18" spans="1:6" x14ac:dyDescent="0.25">
      <c r="A18" s="12" t="s">
        <v>76</v>
      </c>
      <c r="B18" s="12" t="s">
        <v>122</v>
      </c>
      <c r="C18" s="12" t="s">
        <v>143</v>
      </c>
      <c r="D18" s="12">
        <v>1.9774658839999999</v>
      </c>
      <c r="E18" s="12">
        <v>1.9774658839999999</v>
      </c>
      <c r="F18" t="s">
        <v>85</v>
      </c>
    </row>
    <row r="19" spans="1:6" x14ac:dyDescent="0.25">
      <c r="A19" s="12" t="s">
        <v>76</v>
      </c>
      <c r="B19" s="12" t="s">
        <v>122</v>
      </c>
      <c r="C19" s="12" t="s">
        <v>144</v>
      </c>
      <c r="D19" s="12">
        <v>3.9663748000000006E-2</v>
      </c>
      <c r="E19" s="12">
        <v>3.9663748000000006E-2</v>
      </c>
      <c r="F19" t="s">
        <v>85</v>
      </c>
    </row>
    <row r="20" spans="1:6" x14ac:dyDescent="0.25">
      <c r="A20" s="12" t="s">
        <v>76</v>
      </c>
      <c r="B20" s="12" t="s">
        <v>122</v>
      </c>
      <c r="C20" s="12" t="s">
        <v>145</v>
      </c>
      <c r="D20" s="12">
        <v>2.1210528159999997</v>
      </c>
      <c r="E20" s="12">
        <v>2.1210528159999997</v>
      </c>
      <c r="F20" t="s">
        <v>85</v>
      </c>
    </row>
    <row r="21" spans="1:6" x14ac:dyDescent="0.25">
      <c r="A21" s="12" t="s">
        <v>76</v>
      </c>
      <c r="B21" s="12" t="s">
        <v>122</v>
      </c>
      <c r="C21" s="12" t="s">
        <v>146</v>
      </c>
      <c r="D21" s="12">
        <v>3.0464200000000004E-4</v>
      </c>
      <c r="E21" s="12">
        <v>3.0464200000000004E-4</v>
      </c>
      <c r="F21" t="s">
        <v>85</v>
      </c>
    </row>
    <row r="22" spans="1:6" x14ac:dyDescent="0.25">
      <c r="A22" s="12" t="s">
        <v>76</v>
      </c>
      <c r="B22" s="12" t="s">
        <v>122</v>
      </c>
      <c r="C22" s="12" t="s">
        <v>147</v>
      </c>
      <c r="D22" s="12">
        <v>5.3289600000000004E-4</v>
      </c>
      <c r="E22" s="12">
        <v>5.3289600000000004E-4</v>
      </c>
      <c r="F22" t="s">
        <v>85</v>
      </c>
    </row>
    <row r="23" spans="1:6" x14ac:dyDescent="0.25">
      <c r="A23" s="12" t="s">
        <v>76</v>
      </c>
      <c r="B23" s="12" t="s">
        <v>122</v>
      </c>
      <c r="C23" s="12" t="s">
        <v>148</v>
      </c>
      <c r="D23" s="12">
        <v>2.3000000000000001E-8</v>
      </c>
      <c r="E23" s="12">
        <v>2.3000000000000001E-8</v>
      </c>
      <c r="F23" t="s">
        <v>85</v>
      </c>
    </row>
    <row r="24" spans="1:6" x14ac:dyDescent="0.25">
      <c r="A24" s="12" t="s">
        <v>76</v>
      </c>
      <c r="B24" s="12" t="s">
        <v>122</v>
      </c>
      <c r="C24" s="12" t="s">
        <v>149</v>
      </c>
      <c r="D24" s="12">
        <v>5.0735241E-2</v>
      </c>
      <c r="E24" s="12">
        <v>5.0735241E-2</v>
      </c>
      <c r="F24" t="s">
        <v>85</v>
      </c>
    </row>
    <row r="25" spans="1:6" x14ac:dyDescent="0.25">
      <c r="A25" s="12" t="s">
        <v>76</v>
      </c>
      <c r="B25" s="12" t="s">
        <v>122</v>
      </c>
      <c r="C25" s="12" t="s">
        <v>150</v>
      </c>
      <c r="D25" s="12">
        <v>1.5200000000000001E-7</v>
      </c>
      <c r="E25" s="12">
        <v>1.5200000000000001E-7</v>
      </c>
      <c r="F25" t="s">
        <v>85</v>
      </c>
    </row>
    <row r="26" spans="1:6" x14ac:dyDescent="0.25">
      <c r="A26" s="12" t="s">
        <v>77</v>
      </c>
      <c r="B26" s="12" t="s">
        <v>124</v>
      </c>
      <c r="C26" s="12" t="s">
        <v>117</v>
      </c>
      <c r="D26" s="12">
        <v>30</v>
      </c>
      <c r="E26" s="12">
        <v>30</v>
      </c>
      <c r="F26" s="9">
        <v>0</v>
      </c>
    </row>
    <row r="27" spans="1:6" x14ac:dyDescent="0.25">
      <c r="A27" s="12" t="s">
        <v>77</v>
      </c>
      <c r="B27" s="12" t="s">
        <v>125</v>
      </c>
      <c r="C27" s="12" t="s">
        <v>119</v>
      </c>
      <c r="D27" s="12">
        <v>250</v>
      </c>
      <c r="E27" s="12">
        <v>250</v>
      </c>
      <c r="F27" s="9">
        <v>0.95</v>
      </c>
    </row>
    <row r="28" spans="1:6" x14ac:dyDescent="0.25">
      <c r="A28" s="12" t="s">
        <v>77</v>
      </c>
      <c r="B28" s="12" t="s">
        <v>126</v>
      </c>
      <c r="C28" s="12" t="s">
        <v>136</v>
      </c>
      <c r="D28" s="12">
        <v>0.76185761500000004</v>
      </c>
      <c r="E28" s="12">
        <v>0.76185761500000004</v>
      </c>
      <c r="F28" t="s">
        <v>85</v>
      </c>
    </row>
    <row r="29" spans="1:6" x14ac:dyDescent="0.25">
      <c r="A29" s="12" t="s">
        <v>77</v>
      </c>
      <c r="B29" s="12" t="s">
        <v>126</v>
      </c>
      <c r="C29" s="12" t="s">
        <v>151</v>
      </c>
      <c r="D29" s="12">
        <v>2.0542469999999995E-3</v>
      </c>
      <c r="E29" s="12">
        <v>2.0542469999999995E-3</v>
      </c>
      <c r="F29" t="s">
        <v>85</v>
      </c>
    </row>
    <row r="30" spans="1:6" x14ac:dyDescent="0.25">
      <c r="A30" s="12" t="s">
        <v>77</v>
      </c>
      <c r="B30" s="12" t="s">
        <v>126</v>
      </c>
      <c r="C30" s="12" t="s">
        <v>137</v>
      </c>
      <c r="D30" s="12">
        <v>1.3319019999999998E-3</v>
      </c>
      <c r="E30" s="12">
        <v>1.3319019999999998E-3</v>
      </c>
      <c r="F30" t="s">
        <v>85</v>
      </c>
    </row>
    <row r="31" spans="1:6" x14ac:dyDescent="0.25">
      <c r="A31" s="12" t="s">
        <v>77</v>
      </c>
      <c r="B31" s="12" t="s">
        <v>126</v>
      </c>
      <c r="C31" s="12" t="s">
        <v>138</v>
      </c>
      <c r="D31" s="12">
        <v>1.5534533760000002</v>
      </c>
      <c r="E31" s="12">
        <v>1.5534533760000002</v>
      </c>
      <c r="F31" t="s">
        <v>85</v>
      </c>
    </row>
    <row r="32" spans="1:6" x14ac:dyDescent="0.25">
      <c r="A32" s="12" t="s">
        <v>77</v>
      </c>
      <c r="B32" s="12" t="s">
        <v>126</v>
      </c>
      <c r="C32" s="12" t="s">
        <v>139</v>
      </c>
      <c r="D32" s="12">
        <v>6.5629390000000003E-3</v>
      </c>
      <c r="E32" s="12">
        <v>6.5629390000000003E-3</v>
      </c>
      <c r="F32" t="s">
        <v>85</v>
      </c>
    </row>
    <row r="33" spans="1:6" x14ac:dyDescent="0.25">
      <c r="A33" s="12" t="s">
        <v>77</v>
      </c>
      <c r="B33" s="12" t="s">
        <v>126</v>
      </c>
      <c r="C33" s="12" t="s">
        <v>140</v>
      </c>
      <c r="D33" s="12">
        <v>1.592E-5</v>
      </c>
      <c r="E33" s="12">
        <v>1.592E-5</v>
      </c>
      <c r="F33" t="s">
        <v>85</v>
      </c>
    </row>
    <row r="34" spans="1:6" x14ac:dyDescent="0.25">
      <c r="A34" s="12" t="s">
        <v>77</v>
      </c>
      <c r="B34" s="12" t="s">
        <v>125</v>
      </c>
      <c r="C34" s="12" t="s">
        <v>141</v>
      </c>
      <c r="D34" s="12">
        <v>6.3938059999999993E-3</v>
      </c>
      <c r="E34" s="12">
        <v>6.3938059999999993E-3</v>
      </c>
      <c r="F34" t="s">
        <v>85</v>
      </c>
    </row>
    <row r="35" spans="1:6" x14ac:dyDescent="0.25">
      <c r="A35" s="12" t="s">
        <v>77</v>
      </c>
      <c r="B35" s="12" t="s">
        <v>125</v>
      </c>
      <c r="C35" s="12" t="s">
        <v>142</v>
      </c>
      <c r="D35" s="12">
        <v>1.2656820000000002E-3</v>
      </c>
      <c r="E35" s="12">
        <v>1.2656820000000002E-3</v>
      </c>
      <c r="F35" t="s">
        <v>85</v>
      </c>
    </row>
    <row r="36" spans="1:6" x14ac:dyDescent="0.25">
      <c r="A36" s="12" t="s">
        <v>77</v>
      </c>
      <c r="B36" s="12" t="s">
        <v>126</v>
      </c>
      <c r="C36" s="12" t="s">
        <v>143</v>
      </c>
      <c r="D36" s="12">
        <v>1.0573537260000001</v>
      </c>
      <c r="E36" s="12">
        <v>1.0573537260000001</v>
      </c>
      <c r="F36" t="s">
        <v>85</v>
      </c>
    </row>
    <row r="37" spans="1:6" x14ac:dyDescent="0.25">
      <c r="A37" s="12" t="s">
        <v>77</v>
      </c>
      <c r="B37" s="12" t="s">
        <v>126</v>
      </c>
      <c r="C37" s="12" t="s">
        <v>152</v>
      </c>
      <c r="D37" s="12">
        <v>3.7349899999999996E-4</v>
      </c>
      <c r="E37" s="12">
        <v>3.7349899999999996E-4</v>
      </c>
      <c r="F37" t="s">
        <v>85</v>
      </c>
    </row>
    <row r="38" spans="1:6" x14ac:dyDescent="0.25">
      <c r="A38" s="12" t="s">
        <v>77</v>
      </c>
      <c r="B38" s="12" t="s">
        <v>126</v>
      </c>
      <c r="C38" s="12" t="s">
        <v>144</v>
      </c>
      <c r="D38" s="12">
        <v>0.10560918700000001</v>
      </c>
      <c r="E38" s="12">
        <v>0.10560918700000001</v>
      </c>
      <c r="F38" t="s">
        <v>85</v>
      </c>
    </row>
    <row r="39" spans="1:6" x14ac:dyDescent="0.25">
      <c r="A39" s="12" t="s">
        <v>77</v>
      </c>
      <c r="B39" s="12" t="s">
        <v>126</v>
      </c>
      <c r="C39" s="12" t="s">
        <v>145</v>
      </c>
      <c r="D39" s="12">
        <v>0.86241605300000002</v>
      </c>
      <c r="E39" s="12">
        <v>0.86241605300000002</v>
      </c>
      <c r="F39" t="s">
        <v>85</v>
      </c>
    </row>
    <row r="40" spans="1:6" x14ac:dyDescent="0.25">
      <c r="A40" s="12" t="s">
        <v>77</v>
      </c>
      <c r="B40" s="12" t="s">
        <v>126</v>
      </c>
      <c r="C40" s="12" t="s">
        <v>146</v>
      </c>
      <c r="D40" s="12">
        <v>1.59808E-4</v>
      </c>
      <c r="E40" s="12">
        <v>1.59808E-4</v>
      </c>
      <c r="F40" t="s">
        <v>85</v>
      </c>
    </row>
    <row r="41" spans="1:6" x14ac:dyDescent="0.25">
      <c r="A41" s="12" t="s">
        <v>77</v>
      </c>
      <c r="B41" s="12" t="s">
        <v>126</v>
      </c>
      <c r="C41" s="12" t="s">
        <v>147</v>
      </c>
      <c r="D41" s="12">
        <v>4.3179209999999996E-2</v>
      </c>
      <c r="E41" s="12">
        <v>4.3179209999999996E-2</v>
      </c>
      <c r="F41" t="s">
        <v>85</v>
      </c>
    </row>
    <row r="42" spans="1:6" x14ac:dyDescent="0.25">
      <c r="A42" s="12" t="s">
        <v>77</v>
      </c>
      <c r="B42" s="12" t="s">
        <v>126</v>
      </c>
      <c r="C42" s="12" t="s">
        <v>148</v>
      </c>
      <c r="D42" s="12">
        <v>3.7350900000000006E-4</v>
      </c>
      <c r="E42" s="12">
        <v>3.7350900000000006E-4</v>
      </c>
      <c r="F42" t="s">
        <v>85</v>
      </c>
    </row>
    <row r="43" spans="1:6" x14ac:dyDescent="0.25">
      <c r="A43" s="12" t="s">
        <v>77</v>
      </c>
      <c r="B43" s="12" t="s">
        <v>126</v>
      </c>
      <c r="C43" s="12" t="s">
        <v>149</v>
      </c>
      <c r="D43" s="12">
        <v>2.6648077999999999E-2</v>
      </c>
      <c r="E43" s="12">
        <v>2.6648077999999999E-2</v>
      </c>
      <c r="F43" t="s">
        <v>85</v>
      </c>
    </row>
    <row r="44" spans="1:6" x14ac:dyDescent="0.25">
      <c r="A44" s="12" t="s">
        <v>77</v>
      </c>
      <c r="B44" s="12" t="s">
        <v>126</v>
      </c>
      <c r="C44" s="12" t="s">
        <v>150</v>
      </c>
      <c r="D44" s="12">
        <v>4.3999999999999997E-8</v>
      </c>
      <c r="E44" s="12">
        <v>4.3999999999999997E-8</v>
      </c>
      <c r="F44" t="s">
        <v>85</v>
      </c>
    </row>
    <row r="45" spans="1:6" x14ac:dyDescent="0.25">
      <c r="A45" t="s">
        <v>88</v>
      </c>
      <c r="B45" t="s">
        <v>113</v>
      </c>
      <c r="C45" s="19" t="s">
        <v>142</v>
      </c>
      <c r="D45">
        <v>0</v>
      </c>
      <c r="E45">
        <v>0</v>
      </c>
      <c r="F45">
        <v>0</v>
      </c>
    </row>
    <row r="46" spans="1:6" x14ac:dyDescent="0.25">
      <c r="A46" t="s">
        <v>88</v>
      </c>
      <c r="B46" t="s">
        <v>113</v>
      </c>
      <c r="C46" s="18" t="s">
        <v>137</v>
      </c>
      <c r="D46">
        <v>0</v>
      </c>
      <c r="E46">
        <v>0</v>
      </c>
      <c r="F46">
        <v>0</v>
      </c>
    </row>
  </sheetData>
  <phoneticPr fontId="7" type="noConversion"/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69BF-5451-472F-B8C8-C2D651A5BC41}">
  <dimension ref="A1:K5"/>
  <sheetViews>
    <sheetView tabSelected="1" workbookViewId="0">
      <selection activeCell="E11" sqref="E11"/>
    </sheetView>
  </sheetViews>
  <sheetFormatPr baseColWidth="10" defaultRowHeight="15" x14ac:dyDescent="0.25"/>
  <sheetData>
    <row r="1" spans="1:11" x14ac:dyDescent="0.25">
      <c r="A1" t="s">
        <v>90</v>
      </c>
      <c r="B1" t="s">
        <v>82</v>
      </c>
      <c r="C1" t="s">
        <v>193</v>
      </c>
      <c r="D1" t="s">
        <v>112</v>
      </c>
      <c r="E1" t="s">
        <v>194</v>
      </c>
      <c r="F1" t="s">
        <v>191</v>
      </c>
      <c r="G1" t="s">
        <v>195</v>
      </c>
      <c r="H1" t="s">
        <v>196</v>
      </c>
      <c r="I1" t="s">
        <v>192</v>
      </c>
      <c r="J1" t="s">
        <v>197</v>
      </c>
      <c r="K1" t="s">
        <v>198</v>
      </c>
    </row>
    <row r="2" spans="1:11" x14ac:dyDescent="0.25">
      <c r="A2" t="s">
        <v>16</v>
      </c>
      <c r="B2" t="s">
        <v>76</v>
      </c>
      <c r="C2">
        <v>0</v>
      </c>
      <c r="D2">
        <v>0</v>
      </c>
      <c r="E2">
        <v>0</v>
      </c>
      <c r="F2">
        <v>1687.77</v>
      </c>
      <c r="G2">
        <v>450</v>
      </c>
      <c r="H2">
        <v>5776</v>
      </c>
      <c r="I2">
        <v>450</v>
      </c>
      <c r="J2">
        <v>0</v>
      </c>
      <c r="K2">
        <v>245</v>
      </c>
    </row>
    <row r="3" spans="1:11" x14ac:dyDescent="0.25">
      <c r="A3" t="s">
        <v>16</v>
      </c>
      <c r="B3" t="s">
        <v>77</v>
      </c>
      <c r="C3">
        <v>0</v>
      </c>
      <c r="D3">
        <v>0</v>
      </c>
      <c r="E3">
        <v>0</v>
      </c>
      <c r="F3">
        <v>1687.77</v>
      </c>
      <c r="G3">
        <v>450</v>
      </c>
      <c r="H3">
        <v>5776</v>
      </c>
      <c r="I3">
        <v>450</v>
      </c>
      <c r="J3">
        <v>0</v>
      </c>
      <c r="K3">
        <v>245</v>
      </c>
    </row>
    <row r="4" spans="1:11" x14ac:dyDescent="0.25">
      <c r="A4" t="s">
        <v>16</v>
      </c>
      <c r="B4" t="s">
        <v>75</v>
      </c>
      <c r="C4">
        <v>365.87143333333336</v>
      </c>
      <c r="D4">
        <v>580.25940740740748</v>
      </c>
      <c r="E4">
        <v>165.14292592592594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16</v>
      </c>
      <c r="B5" t="s">
        <v>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FD33-43EA-4828-A0BA-4DF40CC0ECAB}">
  <dimension ref="A1:I26"/>
  <sheetViews>
    <sheetView workbookViewId="0">
      <selection activeCell="H26" sqref="H26"/>
    </sheetView>
  </sheetViews>
  <sheetFormatPr baseColWidth="10" defaultRowHeight="15" x14ac:dyDescent="0.25"/>
  <cols>
    <col min="1" max="1" width="14" customWidth="1"/>
    <col min="2" max="2" width="16.7109375" customWidth="1"/>
  </cols>
  <sheetData>
    <row r="1" spans="1:9" x14ac:dyDescent="0.25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</row>
    <row r="2" spans="1:9" x14ac:dyDescent="0.25">
      <c r="A2" t="s">
        <v>136</v>
      </c>
      <c r="B2">
        <v>227523.06210000001</v>
      </c>
      <c r="C2">
        <v>279311.24800000002</v>
      </c>
      <c r="D2">
        <v>432218.52439999999</v>
      </c>
      <c r="E2">
        <v>554128.58270000003</v>
      </c>
      <c r="F2">
        <v>889333.39599999995</v>
      </c>
      <c r="G2" s="12">
        <v>1800</v>
      </c>
      <c r="H2">
        <f>SUM(G2*1.25)</f>
        <v>2250</v>
      </c>
      <c r="I2">
        <f>SUM(H2*1.5)</f>
        <v>3375</v>
      </c>
    </row>
    <row r="3" spans="1:9" x14ac:dyDescent="0.25">
      <c r="A3" t="s">
        <v>177</v>
      </c>
      <c r="B3">
        <v>1090137.72</v>
      </c>
      <c r="C3">
        <v>1112986.007</v>
      </c>
      <c r="D3">
        <v>1204836.4110000001</v>
      </c>
      <c r="E3">
        <v>2290046.6850000001</v>
      </c>
      <c r="F3">
        <v>2727549.7540000002</v>
      </c>
      <c r="G3">
        <v>360</v>
      </c>
      <c r="H3">
        <f t="shared" ref="H3:H26" si="0">SUM(G3*1.25)</f>
        <v>450</v>
      </c>
      <c r="I3">
        <f t="shared" ref="I3:I26" si="1">SUM(H3*1.5)</f>
        <v>675</v>
      </c>
    </row>
    <row r="4" spans="1:9" x14ac:dyDescent="0.25">
      <c r="A4" t="s">
        <v>178</v>
      </c>
      <c r="B4">
        <v>189432.22750000001</v>
      </c>
      <c r="C4">
        <v>225357.38260000001</v>
      </c>
      <c r="D4">
        <v>225623.56940000001</v>
      </c>
      <c r="E4">
        <v>467857.22529999999</v>
      </c>
      <c r="F4">
        <v>552887.05330000003</v>
      </c>
      <c r="G4">
        <v>1760</v>
      </c>
      <c r="H4">
        <f t="shared" si="0"/>
        <v>2200</v>
      </c>
      <c r="I4">
        <f t="shared" si="1"/>
        <v>3300</v>
      </c>
    </row>
    <row r="5" spans="1:9" x14ac:dyDescent="0.25">
      <c r="A5" t="s">
        <v>138</v>
      </c>
      <c r="B5">
        <v>94712.809810000006</v>
      </c>
      <c r="C5">
        <v>217018.28899999999</v>
      </c>
      <c r="D5">
        <v>349364.5172</v>
      </c>
      <c r="E5">
        <v>496783.84019999998</v>
      </c>
      <c r="F5">
        <v>845312.14210000006</v>
      </c>
      <c r="G5">
        <v>4500</v>
      </c>
      <c r="H5">
        <f t="shared" si="0"/>
        <v>5625</v>
      </c>
      <c r="I5">
        <f t="shared" si="1"/>
        <v>8437.5</v>
      </c>
    </row>
    <row r="6" spans="1:9" x14ac:dyDescent="0.25">
      <c r="A6" t="s">
        <v>179</v>
      </c>
      <c r="B6">
        <v>541.22898280000004</v>
      </c>
      <c r="C6">
        <v>467.06077520000002</v>
      </c>
      <c r="D6">
        <v>331.36331389999998</v>
      </c>
      <c r="E6">
        <v>961.01026760000002</v>
      </c>
      <c r="F6">
        <v>750.15157020000004</v>
      </c>
      <c r="G6">
        <v>2500000</v>
      </c>
      <c r="H6">
        <f t="shared" si="0"/>
        <v>3125000</v>
      </c>
      <c r="I6">
        <f t="shared" si="1"/>
        <v>4687500</v>
      </c>
    </row>
    <row r="7" spans="1:9" x14ac:dyDescent="0.25">
      <c r="A7" t="s">
        <v>180</v>
      </c>
      <c r="B7">
        <v>58452.73014</v>
      </c>
      <c r="C7">
        <v>50442.563730000002</v>
      </c>
      <c r="D7">
        <v>35787.2379</v>
      </c>
      <c r="E7">
        <v>103789.10890000001</v>
      </c>
      <c r="F7">
        <v>81016.369579999999</v>
      </c>
      <c r="G7">
        <v>2484</v>
      </c>
      <c r="H7">
        <f t="shared" si="0"/>
        <v>3105</v>
      </c>
      <c r="I7">
        <f t="shared" si="1"/>
        <v>4657.5</v>
      </c>
    </row>
    <row r="8" spans="1:9" x14ac:dyDescent="0.25">
      <c r="A8" t="s">
        <v>137</v>
      </c>
      <c r="B8">
        <v>143</v>
      </c>
      <c r="C8">
        <v>3250</v>
      </c>
      <c r="D8">
        <v>8707</v>
      </c>
      <c r="E8">
        <v>4432</v>
      </c>
      <c r="F8">
        <v>11577</v>
      </c>
      <c r="G8" s="12">
        <v>34000</v>
      </c>
      <c r="H8">
        <f t="shared" si="0"/>
        <v>42500</v>
      </c>
      <c r="I8">
        <f t="shared" si="1"/>
        <v>63750</v>
      </c>
    </row>
    <row r="9" spans="1:9" x14ac:dyDescent="0.25">
      <c r="A9" t="s">
        <v>139</v>
      </c>
      <c r="B9">
        <v>57.291095110000001</v>
      </c>
      <c r="C9">
        <v>87.376791519999998</v>
      </c>
      <c r="D9">
        <v>47.305653479999997</v>
      </c>
      <c r="E9">
        <v>249.77109530000001</v>
      </c>
      <c r="F9">
        <v>296.49287409999999</v>
      </c>
      <c r="G9" s="12">
        <v>350000</v>
      </c>
      <c r="H9">
        <f t="shared" si="0"/>
        <v>437500</v>
      </c>
      <c r="I9">
        <f t="shared" si="1"/>
        <v>656250</v>
      </c>
    </row>
    <row r="10" spans="1:9" x14ac:dyDescent="0.25">
      <c r="A10" t="s">
        <v>140</v>
      </c>
      <c r="B10">
        <v>3.2587681910000001</v>
      </c>
      <c r="C10">
        <v>2.8121975099999998</v>
      </c>
      <c r="D10">
        <v>40.396869780000003</v>
      </c>
      <c r="E10">
        <v>5.7862933999999999</v>
      </c>
      <c r="F10">
        <v>91.451811419999999</v>
      </c>
      <c r="G10" s="12">
        <v>450000</v>
      </c>
      <c r="H10">
        <f t="shared" si="0"/>
        <v>562500</v>
      </c>
      <c r="I10">
        <f t="shared" si="1"/>
        <v>843750</v>
      </c>
    </row>
    <row r="11" spans="1:9" x14ac:dyDescent="0.25">
      <c r="A11" t="s">
        <v>141</v>
      </c>
      <c r="B11">
        <v>1068</v>
      </c>
      <c r="C11">
        <v>20954</v>
      </c>
      <c r="D11">
        <v>102282</v>
      </c>
      <c r="E11">
        <v>33053</v>
      </c>
      <c r="F11">
        <v>174819</v>
      </c>
      <c r="G11" s="21">
        <v>1200</v>
      </c>
      <c r="H11">
        <f t="shared" si="0"/>
        <v>1500</v>
      </c>
      <c r="I11">
        <f t="shared" si="1"/>
        <v>2250</v>
      </c>
    </row>
    <row r="12" spans="1:9" x14ac:dyDescent="0.25">
      <c r="A12" t="s">
        <v>142</v>
      </c>
      <c r="B12">
        <v>133</v>
      </c>
      <c r="C12">
        <v>2551</v>
      </c>
      <c r="D12">
        <v>12146</v>
      </c>
      <c r="E12">
        <v>3912</v>
      </c>
      <c r="F12">
        <v>20052</v>
      </c>
      <c r="G12" s="21">
        <v>5000</v>
      </c>
      <c r="H12">
        <f t="shared" si="0"/>
        <v>6250</v>
      </c>
      <c r="I12">
        <f t="shared" si="1"/>
        <v>9375</v>
      </c>
    </row>
    <row r="13" spans="1:9" x14ac:dyDescent="0.25">
      <c r="A13" t="s">
        <v>143</v>
      </c>
      <c r="B13">
        <v>9206.9589369999994</v>
      </c>
      <c r="C13">
        <v>19396.688719999998</v>
      </c>
      <c r="D13">
        <v>25205.330580000002</v>
      </c>
      <c r="E13">
        <v>37491.534330000002</v>
      </c>
      <c r="F13">
        <v>54340.912830000001</v>
      </c>
      <c r="G13">
        <v>1700</v>
      </c>
      <c r="H13">
        <f t="shared" si="0"/>
        <v>2125</v>
      </c>
      <c r="I13">
        <f t="shared" si="1"/>
        <v>3187.5</v>
      </c>
    </row>
    <row r="14" spans="1:9" x14ac:dyDescent="0.25">
      <c r="A14" t="s">
        <v>144</v>
      </c>
      <c r="B14">
        <v>512.35706370000003</v>
      </c>
      <c r="C14">
        <v>760.3329172</v>
      </c>
      <c r="D14">
        <v>397.0063877</v>
      </c>
      <c r="E14">
        <v>2300.233115</v>
      </c>
      <c r="F14">
        <v>2870.991579</v>
      </c>
      <c r="G14">
        <v>46000</v>
      </c>
      <c r="H14">
        <f t="shared" si="0"/>
        <v>57500</v>
      </c>
      <c r="I14">
        <f t="shared" si="1"/>
        <v>86250</v>
      </c>
    </row>
    <row r="15" spans="1:9" x14ac:dyDescent="0.25">
      <c r="A15" t="s">
        <v>145</v>
      </c>
      <c r="B15">
        <v>3774.5654399999999</v>
      </c>
      <c r="C15">
        <v>13908.377689999999</v>
      </c>
      <c r="D15">
        <v>41579.474730000002</v>
      </c>
      <c r="E15">
        <v>24201.743900000001</v>
      </c>
      <c r="F15">
        <v>86099.053589999996</v>
      </c>
      <c r="G15">
        <v>12500</v>
      </c>
      <c r="H15">
        <f t="shared" si="0"/>
        <v>15625</v>
      </c>
      <c r="I15">
        <f t="shared" si="1"/>
        <v>23437.5</v>
      </c>
    </row>
    <row r="16" spans="1:9" x14ac:dyDescent="0.25">
      <c r="A16" t="s">
        <v>146</v>
      </c>
      <c r="B16">
        <v>999999</v>
      </c>
      <c r="C16">
        <v>999999</v>
      </c>
      <c r="D16">
        <v>999999</v>
      </c>
      <c r="E16">
        <v>999999</v>
      </c>
      <c r="F16">
        <v>999999</v>
      </c>
      <c r="G16">
        <v>25760</v>
      </c>
      <c r="H16">
        <f t="shared" si="0"/>
        <v>32200</v>
      </c>
      <c r="I16">
        <f t="shared" si="1"/>
        <v>48300</v>
      </c>
    </row>
    <row r="17" spans="1:9" x14ac:dyDescent="0.25">
      <c r="A17" t="s">
        <v>147</v>
      </c>
      <c r="B17">
        <v>83.438261490000002</v>
      </c>
      <c r="C17">
        <v>123.0136218</v>
      </c>
      <c r="D17">
        <v>62.526116950000002</v>
      </c>
      <c r="E17">
        <v>387.3364694</v>
      </c>
      <c r="F17">
        <v>510.3282446</v>
      </c>
      <c r="G17">
        <v>46000</v>
      </c>
      <c r="H17">
        <f t="shared" si="0"/>
        <v>57500</v>
      </c>
      <c r="I17">
        <f t="shared" si="1"/>
        <v>86250</v>
      </c>
    </row>
    <row r="18" spans="1:9" x14ac:dyDescent="0.25">
      <c r="A18" t="s">
        <v>148</v>
      </c>
      <c r="B18">
        <v>19.865756780000002</v>
      </c>
      <c r="C18">
        <v>30.430805800000002</v>
      </c>
      <c r="D18">
        <v>16.17692212</v>
      </c>
      <c r="E18">
        <v>86.518572399999996</v>
      </c>
      <c r="F18">
        <v>104.7711334</v>
      </c>
      <c r="G18">
        <v>55000</v>
      </c>
      <c r="H18">
        <f t="shared" si="0"/>
        <v>68750</v>
      </c>
      <c r="I18">
        <f t="shared" si="1"/>
        <v>103125</v>
      </c>
    </row>
    <row r="19" spans="1:9" x14ac:dyDescent="0.25">
      <c r="A19" t="s">
        <v>149</v>
      </c>
      <c r="B19">
        <v>999999</v>
      </c>
      <c r="C19">
        <v>999999</v>
      </c>
      <c r="D19">
        <v>999999</v>
      </c>
      <c r="E19">
        <v>999999</v>
      </c>
      <c r="F19">
        <v>999999</v>
      </c>
      <c r="G19">
        <v>9</v>
      </c>
      <c r="H19">
        <f t="shared" si="0"/>
        <v>11.25</v>
      </c>
      <c r="I19">
        <f t="shared" si="1"/>
        <v>16.875</v>
      </c>
    </row>
    <row r="20" spans="1:9" x14ac:dyDescent="0.25">
      <c r="A20" t="s">
        <v>150</v>
      </c>
      <c r="B20">
        <v>999999</v>
      </c>
      <c r="C20">
        <v>999999</v>
      </c>
      <c r="D20">
        <v>999999</v>
      </c>
      <c r="E20">
        <v>999999</v>
      </c>
      <c r="F20">
        <v>999999</v>
      </c>
      <c r="G20">
        <v>10000</v>
      </c>
      <c r="H20">
        <f t="shared" si="0"/>
        <v>12500</v>
      </c>
      <c r="I20">
        <f t="shared" si="1"/>
        <v>18750</v>
      </c>
    </row>
    <row r="21" spans="1:9" x14ac:dyDescent="0.25">
      <c r="A21" t="s">
        <v>151</v>
      </c>
      <c r="B21">
        <v>13.73426465</v>
      </c>
      <c r="C21">
        <v>19.88186258</v>
      </c>
      <c r="D21">
        <v>9.9090187079999996</v>
      </c>
      <c r="E21">
        <v>64.503860279999998</v>
      </c>
      <c r="F21">
        <v>86.248962629999994</v>
      </c>
      <c r="G21">
        <v>320</v>
      </c>
      <c r="H21">
        <f t="shared" si="0"/>
        <v>400</v>
      </c>
      <c r="I21">
        <f t="shared" si="1"/>
        <v>600</v>
      </c>
    </row>
    <row r="22" spans="1:9" x14ac:dyDescent="0.25">
      <c r="A22" t="s">
        <v>152</v>
      </c>
      <c r="B22">
        <v>1038.9856569999999</v>
      </c>
      <c r="C22">
        <v>1791.928398</v>
      </c>
      <c r="D22">
        <v>1640.7727379999999</v>
      </c>
      <c r="E22">
        <v>3851.3136279999999</v>
      </c>
      <c r="F22">
        <v>4877.1720180000002</v>
      </c>
      <c r="G22">
        <v>20000</v>
      </c>
      <c r="H22">
        <f t="shared" si="0"/>
        <v>25000</v>
      </c>
      <c r="I22">
        <f t="shared" si="1"/>
        <v>37500</v>
      </c>
    </row>
    <row r="23" spans="1:9" x14ac:dyDescent="0.25">
      <c r="A23" t="s">
        <v>117</v>
      </c>
      <c r="B23">
        <v>999999</v>
      </c>
      <c r="C23">
        <v>999999</v>
      </c>
      <c r="D23">
        <v>999999</v>
      </c>
      <c r="E23">
        <v>999999</v>
      </c>
      <c r="F23">
        <v>999999</v>
      </c>
      <c r="G23">
        <v>1</v>
      </c>
      <c r="H23">
        <f t="shared" si="0"/>
        <v>1.25</v>
      </c>
      <c r="I23">
        <f t="shared" si="1"/>
        <v>1.875</v>
      </c>
    </row>
    <row r="24" spans="1:9" x14ac:dyDescent="0.25">
      <c r="A24" t="s">
        <v>116</v>
      </c>
      <c r="B24">
        <v>999999</v>
      </c>
      <c r="C24">
        <v>999999</v>
      </c>
      <c r="D24">
        <v>999999</v>
      </c>
      <c r="E24">
        <v>999999</v>
      </c>
      <c r="F24">
        <v>999999</v>
      </c>
      <c r="G24">
        <v>1</v>
      </c>
      <c r="H24">
        <f t="shared" si="0"/>
        <v>1.25</v>
      </c>
      <c r="I24">
        <f t="shared" si="1"/>
        <v>1.875</v>
      </c>
    </row>
    <row r="25" spans="1:9" x14ac:dyDescent="0.25">
      <c r="A25" t="s">
        <v>119</v>
      </c>
      <c r="B25">
        <v>999999</v>
      </c>
      <c r="C25">
        <v>999999</v>
      </c>
      <c r="D25">
        <v>999999</v>
      </c>
      <c r="E25">
        <v>999999</v>
      </c>
      <c r="F25">
        <v>999999</v>
      </c>
      <c r="G25">
        <v>1</v>
      </c>
      <c r="H25">
        <f t="shared" si="0"/>
        <v>1.25</v>
      </c>
      <c r="I25">
        <f t="shared" si="1"/>
        <v>1.875</v>
      </c>
    </row>
    <row r="26" spans="1:9" x14ac:dyDescent="0.25">
      <c r="A26" t="s">
        <v>118</v>
      </c>
      <c r="B26">
        <v>999999</v>
      </c>
      <c r="C26">
        <v>999999</v>
      </c>
      <c r="D26">
        <v>999999</v>
      </c>
      <c r="E26">
        <v>999999</v>
      </c>
      <c r="F26">
        <v>999999</v>
      </c>
      <c r="G26">
        <v>1</v>
      </c>
      <c r="H26">
        <f t="shared" si="0"/>
        <v>1.25</v>
      </c>
      <c r="I26">
        <f t="shared" si="1"/>
        <v>1.875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8E9E-004D-4F86-817A-29F43A769A51}">
  <dimension ref="A1:Z28"/>
  <sheetViews>
    <sheetView workbookViewId="0">
      <selection activeCell="E1" sqref="E1"/>
    </sheetView>
  </sheetViews>
  <sheetFormatPr baseColWidth="10" defaultRowHeight="15" x14ac:dyDescent="0.25"/>
  <sheetData>
    <row r="1" spans="1:26" x14ac:dyDescent="0.25">
      <c r="A1" t="s">
        <v>15</v>
      </c>
      <c r="B1" t="s">
        <v>136</v>
      </c>
      <c r="C1" t="s">
        <v>173</v>
      </c>
      <c r="D1" t="s">
        <v>174</v>
      </c>
      <c r="E1" t="s">
        <v>156</v>
      </c>
      <c r="F1" t="s">
        <v>175</v>
      </c>
      <c r="G1" t="s">
        <v>176</v>
      </c>
      <c r="H1" t="s">
        <v>153</v>
      </c>
      <c r="I1" t="s">
        <v>154</v>
      </c>
      <c r="J1" t="s">
        <v>155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171</v>
      </c>
      <c r="Z1" t="s">
        <v>172</v>
      </c>
    </row>
    <row r="2" spans="1:26" x14ac:dyDescent="0.25">
      <c r="A2" s="14">
        <v>2024</v>
      </c>
      <c r="B2" s="22">
        <v>2024431</v>
      </c>
      <c r="C2" s="15">
        <v>57100000</v>
      </c>
      <c r="D2" s="15">
        <v>58100000</v>
      </c>
      <c r="E2" s="22">
        <v>860748</v>
      </c>
      <c r="F2" s="15">
        <v>2064.0329999999999</v>
      </c>
      <c r="G2" s="15">
        <v>167000</v>
      </c>
      <c r="H2">
        <v>999999999</v>
      </c>
      <c r="I2">
        <v>999999999</v>
      </c>
      <c r="J2" s="22">
        <v>1235</v>
      </c>
      <c r="K2">
        <v>0</v>
      </c>
      <c r="L2">
        <v>0</v>
      </c>
      <c r="M2" s="22">
        <v>485</v>
      </c>
      <c r="N2" s="22">
        <v>280</v>
      </c>
      <c r="O2" s="22">
        <v>15000</v>
      </c>
      <c r="P2">
        <v>0</v>
      </c>
      <c r="Q2" s="22">
        <v>47673</v>
      </c>
      <c r="R2">
        <v>0</v>
      </c>
      <c r="S2">
        <v>0</v>
      </c>
      <c r="T2">
        <v>0</v>
      </c>
      <c r="U2">
        <v>0</v>
      </c>
      <c r="V2">
        <v>0</v>
      </c>
      <c r="W2">
        <v>999999999</v>
      </c>
      <c r="X2">
        <v>999999999</v>
      </c>
      <c r="Y2">
        <v>0</v>
      </c>
      <c r="Z2">
        <v>0</v>
      </c>
    </row>
    <row r="3" spans="1:26" x14ac:dyDescent="0.25">
      <c r="A3" s="14">
        <v>2025</v>
      </c>
      <c r="B3" s="22">
        <v>2024431</v>
      </c>
      <c r="C3" s="15">
        <v>57100000</v>
      </c>
      <c r="D3" s="15">
        <v>58100000</v>
      </c>
      <c r="E3" s="22">
        <v>860748</v>
      </c>
      <c r="F3" s="15">
        <v>2064.0329999999999</v>
      </c>
      <c r="G3" s="15">
        <v>167000</v>
      </c>
      <c r="H3">
        <v>999999999</v>
      </c>
      <c r="I3">
        <v>999999999</v>
      </c>
      <c r="J3" s="22">
        <v>1235</v>
      </c>
      <c r="K3">
        <v>0</v>
      </c>
      <c r="L3">
        <v>0</v>
      </c>
      <c r="M3" s="22">
        <v>485</v>
      </c>
      <c r="N3" s="22">
        <v>280</v>
      </c>
      <c r="O3" s="22">
        <v>15000</v>
      </c>
      <c r="P3">
        <v>0</v>
      </c>
      <c r="Q3" s="22">
        <v>47673</v>
      </c>
      <c r="R3">
        <v>0</v>
      </c>
      <c r="S3">
        <v>0</v>
      </c>
      <c r="T3">
        <v>0</v>
      </c>
      <c r="U3">
        <v>0</v>
      </c>
      <c r="V3">
        <v>0</v>
      </c>
      <c r="W3">
        <v>999999999</v>
      </c>
      <c r="X3">
        <v>999999999</v>
      </c>
      <c r="Y3">
        <v>0</v>
      </c>
      <c r="Z3">
        <v>0</v>
      </c>
    </row>
    <row r="4" spans="1:26" x14ac:dyDescent="0.25">
      <c r="A4" s="14">
        <v>2026</v>
      </c>
      <c r="B4" s="22">
        <v>2024431</v>
      </c>
      <c r="C4" s="15">
        <v>57100000</v>
      </c>
      <c r="D4" s="15">
        <v>58100000</v>
      </c>
      <c r="E4" s="22">
        <v>860748</v>
      </c>
      <c r="F4" s="15">
        <v>2064.0329999999999</v>
      </c>
      <c r="G4" s="15">
        <v>167000</v>
      </c>
      <c r="H4">
        <v>999999999</v>
      </c>
      <c r="I4">
        <v>999999999</v>
      </c>
      <c r="J4" s="22">
        <v>1235</v>
      </c>
      <c r="K4">
        <v>0</v>
      </c>
      <c r="L4">
        <v>0</v>
      </c>
      <c r="M4" s="22">
        <v>485</v>
      </c>
      <c r="N4" s="22">
        <v>280</v>
      </c>
      <c r="O4" s="22">
        <v>15000</v>
      </c>
      <c r="P4">
        <v>0</v>
      </c>
      <c r="Q4" s="22">
        <v>47673</v>
      </c>
      <c r="R4">
        <v>0</v>
      </c>
      <c r="S4">
        <v>0</v>
      </c>
      <c r="T4">
        <v>0</v>
      </c>
      <c r="U4">
        <v>0</v>
      </c>
      <c r="V4">
        <v>0</v>
      </c>
      <c r="W4">
        <v>999999999</v>
      </c>
      <c r="X4">
        <v>999999999</v>
      </c>
      <c r="Y4">
        <v>0</v>
      </c>
      <c r="Z4">
        <v>0</v>
      </c>
    </row>
    <row r="5" spans="1:26" x14ac:dyDescent="0.25">
      <c r="A5" s="14">
        <v>2027</v>
      </c>
      <c r="B5" s="22">
        <v>2024431</v>
      </c>
      <c r="C5" s="15">
        <v>57100000</v>
      </c>
      <c r="D5" s="15">
        <v>58100000</v>
      </c>
      <c r="E5" s="22">
        <v>860748</v>
      </c>
      <c r="F5" s="15">
        <v>2064.0329999999999</v>
      </c>
      <c r="G5" s="15">
        <v>167000</v>
      </c>
      <c r="H5">
        <v>999999999</v>
      </c>
      <c r="I5">
        <v>999999999</v>
      </c>
      <c r="J5" s="22">
        <v>1235</v>
      </c>
      <c r="K5">
        <v>0</v>
      </c>
      <c r="L5">
        <v>0</v>
      </c>
      <c r="M5" s="22">
        <v>485</v>
      </c>
      <c r="N5" s="22">
        <v>280</v>
      </c>
      <c r="O5" s="22">
        <v>15000</v>
      </c>
      <c r="P5">
        <v>0</v>
      </c>
      <c r="Q5" s="22">
        <v>47673</v>
      </c>
      <c r="R5">
        <v>0</v>
      </c>
      <c r="S5">
        <v>0</v>
      </c>
      <c r="T5">
        <v>0</v>
      </c>
      <c r="U5">
        <v>0</v>
      </c>
      <c r="V5">
        <v>0</v>
      </c>
      <c r="W5">
        <v>999999999</v>
      </c>
      <c r="X5">
        <v>999999999</v>
      </c>
      <c r="Y5">
        <v>0</v>
      </c>
      <c r="Z5">
        <v>0</v>
      </c>
    </row>
    <row r="6" spans="1:26" x14ac:dyDescent="0.25">
      <c r="A6" s="14">
        <v>2028</v>
      </c>
      <c r="B6" s="22">
        <v>2024431</v>
      </c>
      <c r="C6" s="15">
        <v>57100000</v>
      </c>
      <c r="D6" s="15">
        <v>58100000</v>
      </c>
      <c r="E6" s="22">
        <v>860748</v>
      </c>
      <c r="F6" s="15">
        <v>2064.0329999999999</v>
      </c>
      <c r="G6" s="15">
        <v>167000</v>
      </c>
      <c r="H6">
        <v>999999999</v>
      </c>
      <c r="I6">
        <v>999999999</v>
      </c>
      <c r="J6" s="22">
        <v>1235</v>
      </c>
      <c r="K6">
        <v>0</v>
      </c>
      <c r="L6">
        <v>0</v>
      </c>
      <c r="M6" s="22">
        <v>485</v>
      </c>
      <c r="N6" s="22">
        <v>280</v>
      </c>
      <c r="O6" s="22">
        <v>15000</v>
      </c>
      <c r="P6">
        <v>0</v>
      </c>
      <c r="Q6" s="22">
        <v>47673</v>
      </c>
      <c r="R6">
        <v>0</v>
      </c>
      <c r="S6">
        <v>0</v>
      </c>
      <c r="T6">
        <v>0</v>
      </c>
      <c r="U6">
        <v>0</v>
      </c>
      <c r="V6">
        <v>0</v>
      </c>
      <c r="W6">
        <v>999999999</v>
      </c>
      <c r="X6">
        <v>999999999</v>
      </c>
      <c r="Y6">
        <v>0</v>
      </c>
      <c r="Z6">
        <v>0</v>
      </c>
    </row>
    <row r="7" spans="1:26" x14ac:dyDescent="0.25">
      <c r="A7" s="14">
        <v>2029</v>
      </c>
      <c r="B7" s="22">
        <v>2024431</v>
      </c>
      <c r="C7" s="15">
        <v>57100000</v>
      </c>
      <c r="D7" s="15">
        <v>58100000</v>
      </c>
      <c r="E7" s="22">
        <v>860748</v>
      </c>
      <c r="F7" s="15">
        <v>2064.0329999999999</v>
      </c>
      <c r="G7" s="15">
        <v>167000</v>
      </c>
      <c r="H7">
        <v>999999999</v>
      </c>
      <c r="I7">
        <v>999999999</v>
      </c>
      <c r="J7" s="22">
        <v>1235</v>
      </c>
      <c r="K7">
        <v>0</v>
      </c>
      <c r="L7">
        <v>0</v>
      </c>
      <c r="M7" s="22">
        <v>485</v>
      </c>
      <c r="N7" s="22">
        <v>280</v>
      </c>
      <c r="O7" s="22">
        <v>15000</v>
      </c>
      <c r="P7">
        <v>0</v>
      </c>
      <c r="Q7" s="22">
        <v>47673</v>
      </c>
      <c r="R7">
        <v>0</v>
      </c>
      <c r="S7">
        <v>0</v>
      </c>
      <c r="T7">
        <v>0</v>
      </c>
      <c r="U7">
        <v>0</v>
      </c>
      <c r="V7">
        <v>0</v>
      </c>
      <c r="W7">
        <v>999999999</v>
      </c>
      <c r="X7">
        <v>999999999</v>
      </c>
      <c r="Y7">
        <v>0</v>
      </c>
      <c r="Z7">
        <v>0</v>
      </c>
    </row>
    <row r="8" spans="1:26" x14ac:dyDescent="0.25">
      <c r="A8" s="14">
        <v>2030</v>
      </c>
      <c r="B8" s="22">
        <v>2024431</v>
      </c>
      <c r="C8" s="15">
        <v>57100000</v>
      </c>
      <c r="D8" s="15">
        <v>58100000</v>
      </c>
      <c r="E8" s="22">
        <v>860748</v>
      </c>
      <c r="F8" s="15">
        <v>2064.0329999999999</v>
      </c>
      <c r="G8" s="15">
        <v>167000</v>
      </c>
      <c r="H8">
        <v>999999999</v>
      </c>
      <c r="I8">
        <v>999999999</v>
      </c>
      <c r="J8" s="22">
        <v>1235</v>
      </c>
      <c r="K8">
        <v>0</v>
      </c>
      <c r="L8">
        <v>0</v>
      </c>
      <c r="M8" s="22">
        <v>485</v>
      </c>
      <c r="N8" s="22">
        <v>280</v>
      </c>
      <c r="O8" s="22">
        <v>15000</v>
      </c>
      <c r="P8">
        <v>0</v>
      </c>
      <c r="Q8" s="22">
        <v>47673</v>
      </c>
      <c r="R8">
        <v>0</v>
      </c>
      <c r="S8">
        <v>0</v>
      </c>
      <c r="T8">
        <v>0</v>
      </c>
      <c r="U8">
        <v>0</v>
      </c>
      <c r="V8">
        <v>0</v>
      </c>
      <c r="W8">
        <v>999999999</v>
      </c>
      <c r="X8">
        <v>999999999</v>
      </c>
      <c r="Y8">
        <v>0</v>
      </c>
      <c r="Z8">
        <v>0</v>
      </c>
    </row>
    <row r="9" spans="1:26" x14ac:dyDescent="0.25">
      <c r="A9" s="14">
        <v>2031</v>
      </c>
      <c r="B9" s="22">
        <v>2024431</v>
      </c>
      <c r="C9" s="15">
        <v>57100000</v>
      </c>
      <c r="D9" s="15">
        <v>58100000</v>
      </c>
      <c r="E9" s="22">
        <v>860748</v>
      </c>
      <c r="F9" s="15">
        <v>2064.0329999999999</v>
      </c>
      <c r="G9" s="15">
        <v>167000</v>
      </c>
      <c r="H9">
        <v>999999999</v>
      </c>
      <c r="I9">
        <v>999999999</v>
      </c>
      <c r="J9" s="22">
        <v>1235</v>
      </c>
      <c r="K9">
        <v>0</v>
      </c>
      <c r="L9">
        <v>0</v>
      </c>
      <c r="M9" s="22">
        <v>485</v>
      </c>
      <c r="N9" s="22">
        <v>280</v>
      </c>
      <c r="O9" s="22">
        <v>15000</v>
      </c>
      <c r="P9">
        <v>0</v>
      </c>
      <c r="Q9" s="22">
        <v>47673</v>
      </c>
      <c r="R9">
        <v>0</v>
      </c>
      <c r="S9">
        <v>0</v>
      </c>
      <c r="T9">
        <v>0</v>
      </c>
      <c r="U9">
        <v>0</v>
      </c>
      <c r="V9">
        <v>0</v>
      </c>
      <c r="W9">
        <v>999999999</v>
      </c>
      <c r="X9">
        <v>999999999</v>
      </c>
      <c r="Y9">
        <v>0</v>
      </c>
      <c r="Z9">
        <v>0</v>
      </c>
    </row>
    <row r="10" spans="1:26" x14ac:dyDescent="0.25">
      <c r="A10" s="14">
        <v>2032</v>
      </c>
      <c r="B10" s="22">
        <v>2024431</v>
      </c>
      <c r="C10" s="15">
        <v>57100000</v>
      </c>
      <c r="D10" s="15">
        <v>58100000</v>
      </c>
      <c r="E10" s="22">
        <v>860748</v>
      </c>
      <c r="F10" s="15">
        <v>2064.0329999999999</v>
      </c>
      <c r="G10" s="15">
        <v>167000</v>
      </c>
      <c r="H10">
        <v>999999999</v>
      </c>
      <c r="I10">
        <v>999999999</v>
      </c>
      <c r="J10" s="22">
        <v>1235</v>
      </c>
      <c r="K10">
        <v>0</v>
      </c>
      <c r="L10">
        <v>0</v>
      </c>
      <c r="M10" s="22">
        <v>485</v>
      </c>
      <c r="N10" s="22">
        <v>280</v>
      </c>
      <c r="O10" s="22">
        <v>15000</v>
      </c>
      <c r="P10">
        <v>0</v>
      </c>
      <c r="Q10" s="22">
        <v>47673</v>
      </c>
      <c r="R10">
        <v>0</v>
      </c>
      <c r="S10">
        <v>0</v>
      </c>
      <c r="T10">
        <v>0</v>
      </c>
      <c r="U10">
        <v>0</v>
      </c>
      <c r="V10">
        <v>0</v>
      </c>
      <c r="W10">
        <v>999999999</v>
      </c>
      <c r="X10">
        <v>999999999</v>
      </c>
      <c r="Y10">
        <v>0</v>
      </c>
      <c r="Z10">
        <v>0</v>
      </c>
    </row>
    <row r="11" spans="1:26" x14ac:dyDescent="0.25">
      <c r="A11" s="14">
        <v>2033</v>
      </c>
      <c r="B11" s="22">
        <v>2024431</v>
      </c>
      <c r="C11" s="15">
        <v>57100000</v>
      </c>
      <c r="D11" s="15">
        <v>58100000</v>
      </c>
      <c r="E11" s="22">
        <v>860748</v>
      </c>
      <c r="F11" s="15">
        <v>2064.0329999999999</v>
      </c>
      <c r="G11" s="15">
        <v>167000</v>
      </c>
      <c r="H11">
        <v>999999999</v>
      </c>
      <c r="I11">
        <v>999999999</v>
      </c>
      <c r="J11" s="22">
        <v>1235</v>
      </c>
      <c r="K11">
        <v>0</v>
      </c>
      <c r="L11">
        <v>0</v>
      </c>
      <c r="M11" s="22">
        <v>485</v>
      </c>
      <c r="N11" s="22">
        <v>280</v>
      </c>
      <c r="O11" s="22">
        <v>15000</v>
      </c>
      <c r="P11">
        <v>0</v>
      </c>
      <c r="Q11" s="22">
        <v>47673</v>
      </c>
      <c r="R11">
        <v>0</v>
      </c>
      <c r="S11">
        <v>0</v>
      </c>
      <c r="T11">
        <v>0</v>
      </c>
      <c r="U11">
        <v>0</v>
      </c>
      <c r="V11">
        <v>0</v>
      </c>
      <c r="W11">
        <v>999999999</v>
      </c>
      <c r="X11">
        <v>999999999</v>
      </c>
      <c r="Y11">
        <v>0</v>
      </c>
      <c r="Z11">
        <v>0</v>
      </c>
    </row>
    <row r="12" spans="1:26" x14ac:dyDescent="0.25">
      <c r="A12" s="14">
        <v>2034</v>
      </c>
      <c r="B12" s="22">
        <v>2024431</v>
      </c>
      <c r="C12" s="15">
        <v>57100000</v>
      </c>
      <c r="D12" s="15">
        <v>58100000</v>
      </c>
      <c r="E12" s="22">
        <v>860748</v>
      </c>
      <c r="F12" s="15">
        <v>2064.0329999999999</v>
      </c>
      <c r="G12" s="15">
        <v>167000</v>
      </c>
      <c r="H12">
        <v>999999999</v>
      </c>
      <c r="I12">
        <v>999999999</v>
      </c>
      <c r="J12" s="22">
        <v>1235</v>
      </c>
      <c r="K12">
        <v>0</v>
      </c>
      <c r="L12">
        <v>0</v>
      </c>
      <c r="M12" s="22">
        <v>485</v>
      </c>
      <c r="N12" s="22">
        <v>280</v>
      </c>
      <c r="O12" s="22">
        <v>15000</v>
      </c>
      <c r="P12">
        <v>0</v>
      </c>
      <c r="Q12" s="22">
        <v>47673</v>
      </c>
      <c r="R12">
        <v>0</v>
      </c>
      <c r="S12">
        <v>0</v>
      </c>
      <c r="T12">
        <v>0</v>
      </c>
      <c r="U12">
        <v>0</v>
      </c>
      <c r="V12">
        <v>0</v>
      </c>
      <c r="W12">
        <v>999999999</v>
      </c>
      <c r="X12">
        <v>999999999</v>
      </c>
      <c r="Y12">
        <v>0</v>
      </c>
      <c r="Z12">
        <v>0</v>
      </c>
    </row>
    <row r="13" spans="1:26" x14ac:dyDescent="0.25">
      <c r="A13" s="14">
        <v>2035</v>
      </c>
      <c r="B13" s="22">
        <v>2024431</v>
      </c>
      <c r="C13" s="15">
        <v>57100000</v>
      </c>
      <c r="D13" s="15">
        <v>58100000</v>
      </c>
      <c r="E13" s="22">
        <v>860748</v>
      </c>
      <c r="F13" s="15">
        <v>2064.0329999999999</v>
      </c>
      <c r="G13" s="15">
        <v>167000</v>
      </c>
      <c r="H13">
        <v>999999999</v>
      </c>
      <c r="I13">
        <v>999999999</v>
      </c>
      <c r="J13" s="22">
        <v>1235</v>
      </c>
      <c r="K13">
        <v>0</v>
      </c>
      <c r="L13">
        <v>0</v>
      </c>
      <c r="M13" s="22">
        <v>485</v>
      </c>
      <c r="N13" s="22">
        <v>280</v>
      </c>
      <c r="O13" s="22">
        <v>15000</v>
      </c>
      <c r="P13">
        <v>0</v>
      </c>
      <c r="Q13" s="22">
        <v>47673</v>
      </c>
      <c r="R13">
        <v>0</v>
      </c>
      <c r="S13">
        <v>0</v>
      </c>
      <c r="T13">
        <v>0</v>
      </c>
      <c r="U13">
        <v>0</v>
      </c>
      <c r="V13">
        <v>0</v>
      </c>
      <c r="W13">
        <v>999999999</v>
      </c>
      <c r="X13">
        <v>999999999</v>
      </c>
      <c r="Y13">
        <v>0</v>
      </c>
      <c r="Z13">
        <v>0</v>
      </c>
    </row>
    <row r="14" spans="1:26" x14ac:dyDescent="0.25">
      <c r="A14" s="14">
        <v>2036</v>
      </c>
      <c r="B14" s="22">
        <v>2024431</v>
      </c>
      <c r="C14" s="15">
        <v>57100000</v>
      </c>
      <c r="D14" s="15">
        <v>58100000</v>
      </c>
      <c r="E14" s="22">
        <v>860748</v>
      </c>
      <c r="F14" s="15">
        <v>2064.0329999999999</v>
      </c>
      <c r="G14" s="15">
        <v>167000</v>
      </c>
      <c r="H14">
        <v>999999999</v>
      </c>
      <c r="I14">
        <v>999999999</v>
      </c>
      <c r="J14" s="22">
        <v>1235</v>
      </c>
      <c r="K14">
        <v>0</v>
      </c>
      <c r="L14">
        <v>0</v>
      </c>
      <c r="M14" s="22">
        <v>485</v>
      </c>
      <c r="N14" s="22">
        <v>280</v>
      </c>
      <c r="O14" s="22">
        <v>15000</v>
      </c>
      <c r="P14">
        <v>0</v>
      </c>
      <c r="Q14" s="22">
        <v>47673</v>
      </c>
      <c r="R14">
        <v>0</v>
      </c>
      <c r="S14">
        <v>0</v>
      </c>
      <c r="T14">
        <v>0</v>
      </c>
      <c r="U14">
        <v>0</v>
      </c>
      <c r="V14">
        <v>0</v>
      </c>
      <c r="W14">
        <v>999999999</v>
      </c>
      <c r="X14">
        <v>999999999</v>
      </c>
      <c r="Y14">
        <v>0</v>
      </c>
      <c r="Z14">
        <v>0</v>
      </c>
    </row>
    <row r="15" spans="1:26" x14ac:dyDescent="0.25">
      <c r="A15" s="14">
        <v>2037</v>
      </c>
      <c r="B15" s="22">
        <v>2024431</v>
      </c>
      <c r="C15" s="15">
        <v>57100000</v>
      </c>
      <c r="D15" s="15">
        <v>58100000</v>
      </c>
      <c r="E15" s="22">
        <v>860748</v>
      </c>
      <c r="F15" s="15">
        <v>2064.0329999999999</v>
      </c>
      <c r="G15" s="15">
        <v>167000</v>
      </c>
      <c r="H15">
        <v>999999999</v>
      </c>
      <c r="I15">
        <v>999999999</v>
      </c>
      <c r="J15" s="22">
        <v>1235</v>
      </c>
      <c r="K15">
        <v>0</v>
      </c>
      <c r="L15">
        <v>0</v>
      </c>
      <c r="M15" s="22">
        <v>485</v>
      </c>
      <c r="N15" s="22">
        <v>280</v>
      </c>
      <c r="O15" s="22">
        <v>15000</v>
      </c>
      <c r="P15">
        <v>0</v>
      </c>
      <c r="Q15" s="22">
        <v>47673</v>
      </c>
      <c r="R15">
        <v>0</v>
      </c>
      <c r="S15">
        <v>0</v>
      </c>
      <c r="T15">
        <v>0</v>
      </c>
      <c r="U15">
        <v>0</v>
      </c>
      <c r="V15">
        <v>0</v>
      </c>
      <c r="W15">
        <v>999999999</v>
      </c>
      <c r="X15">
        <v>999999999</v>
      </c>
      <c r="Y15">
        <v>0</v>
      </c>
      <c r="Z15">
        <v>0</v>
      </c>
    </row>
    <row r="16" spans="1:26" x14ac:dyDescent="0.25">
      <c r="A16" s="14">
        <v>2038</v>
      </c>
      <c r="B16" s="22">
        <v>2024431</v>
      </c>
      <c r="C16" s="15">
        <v>57100000</v>
      </c>
      <c r="D16" s="15">
        <v>58100000</v>
      </c>
      <c r="E16" s="22">
        <v>860748</v>
      </c>
      <c r="F16" s="15">
        <v>2064.0329999999999</v>
      </c>
      <c r="G16" s="15">
        <v>167000</v>
      </c>
      <c r="H16">
        <v>999999999</v>
      </c>
      <c r="I16">
        <v>999999999</v>
      </c>
      <c r="J16" s="22">
        <v>1235</v>
      </c>
      <c r="K16">
        <v>0</v>
      </c>
      <c r="L16">
        <v>0</v>
      </c>
      <c r="M16" s="22">
        <v>485</v>
      </c>
      <c r="N16" s="22">
        <v>280</v>
      </c>
      <c r="O16" s="22">
        <v>15000</v>
      </c>
      <c r="P16">
        <v>0</v>
      </c>
      <c r="Q16" s="22">
        <v>47673</v>
      </c>
      <c r="R16">
        <v>0</v>
      </c>
      <c r="S16">
        <v>0</v>
      </c>
      <c r="T16">
        <v>0</v>
      </c>
      <c r="U16">
        <v>0</v>
      </c>
      <c r="V16">
        <v>0</v>
      </c>
      <c r="W16">
        <v>999999999</v>
      </c>
      <c r="X16">
        <v>999999999</v>
      </c>
      <c r="Y16">
        <v>0</v>
      </c>
      <c r="Z16">
        <v>0</v>
      </c>
    </row>
    <row r="17" spans="1:26" x14ac:dyDescent="0.25">
      <c r="A17" s="14">
        <v>2039</v>
      </c>
      <c r="B17" s="22">
        <v>2024431</v>
      </c>
      <c r="C17" s="15">
        <v>57100000</v>
      </c>
      <c r="D17" s="15">
        <v>58100000</v>
      </c>
      <c r="E17" s="22">
        <v>860748</v>
      </c>
      <c r="F17" s="15">
        <v>2064.0329999999999</v>
      </c>
      <c r="G17" s="15">
        <v>167000</v>
      </c>
      <c r="H17">
        <v>999999999</v>
      </c>
      <c r="I17">
        <v>999999999</v>
      </c>
      <c r="J17" s="22">
        <v>1235</v>
      </c>
      <c r="K17">
        <v>0</v>
      </c>
      <c r="L17">
        <v>0</v>
      </c>
      <c r="M17" s="22">
        <v>485</v>
      </c>
      <c r="N17" s="22">
        <v>280</v>
      </c>
      <c r="O17" s="22">
        <v>15000</v>
      </c>
      <c r="P17">
        <v>0</v>
      </c>
      <c r="Q17" s="22">
        <v>47673</v>
      </c>
      <c r="R17">
        <v>0</v>
      </c>
      <c r="S17">
        <v>0</v>
      </c>
      <c r="T17">
        <v>0</v>
      </c>
      <c r="U17">
        <v>0</v>
      </c>
      <c r="V17">
        <v>0</v>
      </c>
      <c r="W17">
        <v>999999999</v>
      </c>
      <c r="X17">
        <v>999999999</v>
      </c>
      <c r="Y17">
        <v>0</v>
      </c>
      <c r="Z17">
        <v>0</v>
      </c>
    </row>
    <row r="18" spans="1:26" x14ac:dyDescent="0.25">
      <c r="A18" s="14">
        <v>2040</v>
      </c>
      <c r="B18" s="22">
        <v>2024431</v>
      </c>
      <c r="C18" s="15">
        <v>57100000</v>
      </c>
      <c r="D18" s="15">
        <v>58100000</v>
      </c>
      <c r="E18" s="22">
        <v>860748</v>
      </c>
      <c r="F18" s="15">
        <v>2064.0329999999999</v>
      </c>
      <c r="G18" s="15">
        <v>167000</v>
      </c>
      <c r="H18">
        <v>999999999</v>
      </c>
      <c r="I18">
        <v>999999999</v>
      </c>
      <c r="J18" s="22">
        <v>1235</v>
      </c>
      <c r="K18">
        <v>0</v>
      </c>
      <c r="L18">
        <v>0</v>
      </c>
      <c r="M18" s="22">
        <v>485</v>
      </c>
      <c r="N18" s="22">
        <v>280</v>
      </c>
      <c r="O18" s="22">
        <v>15000</v>
      </c>
      <c r="P18">
        <v>0</v>
      </c>
      <c r="Q18" s="22">
        <v>47673</v>
      </c>
      <c r="R18">
        <v>0</v>
      </c>
      <c r="S18">
        <v>0</v>
      </c>
      <c r="T18">
        <v>0</v>
      </c>
      <c r="U18">
        <v>0</v>
      </c>
      <c r="V18">
        <v>0</v>
      </c>
      <c r="W18">
        <v>999999999</v>
      </c>
      <c r="X18">
        <v>999999999</v>
      </c>
      <c r="Y18">
        <v>0</v>
      </c>
      <c r="Z18">
        <v>0</v>
      </c>
    </row>
    <row r="19" spans="1:26" x14ac:dyDescent="0.25">
      <c r="A19" s="14">
        <v>2041</v>
      </c>
      <c r="B19" s="22">
        <v>2024431</v>
      </c>
      <c r="C19" s="15">
        <v>57100000</v>
      </c>
      <c r="D19" s="15">
        <v>58100000</v>
      </c>
      <c r="E19" s="22">
        <v>860748</v>
      </c>
      <c r="F19" s="15">
        <v>2064.0329999999999</v>
      </c>
      <c r="G19" s="15">
        <v>167000</v>
      </c>
      <c r="H19">
        <v>999999999</v>
      </c>
      <c r="I19">
        <v>999999999</v>
      </c>
      <c r="J19" s="22">
        <v>1235</v>
      </c>
      <c r="K19">
        <v>0</v>
      </c>
      <c r="L19">
        <v>0</v>
      </c>
      <c r="M19" s="22">
        <v>485</v>
      </c>
      <c r="N19" s="22">
        <v>280</v>
      </c>
      <c r="O19" s="22">
        <v>15000</v>
      </c>
      <c r="P19">
        <v>0</v>
      </c>
      <c r="Q19" s="22">
        <v>47673</v>
      </c>
      <c r="R19">
        <v>0</v>
      </c>
      <c r="S19">
        <v>0</v>
      </c>
      <c r="T19">
        <v>0</v>
      </c>
      <c r="U19">
        <v>0</v>
      </c>
      <c r="V19">
        <v>0</v>
      </c>
      <c r="W19">
        <v>999999999</v>
      </c>
      <c r="X19">
        <v>999999999</v>
      </c>
      <c r="Y19">
        <v>0</v>
      </c>
      <c r="Z19">
        <v>0</v>
      </c>
    </row>
    <row r="20" spans="1:26" x14ac:dyDescent="0.25">
      <c r="A20" s="14">
        <v>2042</v>
      </c>
      <c r="B20" s="22">
        <v>2024431</v>
      </c>
      <c r="C20" s="15">
        <v>57100000</v>
      </c>
      <c r="D20" s="15">
        <v>58100000</v>
      </c>
      <c r="E20" s="22">
        <v>860748</v>
      </c>
      <c r="F20" s="15">
        <v>2064.0329999999999</v>
      </c>
      <c r="G20" s="15">
        <v>167000</v>
      </c>
      <c r="H20">
        <v>999999999</v>
      </c>
      <c r="I20">
        <v>999999999</v>
      </c>
      <c r="J20" s="22">
        <v>1235</v>
      </c>
      <c r="K20">
        <v>0</v>
      </c>
      <c r="L20">
        <v>0</v>
      </c>
      <c r="M20" s="22">
        <v>485</v>
      </c>
      <c r="N20" s="22">
        <v>280</v>
      </c>
      <c r="O20" s="22">
        <v>15000</v>
      </c>
      <c r="P20">
        <v>0</v>
      </c>
      <c r="Q20" s="22">
        <v>47673</v>
      </c>
      <c r="R20">
        <v>0</v>
      </c>
      <c r="S20">
        <v>0</v>
      </c>
      <c r="T20">
        <v>0</v>
      </c>
      <c r="U20">
        <v>0</v>
      </c>
      <c r="V20">
        <v>0</v>
      </c>
      <c r="W20">
        <v>999999999</v>
      </c>
      <c r="X20">
        <v>999999999</v>
      </c>
      <c r="Y20">
        <v>0</v>
      </c>
      <c r="Z20">
        <v>0</v>
      </c>
    </row>
    <row r="21" spans="1:26" x14ac:dyDescent="0.25">
      <c r="A21" s="14">
        <v>2043</v>
      </c>
      <c r="B21" s="22">
        <v>2024431</v>
      </c>
      <c r="C21" s="15">
        <v>57100000</v>
      </c>
      <c r="D21" s="15">
        <v>58100000</v>
      </c>
      <c r="E21" s="22">
        <v>860748</v>
      </c>
      <c r="F21" s="15">
        <v>2064.0329999999999</v>
      </c>
      <c r="G21" s="15">
        <v>167000</v>
      </c>
      <c r="H21">
        <v>999999999</v>
      </c>
      <c r="I21">
        <v>999999999</v>
      </c>
      <c r="J21" s="22">
        <v>1235</v>
      </c>
      <c r="K21">
        <v>0</v>
      </c>
      <c r="L21">
        <v>0</v>
      </c>
      <c r="M21" s="22">
        <v>485</v>
      </c>
      <c r="N21" s="22">
        <v>280</v>
      </c>
      <c r="O21" s="22">
        <v>15000</v>
      </c>
      <c r="P21">
        <v>0</v>
      </c>
      <c r="Q21" s="22">
        <v>47673</v>
      </c>
      <c r="R21">
        <v>0</v>
      </c>
      <c r="S21">
        <v>0</v>
      </c>
      <c r="T21">
        <v>0</v>
      </c>
      <c r="U21">
        <v>0</v>
      </c>
      <c r="V21">
        <v>0</v>
      </c>
      <c r="W21">
        <v>999999999</v>
      </c>
      <c r="X21">
        <v>999999999</v>
      </c>
      <c r="Y21">
        <v>0</v>
      </c>
      <c r="Z21">
        <v>0</v>
      </c>
    </row>
    <row r="22" spans="1:26" x14ac:dyDescent="0.25">
      <c r="A22" s="14">
        <v>2044</v>
      </c>
      <c r="B22" s="22">
        <v>2024431</v>
      </c>
      <c r="C22" s="15">
        <v>57100000</v>
      </c>
      <c r="D22" s="15">
        <v>58100000</v>
      </c>
      <c r="E22" s="22">
        <v>860748</v>
      </c>
      <c r="F22" s="15">
        <v>2064.0329999999999</v>
      </c>
      <c r="G22" s="15">
        <v>167000</v>
      </c>
      <c r="H22">
        <v>999999999</v>
      </c>
      <c r="I22">
        <v>999999999</v>
      </c>
      <c r="J22" s="22">
        <v>1235</v>
      </c>
      <c r="K22">
        <v>0</v>
      </c>
      <c r="L22">
        <v>0</v>
      </c>
      <c r="M22" s="22">
        <v>485</v>
      </c>
      <c r="N22" s="22">
        <v>280</v>
      </c>
      <c r="O22" s="22">
        <v>15000</v>
      </c>
      <c r="P22">
        <v>0</v>
      </c>
      <c r="Q22" s="22">
        <v>47673</v>
      </c>
      <c r="R22">
        <v>0</v>
      </c>
      <c r="S22">
        <v>0</v>
      </c>
      <c r="T22">
        <v>0</v>
      </c>
      <c r="U22">
        <v>0</v>
      </c>
      <c r="V22">
        <v>0</v>
      </c>
      <c r="W22">
        <v>999999999</v>
      </c>
      <c r="X22">
        <v>999999999</v>
      </c>
      <c r="Y22">
        <v>0</v>
      </c>
      <c r="Z22">
        <v>0</v>
      </c>
    </row>
    <row r="23" spans="1:26" x14ac:dyDescent="0.25">
      <c r="A23" s="14">
        <v>2045</v>
      </c>
      <c r="B23" s="22">
        <v>2024431</v>
      </c>
      <c r="C23" s="15">
        <v>57100000</v>
      </c>
      <c r="D23" s="15">
        <v>58100000</v>
      </c>
      <c r="E23" s="22">
        <v>860748</v>
      </c>
      <c r="F23" s="15">
        <v>2064.0329999999999</v>
      </c>
      <c r="G23" s="15">
        <v>167000</v>
      </c>
      <c r="H23">
        <v>999999999</v>
      </c>
      <c r="I23">
        <v>999999999</v>
      </c>
      <c r="J23" s="22">
        <v>1235</v>
      </c>
      <c r="K23">
        <v>0</v>
      </c>
      <c r="L23">
        <v>0</v>
      </c>
      <c r="M23" s="22">
        <v>485</v>
      </c>
      <c r="N23" s="22">
        <v>280</v>
      </c>
      <c r="O23" s="22">
        <v>15000</v>
      </c>
      <c r="P23">
        <v>0</v>
      </c>
      <c r="Q23" s="22">
        <v>47673</v>
      </c>
      <c r="R23">
        <v>0</v>
      </c>
      <c r="S23">
        <v>0</v>
      </c>
      <c r="T23">
        <v>0</v>
      </c>
      <c r="U23">
        <v>0</v>
      </c>
      <c r="V23">
        <v>0</v>
      </c>
      <c r="W23">
        <v>999999999</v>
      </c>
      <c r="X23">
        <v>999999999</v>
      </c>
      <c r="Y23">
        <v>0</v>
      </c>
      <c r="Z23">
        <v>0</v>
      </c>
    </row>
    <row r="24" spans="1:26" x14ac:dyDescent="0.25">
      <c r="A24" s="14">
        <v>2046</v>
      </c>
      <c r="B24" s="22">
        <v>2024431</v>
      </c>
      <c r="C24" s="15">
        <v>57100000</v>
      </c>
      <c r="D24" s="15">
        <v>58100000</v>
      </c>
      <c r="E24" s="22">
        <v>860748</v>
      </c>
      <c r="F24" s="15">
        <v>2064.0329999999999</v>
      </c>
      <c r="G24" s="15">
        <v>167000</v>
      </c>
      <c r="H24">
        <v>999999999</v>
      </c>
      <c r="I24">
        <v>999999999</v>
      </c>
      <c r="J24" s="22">
        <v>1235</v>
      </c>
      <c r="K24">
        <v>0</v>
      </c>
      <c r="L24">
        <v>0</v>
      </c>
      <c r="M24" s="22">
        <v>485</v>
      </c>
      <c r="N24" s="22">
        <v>280</v>
      </c>
      <c r="O24" s="22">
        <v>15000</v>
      </c>
      <c r="P24">
        <v>0</v>
      </c>
      <c r="Q24" s="22">
        <v>47673</v>
      </c>
      <c r="R24">
        <v>0</v>
      </c>
      <c r="S24">
        <v>0</v>
      </c>
      <c r="T24">
        <v>0</v>
      </c>
      <c r="U24">
        <v>0</v>
      </c>
      <c r="V24">
        <v>0</v>
      </c>
      <c r="W24">
        <v>999999999</v>
      </c>
      <c r="X24">
        <v>999999999</v>
      </c>
      <c r="Y24">
        <v>0</v>
      </c>
      <c r="Z24">
        <v>0</v>
      </c>
    </row>
    <row r="25" spans="1:26" x14ac:dyDescent="0.25">
      <c r="A25" s="14">
        <v>2047</v>
      </c>
      <c r="B25" s="22">
        <v>2024431</v>
      </c>
      <c r="C25" s="15">
        <v>57100000</v>
      </c>
      <c r="D25" s="15">
        <v>58100000</v>
      </c>
      <c r="E25" s="22">
        <v>860748</v>
      </c>
      <c r="F25" s="15">
        <v>2064.0329999999999</v>
      </c>
      <c r="G25" s="15">
        <v>167000</v>
      </c>
      <c r="H25">
        <v>999999999</v>
      </c>
      <c r="I25">
        <v>999999999</v>
      </c>
      <c r="J25" s="22">
        <v>1235</v>
      </c>
      <c r="K25">
        <v>0</v>
      </c>
      <c r="L25">
        <v>0</v>
      </c>
      <c r="M25" s="22">
        <v>485</v>
      </c>
      <c r="N25" s="22">
        <v>280</v>
      </c>
      <c r="O25" s="22">
        <v>15000</v>
      </c>
      <c r="P25">
        <v>0</v>
      </c>
      <c r="Q25" s="22">
        <v>47673</v>
      </c>
      <c r="R25">
        <v>0</v>
      </c>
      <c r="S25">
        <v>0</v>
      </c>
      <c r="T25">
        <v>0</v>
      </c>
      <c r="U25">
        <v>0</v>
      </c>
      <c r="V25">
        <v>0</v>
      </c>
      <c r="W25">
        <v>999999999</v>
      </c>
      <c r="X25">
        <v>999999999</v>
      </c>
      <c r="Y25">
        <v>0</v>
      </c>
      <c r="Z25">
        <v>0</v>
      </c>
    </row>
    <row r="26" spans="1:26" x14ac:dyDescent="0.25">
      <c r="A26" s="14">
        <v>2048</v>
      </c>
      <c r="B26" s="22">
        <v>2024431</v>
      </c>
      <c r="C26" s="15">
        <v>57100000</v>
      </c>
      <c r="D26" s="15">
        <v>58100000</v>
      </c>
      <c r="E26" s="22">
        <v>860748</v>
      </c>
      <c r="F26" s="15">
        <v>2064.0329999999999</v>
      </c>
      <c r="G26" s="15">
        <v>167000</v>
      </c>
      <c r="H26">
        <v>999999999</v>
      </c>
      <c r="I26">
        <v>999999999</v>
      </c>
      <c r="J26" s="22">
        <v>1235</v>
      </c>
      <c r="K26">
        <v>0</v>
      </c>
      <c r="L26">
        <v>0</v>
      </c>
      <c r="M26" s="22">
        <v>485</v>
      </c>
      <c r="N26" s="22">
        <v>280</v>
      </c>
      <c r="O26" s="22">
        <v>15000</v>
      </c>
      <c r="P26">
        <v>0</v>
      </c>
      <c r="Q26" s="22">
        <v>47673</v>
      </c>
      <c r="R26">
        <v>0</v>
      </c>
      <c r="S26">
        <v>0</v>
      </c>
      <c r="T26">
        <v>0</v>
      </c>
      <c r="U26">
        <v>0</v>
      </c>
      <c r="V26">
        <v>0</v>
      </c>
      <c r="W26">
        <v>999999999</v>
      </c>
      <c r="X26">
        <v>999999999</v>
      </c>
      <c r="Y26">
        <v>0</v>
      </c>
      <c r="Z26">
        <v>0</v>
      </c>
    </row>
    <row r="27" spans="1:26" x14ac:dyDescent="0.25">
      <c r="A27" s="14">
        <v>2049</v>
      </c>
      <c r="B27" s="22">
        <v>2024431</v>
      </c>
      <c r="C27" s="15">
        <v>57100000</v>
      </c>
      <c r="D27" s="15">
        <v>58100000</v>
      </c>
      <c r="E27" s="22">
        <v>860748</v>
      </c>
      <c r="F27" s="15">
        <v>2064.0329999999999</v>
      </c>
      <c r="G27" s="15">
        <v>167000</v>
      </c>
      <c r="H27">
        <v>999999999</v>
      </c>
      <c r="I27">
        <v>999999999</v>
      </c>
      <c r="J27" s="22">
        <v>1235</v>
      </c>
      <c r="K27">
        <v>0</v>
      </c>
      <c r="L27">
        <v>0</v>
      </c>
      <c r="M27" s="22">
        <v>485</v>
      </c>
      <c r="N27" s="22">
        <v>280</v>
      </c>
      <c r="O27" s="22">
        <v>15000</v>
      </c>
      <c r="P27">
        <v>0</v>
      </c>
      <c r="Q27" s="22">
        <v>47673</v>
      </c>
      <c r="R27">
        <v>0</v>
      </c>
      <c r="S27">
        <v>0</v>
      </c>
      <c r="T27">
        <v>0</v>
      </c>
      <c r="U27">
        <v>0</v>
      </c>
      <c r="V27">
        <v>0</v>
      </c>
      <c r="W27">
        <v>999999999</v>
      </c>
      <c r="X27">
        <v>999999999</v>
      </c>
      <c r="Y27">
        <v>0</v>
      </c>
      <c r="Z27">
        <v>0</v>
      </c>
    </row>
    <row r="28" spans="1:26" x14ac:dyDescent="0.25">
      <c r="A28" s="14">
        <v>2050</v>
      </c>
      <c r="B28" s="22">
        <v>2024431</v>
      </c>
      <c r="C28" s="15">
        <v>57100000</v>
      </c>
      <c r="D28" s="15">
        <v>58100000</v>
      </c>
      <c r="E28" s="22">
        <v>860748</v>
      </c>
      <c r="F28" s="15">
        <v>2064.0329999999999</v>
      </c>
      <c r="G28" s="15">
        <v>167000</v>
      </c>
      <c r="H28">
        <v>999999999</v>
      </c>
      <c r="I28">
        <v>999999999</v>
      </c>
      <c r="J28" s="22">
        <v>1235</v>
      </c>
      <c r="K28">
        <v>0</v>
      </c>
      <c r="L28">
        <v>0</v>
      </c>
      <c r="M28" s="22">
        <v>485</v>
      </c>
      <c r="N28" s="22">
        <v>280</v>
      </c>
      <c r="O28" s="22">
        <v>15000</v>
      </c>
      <c r="P28">
        <v>0</v>
      </c>
      <c r="Q28" s="22">
        <v>47673</v>
      </c>
      <c r="R28">
        <v>0</v>
      </c>
      <c r="S28">
        <v>0</v>
      </c>
      <c r="T28">
        <v>0</v>
      </c>
      <c r="U28">
        <v>0</v>
      </c>
      <c r="V28">
        <v>0</v>
      </c>
      <c r="W28">
        <v>999999999</v>
      </c>
      <c r="X28">
        <v>999999999</v>
      </c>
      <c r="Y28">
        <v>0</v>
      </c>
      <c r="Z28">
        <v>0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7A18D-E10F-4371-B6A4-3051915122F0}">
  <dimension ref="A1:Z28"/>
  <sheetViews>
    <sheetView workbookViewId="0">
      <selection activeCell="O10" sqref="O10"/>
    </sheetView>
  </sheetViews>
  <sheetFormatPr baseColWidth="10" defaultRowHeight="15" x14ac:dyDescent="0.25"/>
  <sheetData>
    <row r="1" spans="1:26" x14ac:dyDescent="0.25">
      <c r="A1" t="s">
        <v>15</v>
      </c>
      <c r="B1" t="s">
        <v>136</v>
      </c>
      <c r="C1" t="s">
        <v>173</v>
      </c>
      <c r="D1" t="s">
        <v>174</v>
      </c>
      <c r="E1" t="s">
        <v>156</v>
      </c>
      <c r="F1" t="s">
        <v>175</v>
      </c>
      <c r="G1" t="s">
        <v>176</v>
      </c>
      <c r="H1" t="s">
        <v>153</v>
      </c>
      <c r="I1" t="s">
        <v>154</v>
      </c>
      <c r="J1" t="s">
        <v>155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171</v>
      </c>
      <c r="Z1" t="s">
        <v>172</v>
      </c>
    </row>
    <row r="2" spans="1:26" x14ac:dyDescent="0.25">
      <c r="A2" s="14">
        <v>2024</v>
      </c>
      <c r="B2" s="12">
        <v>1800</v>
      </c>
      <c r="C2">
        <v>360</v>
      </c>
      <c r="D2">
        <v>1760</v>
      </c>
      <c r="E2" s="12">
        <v>4500</v>
      </c>
      <c r="F2">
        <v>2500000</v>
      </c>
      <c r="G2">
        <v>2484</v>
      </c>
      <c r="H2">
        <v>1</v>
      </c>
      <c r="I2">
        <v>1</v>
      </c>
      <c r="J2" s="12">
        <v>34000</v>
      </c>
      <c r="K2" s="12">
        <v>350000</v>
      </c>
      <c r="L2" s="12">
        <v>450000</v>
      </c>
      <c r="M2" s="21">
        <v>1200</v>
      </c>
      <c r="N2" s="21">
        <v>5000</v>
      </c>
      <c r="O2" s="12">
        <v>1700</v>
      </c>
      <c r="P2" s="12">
        <v>46000</v>
      </c>
      <c r="Q2" s="12">
        <v>12500</v>
      </c>
      <c r="R2" s="12">
        <v>25760</v>
      </c>
      <c r="S2" s="12">
        <v>46000</v>
      </c>
      <c r="T2" s="12">
        <v>550000</v>
      </c>
      <c r="U2" s="12">
        <v>9</v>
      </c>
      <c r="V2" s="12">
        <v>10000</v>
      </c>
      <c r="W2">
        <v>1</v>
      </c>
      <c r="X2">
        <v>1</v>
      </c>
      <c r="Y2" s="12">
        <v>320</v>
      </c>
      <c r="Z2" s="12">
        <v>20000</v>
      </c>
    </row>
    <row r="3" spans="1:26" x14ac:dyDescent="0.25">
      <c r="A3" s="14">
        <v>2025</v>
      </c>
      <c r="B3" s="12">
        <v>1800</v>
      </c>
      <c r="C3">
        <v>360</v>
      </c>
      <c r="D3">
        <v>1760</v>
      </c>
      <c r="E3" s="12">
        <v>4500</v>
      </c>
      <c r="F3">
        <v>2500000</v>
      </c>
      <c r="G3">
        <v>2484</v>
      </c>
      <c r="H3">
        <v>1</v>
      </c>
      <c r="I3">
        <v>1</v>
      </c>
      <c r="J3" s="12">
        <v>34000</v>
      </c>
      <c r="K3" s="12">
        <v>350000</v>
      </c>
      <c r="L3" s="12">
        <v>450000</v>
      </c>
      <c r="M3" s="21">
        <v>1200</v>
      </c>
      <c r="N3" s="21">
        <v>5000</v>
      </c>
      <c r="O3" s="12">
        <v>1700</v>
      </c>
      <c r="P3" s="12">
        <v>46000</v>
      </c>
      <c r="Q3" s="12">
        <v>12500</v>
      </c>
      <c r="R3" s="12">
        <v>25760</v>
      </c>
      <c r="S3" s="12">
        <v>46000</v>
      </c>
      <c r="T3" s="12">
        <v>550000</v>
      </c>
      <c r="U3" s="12">
        <v>9</v>
      </c>
      <c r="V3" s="12">
        <v>10000</v>
      </c>
      <c r="W3">
        <v>1</v>
      </c>
      <c r="X3">
        <v>1</v>
      </c>
      <c r="Y3" s="12">
        <v>320</v>
      </c>
      <c r="Z3" s="12">
        <v>20000</v>
      </c>
    </row>
    <row r="4" spans="1:26" x14ac:dyDescent="0.25">
      <c r="A4" s="14">
        <v>2026</v>
      </c>
      <c r="B4" s="12">
        <v>1800</v>
      </c>
      <c r="C4">
        <v>360</v>
      </c>
      <c r="D4">
        <v>1760</v>
      </c>
      <c r="E4" s="12">
        <v>4500</v>
      </c>
      <c r="F4">
        <v>2500000</v>
      </c>
      <c r="G4">
        <v>2484</v>
      </c>
      <c r="H4">
        <v>1</v>
      </c>
      <c r="I4">
        <v>1</v>
      </c>
      <c r="J4" s="12">
        <v>34000</v>
      </c>
      <c r="K4" s="12">
        <v>350000</v>
      </c>
      <c r="L4" s="12">
        <v>450000</v>
      </c>
      <c r="M4" s="21">
        <v>1200</v>
      </c>
      <c r="N4" s="21">
        <v>5000</v>
      </c>
      <c r="O4" s="12">
        <v>1700</v>
      </c>
      <c r="P4" s="12">
        <v>46000</v>
      </c>
      <c r="Q4" s="12">
        <v>12500</v>
      </c>
      <c r="R4" s="12">
        <v>25760</v>
      </c>
      <c r="S4" s="12">
        <v>46000</v>
      </c>
      <c r="T4" s="12">
        <v>550000</v>
      </c>
      <c r="U4" s="12">
        <v>9</v>
      </c>
      <c r="V4" s="12">
        <v>10000</v>
      </c>
      <c r="W4">
        <v>1</v>
      </c>
      <c r="X4">
        <v>1</v>
      </c>
      <c r="Y4" s="12">
        <v>320</v>
      </c>
      <c r="Z4" s="12">
        <v>20000</v>
      </c>
    </row>
    <row r="5" spans="1:26" x14ac:dyDescent="0.25">
      <c r="A5" s="14">
        <v>2027</v>
      </c>
      <c r="B5" s="12">
        <v>1800</v>
      </c>
      <c r="C5">
        <v>360</v>
      </c>
      <c r="D5">
        <v>1760</v>
      </c>
      <c r="E5" s="12">
        <v>4500</v>
      </c>
      <c r="F5">
        <v>2500000</v>
      </c>
      <c r="G5">
        <v>2484</v>
      </c>
      <c r="H5">
        <v>1</v>
      </c>
      <c r="I5">
        <v>1</v>
      </c>
      <c r="J5" s="12">
        <v>34000</v>
      </c>
      <c r="K5" s="12">
        <v>350000</v>
      </c>
      <c r="L5" s="12">
        <v>450000</v>
      </c>
      <c r="M5" s="21">
        <v>1200</v>
      </c>
      <c r="N5" s="21">
        <v>5000</v>
      </c>
      <c r="O5" s="12">
        <v>1700</v>
      </c>
      <c r="P5" s="12">
        <v>46000</v>
      </c>
      <c r="Q5" s="12">
        <v>12500</v>
      </c>
      <c r="R5" s="12">
        <v>25760</v>
      </c>
      <c r="S5" s="12">
        <v>46000</v>
      </c>
      <c r="T5" s="12">
        <v>550000</v>
      </c>
      <c r="U5" s="12">
        <v>9</v>
      </c>
      <c r="V5" s="12">
        <v>10000</v>
      </c>
      <c r="W5">
        <v>1</v>
      </c>
      <c r="X5">
        <v>1</v>
      </c>
      <c r="Y5" s="12">
        <v>320</v>
      </c>
      <c r="Z5" s="12">
        <v>20000</v>
      </c>
    </row>
    <row r="6" spans="1:26" x14ac:dyDescent="0.25">
      <c r="A6" s="14">
        <v>2028</v>
      </c>
      <c r="B6" s="12">
        <v>1800</v>
      </c>
      <c r="C6">
        <v>360</v>
      </c>
      <c r="D6">
        <v>1760</v>
      </c>
      <c r="E6" s="12">
        <v>4500</v>
      </c>
      <c r="F6">
        <v>2500000</v>
      </c>
      <c r="G6">
        <v>2484</v>
      </c>
      <c r="H6">
        <v>1</v>
      </c>
      <c r="I6">
        <v>1</v>
      </c>
      <c r="J6" s="12">
        <v>34000</v>
      </c>
      <c r="K6" s="12">
        <v>350000</v>
      </c>
      <c r="L6" s="12">
        <v>450000</v>
      </c>
      <c r="M6" s="21">
        <v>1200</v>
      </c>
      <c r="N6" s="21">
        <v>5000</v>
      </c>
      <c r="O6" s="12">
        <v>1700</v>
      </c>
      <c r="P6" s="12">
        <v>46000</v>
      </c>
      <c r="Q6" s="12">
        <v>12500</v>
      </c>
      <c r="R6" s="12">
        <v>25760</v>
      </c>
      <c r="S6" s="12">
        <v>46000</v>
      </c>
      <c r="T6" s="12">
        <v>550000</v>
      </c>
      <c r="U6" s="12">
        <v>9</v>
      </c>
      <c r="V6" s="12">
        <v>10000</v>
      </c>
      <c r="W6">
        <v>1</v>
      </c>
      <c r="X6">
        <v>1</v>
      </c>
      <c r="Y6" s="12">
        <v>320</v>
      </c>
      <c r="Z6" s="12">
        <v>20000</v>
      </c>
    </row>
    <row r="7" spans="1:26" x14ac:dyDescent="0.25">
      <c r="A7" s="14">
        <v>2029</v>
      </c>
      <c r="B7" s="12">
        <v>1800</v>
      </c>
      <c r="C7">
        <v>360</v>
      </c>
      <c r="D7">
        <v>1760</v>
      </c>
      <c r="E7" s="12">
        <v>4500</v>
      </c>
      <c r="F7">
        <v>2500000</v>
      </c>
      <c r="G7">
        <v>2484</v>
      </c>
      <c r="H7">
        <v>1</v>
      </c>
      <c r="I7">
        <v>1</v>
      </c>
      <c r="J7" s="12">
        <v>34000</v>
      </c>
      <c r="K7" s="12">
        <v>350000</v>
      </c>
      <c r="L7" s="12">
        <v>450000</v>
      </c>
      <c r="M7" s="21">
        <v>1200</v>
      </c>
      <c r="N7" s="21">
        <v>5000</v>
      </c>
      <c r="O7" s="12">
        <v>1700</v>
      </c>
      <c r="P7" s="12">
        <v>46000</v>
      </c>
      <c r="Q7" s="12">
        <v>12500</v>
      </c>
      <c r="R7" s="12">
        <v>25760</v>
      </c>
      <c r="S7" s="12">
        <v>46000</v>
      </c>
      <c r="T7" s="12">
        <v>550000</v>
      </c>
      <c r="U7" s="12">
        <v>9</v>
      </c>
      <c r="V7" s="12">
        <v>10000</v>
      </c>
      <c r="W7">
        <v>1</v>
      </c>
      <c r="X7">
        <v>1</v>
      </c>
      <c r="Y7" s="12">
        <v>320</v>
      </c>
      <c r="Z7" s="12">
        <v>20000</v>
      </c>
    </row>
    <row r="8" spans="1:26" x14ac:dyDescent="0.25">
      <c r="A8" s="14">
        <v>2030</v>
      </c>
      <c r="B8" s="12">
        <v>1800</v>
      </c>
      <c r="C8">
        <v>360</v>
      </c>
      <c r="D8">
        <v>1760</v>
      </c>
      <c r="E8" s="12">
        <v>4500</v>
      </c>
      <c r="F8">
        <v>2500000</v>
      </c>
      <c r="G8">
        <v>2484</v>
      </c>
      <c r="H8">
        <v>1</v>
      </c>
      <c r="I8">
        <v>1</v>
      </c>
      <c r="J8" s="12">
        <v>34000</v>
      </c>
      <c r="K8" s="12">
        <v>350000</v>
      </c>
      <c r="L8" s="12">
        <v>450000</v>
      </c>
      <c r="M8" s="21">
        <v>1200</v>
      </c>
      <c r="N8" s="21">
        <v>5000</v>
      </c>
      <c r="O8" s="12">
        <v>1700</v>
      </c>
      <c r="P8" s="12">
        <v>46000</v>
      </c>
      <c r="Q8" s="12">
        <v>12500</v>
      </c>
      <c r="R8" s="12">
        <v>25760</v>
      </c>
      <c r="S8" s="12">
        <v>46000</v>
      </c>
      <c r="T8" s="12">
        <v>550000</v>
      </c>
      <c r="U8" s="12">
        <v>9</v>
      </c>
      <c r="V8" s="12">
        <v>10000</v>
      </c>
      <c r="W8">
        <v>1</v>
      </c>
      <c r="X8">
        <v>1</v>
      </c>
      <c r="Y8" s="12">
        <v>320</v>
      </c>
      <c r="Z8" s="12">
        <v>20000</v>
      </c>
    </row>
    <row r="9" spans="1:26" x14ac:dyDescent="0.25">
      <c r="A9" s="14">
        <v>2031</v>
      </c>
      <c r="B9" s="12">
        <v>1800</v>
      </c>
      <c r="C9">
        <v>360</v>
      </c>
      <c r="D9">
        <v>1760</v>
      </c>
      <c r="E9" s="12">
        <v>4500</v>
      </c>
      <c r="F9">
        <v>2500000</v>
      </c>
      <c r="G9">
        <v>2484</v>
      </c>
      <c r="H9">
        <v>1</v>
      </c>
      <c r="I9">
        <v>1</v>
      </c>
      <c r="J9" s="12">
        <v>34000</v>
      </c>
      <c r="K9" s="12">
        <v>350000</v>
      </c>
      <c r="L9" s="12">
        <v>450000</v>
      </c>
      <c r="M9" s="21">
        <v>1200</v>
      </c>
      <c r="N9" s="21">
        <v>5000</v>
      </c>
      <c r="O9" s="12">
        <v>1700</v>
      </c>
      <c r="P9" s="12">
        <v>46000</v>
      </c>
      <c r="Q9" s="12">
        <v>12500</v>
      </c>
      <c r="R9" s="12">
        <v>25760</v>
      </c>
      <c r="S9" s="12">
        <v>46000</v>
      </c>
      <c r="T9" s="12">
        <v>550000</v>
      </c>
      <c r="U9" s="12">
        <v>9</v>
      </c>
      <c r="V9" s="12">
        <v>10000</v>
      </c>
      <c r="W9">
        <v>1</v>
      </c>
      <c r="X9">
        <v>1</v>
      </c>
      <c r="Y9" s="12">
        <v>320</v>
      </c>
      <c r="Z9" s="12">
        <v>20000</v>
      </c>
    </row>
    <row r="10" spans="1:26" x14ac:dyDescent="0.25">
      <c r="A10" s="14">
        <v>2032</v>
      </c>
      <c r="B10" s="12">
        <v>1800</v>
      </c>
      <c r="C10">
        <v>360</v>
      </c>
      <c r="D10">
        <v>1760</v>
      </c>
      <c r="E10" s="12">
        <v>4500</v>
      </c>
      <c r="F10">
        <v>2500000</v>
      </c>
      <c r="G10">
        <v>2484</v>
      </c>
      <c r="H10">
        <v>1</v>
      </c>
      <c r="I10">
        <v>1</v>
      </c>
      <c r="J10" s="12">
        <v>34000</v>
      </c>
      <c r="K10" s="12">
        <v>350000</v>
      </c>
      <c r="L10" s="12">
        <v>450000</v>
      </c>
      <c r="M10" s="21">
        <v>1200</v>
      </c>
      <c r="N10" s="21">
        <v>5000</v>
      </c>
      <c r="O10" s="12">
        <v>1700</v>
      </c>
      <c r="P10" s="12">
        <v>46000</v>
      </c>
      <c r="Q10" s="12">
        <v>12500</v>
      </c>
      <c r="R10" s="12">
        <v>25760</v>
      </c>
      <c r="S10" s="12">
        <v>46000</v>
      </c>
      <c r="T10" s="12">
        <v>550000</v>
      </c>
      <c r="U10" s="12">
        <v>9</v>
      </c>
      <c r="V10" s="12">
        <v>10000</v>
      </c>
      <c r="W10">
        <v>1</v>
      </c>
      <c r="X10">
        <v>1</v>
      </c>
      <c r="Y10" s="12">
        <v>320</v>
      </c>
      <c r="Z10" s="12">
        <v>20000</v>
      </c>
    </row>
    <row r="11" spans="1:26" x14ac:dyDescent="0.25">
      <c r="A11" s="14">
        <v>2033</v>
      </c>
      <c r="B11" s="12">
        <v>1800</v>
      </c>
      <c r="C11">
        <v>360</v>
      </c>
      <c r="D11">
        <v>1760</v>
      </c>
      <c r="E11" s="12">
        <v>4500</v>
      </c>
      <c r="F11">
        <v>2500000</v>
      </c>
      <c r="G11">
        <v>2484</v>
      </c>
      <c r="H11">
        <v>1</v>
      </c>
      <c r="I11">
        <v>1</v>
      </c>
      <c r="J11" s="12">
        <v>34000</v>
      </c>
      <c r="K11" s="12">
        <v>350000</v>
      </c>
      <c r="L11" s="12">
        <v>450000</v>
      </c>
      <c r="M11" s="21">
        <v>1200</v>
      </c>
      <c r="N11" s="21">
        <v>5000</v>
      </c>
      <c r="O11" s="12">
        <v>1700</v>
      </c>
      <c r="P11" s="12">
        <v>46000</v>
      </c>
      <c r="Q11" s="12">
        <v>12500</v>
      </c>
      <c r="R11" s="12">
        <v>25760</v>
      </c>
      <c r="S11" s="12">
        <v>46000</v>
      </c>
      <c r="T11" s="12">
        <v>550000</v>
      </c>
      <c r="U11" s="12">
        <v>9</v>
      </c>
      <c r="V11" s="12">
        <v>10000</v>
      </c>
      <c r="W11">
        <v>1</v>
      </c>
      <c r="X11">
        <v>1</v>
      </c>
      <c r="Y11" s="12">
        <v>320</v>
      </c>
      <c r="Z11" s="12">
        <v>20000</v>
      </c>
    </row>
    <row r="12" spans="1:26" x14ac:dyDescent="0.25">
      <c r="A12" s="14">
        <v>2034</v>
      </c>
      <c r="B12" s="12">
        <v>1800</v>
      </c>
      <c r="C12">
        <v>360</v>
      </c>
      <c r="D12">
        <v>1760</v>
      </c>
      <c r="E12" s="12">
        <v>4500</v>
      </c>
      <c r="F12">
        <v>2500000</v>
      </c>
      <c r="G12">
        <v>2484</v>
      </c>
      <c r="H12">
        <v>1</v>
      </c>
      <c r="I12">
        <v>1</v>
      </c>
      <c r="J12" s="12">
        <v>34000</v>
      </c>
      <c r="K12" s="12">
        <v>350000</v>
      </c>
      <c r="L12" s="12">
        <v>450000</v>
      </c>
      <c r="M12" s="21">
        <v>1200</v>
      </c>
      <c r="N12" s="21">
        <v>5000</v>
      </c>
      <c r="O12" s="12">
        <v>1700</v>
      </c>
      <c r="P12" s="12">
        <v>46000</v>
      </c>
      <c r="Q12" s="12">
        <v>12500</v>
      </c>
      <c r="R12" s="12">
        <v>25760</v>
      </c>
      <c r="S12" s="12">
        <v>46000</v>
      </c>
      <c r="T12" s="12">
        <v>550000</v>
      </c>
      <c r="U12" s="12">
        <v>9</v>
      </c>
      <c r="V12" s="12">
        <v>10000</v>
      </c>
      <c r="W12">
        <v>1</v>
      </c>
      <c r="X12">
        <v>1</v>
      </c>
      <c r="Y12" s="12">
        <v>320</v>
      </c>
      <c r="Z12" s="12">
        <v>20000</v>
      </c>
    </row>
    <row r="13" spans="1:26" x14ac:dyDescent="0.25">
      <c r="A13" s="14">
        <v>2035</v>
      </c>
      <c r="B13" s="12">
        <v>1800</v>
      </c>
      <c r="C13">
        <v>360</v>
      </c>
      <c r="D13">
        <v>1760</v>
      </c>
      <c r="E13" s="12">
        <v>4500</v>
      </c>
      <c r="F13">
        <v>2500000</v>
      </c>
      <c r="G13">
        <v>2484</v>
      </c>
      <c r="H13">
        <v>1</v>
      </c>
      <c r="I13">
        <v>1</v>
      </c>
      <c r="J13" s="12">
        <v>34000</v>
      </c>
      <c r="K13" s="12">
        <v>350000</v>
      </c>
      <c r="L13" s="12">
        <v>450000</v>
      </c>
      <c r="M13" s="21">
        <v>1200</v>
      </c>
      <c r="N13" s="21">
        <v>5000</v>
      </c>
      <c r="O13" s="12">
        <v>1700</v>
      </c>
      <c r="P13" s="12">
        <v>46000</v>
      </c>
      <c r="Q13" s="12">
        <v>12500</v>
      </c>
      <c r="R13" s="12">
        <v>25760</v>
      </c>
      <c r="S13" s="12">
        <v>46000</v>
      </c>
      <c r="T13" s="12">
        <v>550000</v>
      </c>
      <c r="U13" s="12">
        <v>9</v>
      </c>
      <c r="V13" s="12">
        <v>10000</v>
      </c>
      <c r="W13">
        <v>1</v>
      </c>
      <c r="X13">
        <v>1</v>
      </c>
      <c r="Y13" s="12">
        <v>320</v>
      </c>
      <c r="Z13" s="12">
        <v>20000</v>
      </c>
    </row>
    <row r="14" spans="1:26" x14ac:dyDescent="0.25">
      <c r="A14" s="14">
        <v>2036</v>
      </c>
      <c r="B14" s="12">
        <v>1800</v>
      </c>
      <c r="C14">
        <v>360</v>
      </c>
      <c r="D14">
        <v>1760</v>
      </c>
      <c r="E14" s="12">
        <v>4500</v>
      </c>
      <c r="F14">
        <v>2500000</v>
      </c>
      <c r="G14">
        <v>2484</v>
      </c>
      <c r="H14">
        <v>1</v>
      </c>
      <c r="I14">
        <v>1</v>
      </c>
      <c r="J14" s="12">
        <v>34000</v>
      </c>
      <c r="K14" s="12">
        <v>350000</v>
      </c>
      <c r="L14" s="12">
        <v>450000</v>
      </c>
      <c r="M14" s="21">
        <v>1200</v>
      </c>
      <c r="N14" s="21">
        <v>5000</v>
      </c>
      <c r="O14" s="12">
        <v>1700</v>
      </c>
      <c r="P14" s="12">
        <v>46000</v>
      </c>
      <c r="Q14" s="12">
        <v>12500</v>
      </c>
      <c r="R14" s="12">
        <v>25760</v>
      </c>
      <c r="S14" s="12">
        <v>46000</v>
      </c>
      <c r="T14" s="12">
        <v>550000</v>
      </c>
      <c r="U14" s="12">
        <v>9</v>
      </c>
      <c r="V14" s="12">
        <v>10000</v>
      </c>
      <c r="W14">
        <v>1</v>
      </c>
      <c r="X14">
        <v>1</v>
      </c>
      <c r="Y14" s="12">
        <v>320</v>
      </c>
      <c r="Z14" s="12">
        <v>20000</v>
      </c>
    </row>
    <row r="15" spans="1:26" x14ac:dyDescent="0.25">
      <c r="A15" s="14">
        <v>2037</v>
      </c>
      <c r="B15" s="12">
        <v>1800</v>
      </c>
      <c r="C15">
        <v>360</v>
      </c>
      <c r="D15">
        <v>1760</v>
      </c>
      <c r="E15" s="12">
        <v>4500</v>
      </c>
      <c r="F15">
        <v>2500000</v>
      </c>
      <c r="G15">
        <v>2484</v>
      </c>
      <c r="H15">
        <v>1</v>
      </c>
      <c r="I15">
        <v>1</v>
      </c>
      <c r="J15" s="12">
        <v>34000</v>
      </c>
      <c r="K15" s="12">
        <v>350000</v>
      </c>
      <c r="L15" s="12">
        <v>450000</v>
      </c>
      <c r="M15" s="21">
        <v>1200</v>
      </c>
      <c r="N15" s="21">
        <v>5000</v>
      </c>
      <c r="O15" s="12">
        <v>1700</v>
      </c>
      <c r="P15" s="12">
        <v>46000</v>
      </c>
      <c r="Q15" s="12">
        <v>12500</v>
      </c>
      <c r="R15" s="12">
        <v>25760</v>
      </c>
      <c r="S15" s="12">
        <v>46000</v>
      </c>
      <c r="T15" s="12">
        <v>550000</v>
      </c>
      <c r="U15" s="12">
        <v>9</v>
      </c>
      <c r="V15" s="12">
        <v>10000</v>
      </c>
      <c r="W15">
        <v>1</v>
      </c>
      <c r="X15">
        <v>1</v>
      </c>
      <c r="Y15" s="12">
        <v>320</v>
      </c>
      <c r="Z15" s="12">
        <v>20000</v>
      </c>
    </row>
    <row r="16" spans="1:26" x14ac:dyDescent="0.25">
      <c r="A16" s="14">
        <v>2038</v>
      </c>
      <c r="B16" s="12">
        <v>1800</v>
      </c>
      <c r="C16">
        <v>360</v>
      </c>
      <c r="D16">
        <v>1760</v>
      </c>
      <c r="E16" s="12">
        <v>4500</v>
      </c>
      <c r="F16">
        <v>2500000</v>
      </c>
      <c r="G16">
        <v>2484</v>
      </c>
      <c r="H16">
        <v>1</v>
      </c>
      <c r="I16">
        <v>1</v>
      </c>
      <c r="J16" s="12">
        <v>34000</v>
      </c>
      <c r="K16" s="12">
        <v>350000</v>
      </c>
      <c r="L16" s="12">
        <v>450000</v>
      </c>
      <c r="M16" s="21">
        <v>1200</v>
      </c>
      <c r="N16" s="21">
        <v>5000</v>
      </c>
      <c r="O16" s="12">
        <v>1700</v>
      </c>
      <c r="P16" s="12">
        <v>46000</v>
      </c>
      <c r="Q16" s="12">
        <v>12500</v>
      </c>
      <c r="R16" s="12">
        <v>25760</v>
      </c>
      <c r="S16" s="12">
        <v>46000</v>
      </c>
      <c r="T16" s="12">
        <v>550000</v>
      </c>
      <c r="U16" s="12">
        <v>9</v>
      </c>
      <c r="V16" s="12">
        <v>10000</v>
      </c>
      <c r="W16">
        <v>1</v>
      </c>
      <c r="X16">
        <v>1</v>
      </c>
      <c r="Y16" s="12">
        <v>320</v>
      </c>
      <c r="Z16" s="12">
        <v>20000</v>
      </c>
    </row>
    <row r="17" spans="1:26" x14ac:dyDescent="0.25">
      <c r="A17" s="14">
        <v>2039</v>
      </c>
      <c r="B17" s="12">
        <v>1800</v>
      </c>
      <c r="C17">
        <v>360</v>
      </c>
      <c r="D17">
        <v>1760</v>
      </c>
      <c r="E17" s="12">
        <v>4500</v>
      </c>
      <c r="F17">
        <v>2500000</v>
      </c>
      <c r="G17">
        <v>2484</v>
      </c>
      <c r="H17">
        <v>1</v>
      </c>
      <c r="I17">
        <v>1</v>
      </c>
      <c r="J17" s="12">
        <v>34000</v>
      </c>
      <c r="K17" s="12">
        <v>350000</v>
      </c>
      <c r="L17" s="12">
        <v>450000</v>
      </c>
      <c r="M17" s="21">
        <v>1200</v>
      </c>
      <c r="N17" s="21">
        <v>5000</v>
      </c>
      <c r="O17" s="12">
        <v>1700</v>
      </c>
      <c r="P17" s="12">
        <v>46000</v>
      </c>
      <c r="Q17" s="12">
        <v>12500</v>
      </c>
      <c r="R17" s="12">
        <v>25760</v>
      </c>
      <c r="S17" s="12">
        <v>46000</v>
      </c>
      <c r="T17" s="12">
        <v>550000</v>
      </c>
      <c r="U17" s="12">
        <v>9</v>
      </c>
      <c r="V17" s="12">
        <v>10000</v>
      </c>
      <c r="W17">
        <v>1</v>
      </c>
      <c r="X17">
        <v>1</v>
      </c>
      <c r="Y17" s="12">
        <v>320</v>
      </c>
      <c r="Z17" s="12">
        <v>20000</v>
      </c>
    </row>
    <row r="18" spans="1:26" x14ac:dyDescent="0.25">
      <c r="A18" s="14">
        <v>2040</v>
      </c>
      <c r="B18" s="12">
        <v>1800</v>
      </c>
      <c r="C18">
        <v>360</v>
      </c>
      <c r="D18">
        <v>1760</v>
      </c>
      <c r="E18" s="12">
        <v>4500</v>
      </c>
      <c r="F18">
        <v>2500000</v>
      </c>
      <c r="G18">
        <v>2484</v>
      </c>
      <c r="H18">
        <v>1</v>
      </c>
      <c r="I18">
        <v>1</v>
      </c>
      <c r="J18" s="12">
        <v>34000</v>
      </c>
      <c r="K18" s="12">
        <v>350000</v>
      </c>
      <c r="L18" s="12">
        <v>450000</v>
      </c>
      <c r="M18" s="21">
        <v>1200</v>
      </c>
      <c r="N18" s="21">
        <v>5000</v>
      </c>
      <c r="O18" s="12">
        <v>1700</v>
      </c>
      <c r="P18" s="12">
        <v>46000</v>
      </c>
      <c r="Q18" s="12">
        <v>12500</v>
      </c>
      <c r="R18" s="12">
        <v>25760</v>
      </c>
      <c r="S18" s="12">
        <v>46000</v>
      </c>
      <c r="T18" s="12">
        <v>550000</v>
      </c>
      <c r="U18" s="12">
        <v>9</v>
      </c>
      <c r="V18" s="12">
        <v>10000</v>
      </c>
      <c r="W18">
        <v>1</v>
      </c>
      <c r="X18">
        <v>1</v>
      </c>
      <c r="Y18" s="12">
        <v>320</v>
      </c>
      <c r="Z18" s="12">
        <v>20000</v>
      </c>
    </row>
    <row r="19" spans="1:26" x14ac:dyDescent="0.25">
      <c r="A19" s="14">
        <v>2041</v>
      </c>
      <c r="B19" s="12">
        <v>1800</v>
      </c>
      <c r="C19">
        <v>360</v>
      </c>
      <c r="D19">
        <v>1760</v>
      </c>
      <c r="E19" s="12">
        <v>4500</v>
      </c>
      <c r="F19">
        <v>2500000</v>
      </c>
      <c r="G19">
        <v>2484</v>
      </c>
      <c r="H19">
        <v>1</v>
      </c>
      <c r="I19">
        <v>1</v>
      </c>
      <c r="J19" s="12">
        <v>34000</v>
      </c>
      <c r="K19" s="12">
        <v>350000</v>
      </c>
      <c r="L19" s="12">
        <v>450000</v>
      </c>
      <c r="M19" s="21">
        <v>1200</v>
      </c>
      <c r="N19" s="21">
        <v>5000</v>
      </c>
      <c r="O19" s="12">
        <v>1700</v>
      </c>
      <c r="P19" s="12">
        <v>46000</v>
      </c>
      <c r="Q19" s="12">
        <v>12500</v>
      </c>
      <c r="R19" s="12">
        <v>25760</v>
      </c>
      <c r="S19" s="12">
        <v>46000</v>
      </c>
      <c r="T19" s="12">
        <v>550000</v>
      </c>
      <c r="U19" s="12">
        <v>9</v>
      </c>
      <c r="V19" s="12">
        <v>10000</v>
      </c>
      <c r="W19">
        <v>1</v>
      </c>
      <c r="X19">
        <v>1</v>
      </c>
      <c r="Y19" s="12">
        <v>320</v>
      </c>
      <c r="Z19" s="12">
        <v>20000</v>
      </c>
    </row>
    <row r="20" spans="1:26" x14ac:dyDescent="0.25">
      <c r="A20" s="14">
        <v>2042</v>
      </c>
      <c r="B20" s="12">
        <v>1800</v>
      </c>
      <c r="C20">
        <v>360</v>
      </c>
      <c r="D20">
        <v>1760</v>
      </c>
      <c r="E20" s="12">
        <v>4500</v>
      </c>
      <c r="F20">
        <v>2500000</v>
      </c>
      <c r="G20">
        <v>2484</v>
      </c>
      <c r="H20">
        <v>1</v>
      </c>
      <c r="I20">
        <v>1</v>
      </c>
      <c r="J20" s="12">
        <v>34000</v>
      </c>
      <c r="K20" s="12">
        <v>350000</v>
      </c>
      <c r="L20" s="12">
        <v>450000</v>
      </c>
      <c r="M20" s="21">
        <v>1200</v>
      </c>
      <c r="N20" s="21">
        <v>5000</v>
      </c>
      <c r="O20" s="12">
        <v>1700</v>
      </c>
      <c r="P20" s="12">
        <v>46000</v>
      </c>
      <c r="Q20" s="12">
        <v>12500</v>
      </c>
      <c r="R20" s="12">
        <v>25760</v>
      </c>
      <c r="S20" s="12">
        <v>46000</v>
      </c>
      <c r="T20" s="12">
        <v>550000</v>
      </c>
      <c r="U20" s="12">
        <v>9</v>
      </c>
      <c r="V20" s="12">
        <v>10000</v>
      </c>
      <c r="W20">
        <v>1</v>
      </c>
      <c r="X20">
        <v>1</v>
      </c>
      <c r="Y20" s="12">
        <v>320</v>
      </c>
      <c r="Z20" s="12">
        <v>20000</v>
      </c>
    </row>
    <row r="21" spans="1:26" x14ac:dyDescent="0.25">
      <c r="A21" s="14">
        <v>2043</v>
      </c>
      <c r="B21" s="12">
        <v>1800</v>
      </c>
      <c r="C21">
        <v>360</v>
      </c>
      <c r="D21">
        <v>1760</v>
      </c>
      <c r="E21" s="12">
        <v>4500</v>
      </c>
      <c r="F21">
        <v>2500000</v>
      </c>
      <c r="G21">
        <v>2484</v>
      </c>
      <c r="H21">
        <v>1</v>
      </c>
      <c r="I21">
        <v>1</v>
      </c>
      <c r="J21" s="12">
        <v>34000</v>
      </c>
      <c r="K21" s="12">
        <v>350000</v>
      </c>
      <c r="L21" s="12">
        <v>450000</v>
      </c>
      <c r="M21" s="21">
        <v>1200</v>
      </c>
      <c r="N21" s="21">
        <v>5000</v>
      </c>
      <c r="O21" s="12">
        <v>1700</v>
      </c>
      <c r="P21" s="12">
        <v>46000</v>
      </c>
      <c r="Q21" s="12">
        <v>12500</v>
      </c>
      <c r="R21" s="12">
        <v>25760</v>
      </c>
      <c r="S21" s="12">
        <v>46000</v>
      </c>
      <c r="T21" s="12">
        <v>550000</v>
      </c>
      <c r="U21" s="12">
        <v>9</v>
      </c>
      <c r="V21" s="12">
        <v>10000</v>
      </c>
      <c r="W21">
        <v>1</v>
      </c>
      <c r="X21">
        <v>1</v>
      </c>
      <c r="Y21" s="12">
        <v>320</v>
      </c>
      <c r="Z21" s="12">
        <v>20000</v>
      </c>
    </row>
    <row r="22" spans="1:26" x14ac:dyDescent="0.25">
      <c r="A22" s="14">
        <v>2044</v>
      </c>
      <c r="B22" s="12">
        <v>1800</v>
      </c>
      <c r="C22">
        <v>360</v>
      </c>
      <c r="D22">
        <v>1760</v>
      </c>
      <c r="E22" s="12">
        <v>4500</v>
      </c>
      <c r="F22">
        <v>2500000</v>
      </c>
      <c r="G22">
        <v>2484</v>
      </c>
      <c r="H22">
        <v>1</v>
      </c>
      <c r="I22">
        <v>1</v>
      </c>
      <c r="J22" s="12">
        <v>34000</v>
      </c>
      <c r="K22" s="12">
        <v>350000</v>
      </c>
      <c r="L22" s="12">
        <v>450000</v>
      </c>
      <c r="M22" s="21">
        <v>1200</v>
      </c>
      <c r="N22" s="21">
        <v>5000</v>
      </c>
      <c r="O22" s="12">
        <v>1700</v>
      </c>
      <c r="P22" s="12">
        <v>46000</v>
      </c>
      <c r="Q22" s="12">
        <v>12500</v>
      </c>
      <c r="R22" s="12">
        <v>25760</v>
      </c>
      <c r="S22" s="12">
        <v>46000</v>
      </c>
      <c r="T22" s="12">
        <v>550000</v>
      </c>
      <c r="U22" s="12">
        <v>9</v>
      </c>
      <c r="V22" s="12">
        <v>10000</v>
      </c>
      <c r="W22">
        <v>1</v>
      </c>
      <c r="X22">
        <v>1</v>
      </c>
      <c r="Y22" s="12">
        <v>320</v>
      </c>
      <c r="Z22" s="12">
        <v>20000</v>
      </c>
    </row>
    <row r="23" spans="1:26" x14ac:dyDescent="0.25">
      <c r="A23" s="14">
        <v>2045</v>
      </c>
      <c r="B23" s="12">
        <v>1800</v>
      </c>
      <c r="C23">
        <v>360</v>
      </c>
      <c r="D23">
        <v>1760</v>
      </c>
      <c r="E23" s="12">
        <v>4500</v>
      </c>
      <c r="F23">
        <v>2500000</v>
      </c>
      <c r="G23">
        <v>2484</v>
      </c>
      <c r="H23">
        <v>1</v>
      </c>
      <c r="I23">
        <v>1</v>
      </c>
      <c r="J23" s="12">
        <v>34000</v>
      </c>
      <c r="K23" s="12">
        <v>350000</v>
      </c>
      <c r="L23" s="12">
        <v>450000</v>
      </c>
      <c r="M23" s="21">
        <v>1200</v>
      </c>
      <c r="N23" s="21">
        <v>5000</v>
      </c>
      <c r="O23" s="12">
        <v>1700</v>
      </c>
      <c r="P23" s="12">
        <v>46000</v>
      </c>
      <c r="Q23" s="12">
        <v>12500</v>
      </c>
      <c r="R23" s="12">
        <v>25760</v>
      </c>
      <c r="S23" s="12">
        <v>46000</v>
      </c>
      <c r="T23" s="12">
        <v>550000</v>
      </c>
      <c r="U23" s="12">
        <v>9</v>
      </c>
      <c r="V23" s="12">
        <v>10000</v>
      </c>
      <c r="W23">
        <v>1</v>
      </c>
      <c r="X23">
        <v>1</v>
      </c>
      <c r="Y23" s="12">
        <v>320</v>
      </c>
      <c r="Z23" s="12">
        <v>20000</v>
      </c>
    </row>
    <row r="24" spans="1:26" x14ac:dyDescent="0.25">
      <c r="A24" s="14">
        <v>2046</v>
      </c>
      <c r="B24" s="12">
        <v>1800</v>
      </c>
      <c r="C24">
        <v>360</v>
      </c>
      <c r="D24">
        <v>1760</v>
      </c>
      <c r="E24" s="12">
        <v>4500</v>
      </c>
      <c r="F24">
        <v>2500000</v>
      </c>
      <c r="G24">
        <v>2484</v>
      </c>
      <c r="H24">
        <v>1</v>
      </c>
      <c r="I24">
        <v>1</v>
      </c>
      <c r="J24" s="12">
        <v>34000</v>
      </c>
      <c r="K24" s="12">
        <v>350000</v>
      </c>
      <c r="L24" s="12">
        <v>450000</v>
      </c>
      <c r="M24" s="21">
        <v>1200</v>
      </c>
      <c r="N24" s="21">
        <v>5000</v>
      </c>
      <c r="O24" s="12">
        <v>1700</v>
      </c>
      <c r="P24" s="12">
        <v>46000</v>
      </c>
      <c r="Q24" s="12">
        <v>12500</v>
      </c>
      <c r="R24" s="12">
        <v>25760</v>
      </c>
      <c r="S24" s="12">
        <v>46000</v>
      </c>
      <c r="T24" s="12">
        <v>550000</v>
      </c>
      <c r="U24" s="12">
        <v>9</v>
      </c>
      <c r="V24" s="12">
        <v>10000</v>
      </c>
      <c r="W24">
        <v>1</v>
      </c>
      <c r="X24">
        <v>1</v>
      </c>
      <c r="Y24" s="12">
        <v>320</v>
      </c>
      <c r="Z24" s="12">
        <v>20000</v>
      </c>
    </row>
    <row r="25" spans="1:26" x14ac:dyDescent="0.25">
      <c r="A25" s="14">
        <v>2047</v>
      </c>
      <c r="B25" s="12">
        <v>1800</v>
      </c>
      <c r="C25">
        <v>360</v>
      </c>
      <c r="D25">
        <v>1760</v>
      </c>
      <c r="E25" s="12">
        <v>4500</v>
      </c>
      <c r="F25">
        <v>2500000</v>
      </c>
      <c r="G25">
        <v>2484</v>
      </c>
      <c r="H25">
        <v>1</v>
      </c>
      <c r="I25">
        <v>1</v>
      </c>
      <c r="J25" s="12">
        <v>34000</v>
      </c>
      <c r="K25" s="12">
        <v>350000</v>
      </c>
      <c r="L25" s="12">
        <v>450000</v>
      </c>
      <c r="M25" s="21">
        <v>1200</v>
      </c>
      <c r="N25" s="21">
        <v>5000</v>
      </c>
      <c r="O25" s="12">
        <v>1700</v>
      </c>
      <c r="P25" s="12">
        <v>46000</v>
      </c>
      <c r="Q25" s="12">
        <v>12500</v>
      </c>
      <c r="R25" s="12">
        <v>25760</v>
      </c>
      <c r="S25" s="12">
        <v>46000</v>
      </c>
      <c r="T25" s="12">
        <v>550000</v>
      </c>
      <c r="U25" s="12">
        <v>9</v>
      </c>
      <c r="V25" s="12">
        <v>10000</v>
      </c>
      <c r="W25">
        <v>1</v>
      </c>
      <c r="X25">
        <v>1</v>
      </c>
      <c r="Y25" s="12">
        <v>320</v>
      </c>
      <c r="Z25" s="12">
        <v>20000</v>
      </c>
    </row>
    <row r="26" spans="1:26" x14ac:dyDescent="0.25">
      <c r="A26" s="14">
        <v>2048</v>
      </c>
      <c r="B26" s="12">
        <v>1800</v>
      </c>
      <c r="C26">
        <v>360</v>
      </c>
      <c r="D26">
        <v>1760</v>
      </c>
      <c r="E26" s="12">
        <v>4500</v>
      </c>
      <c r="F26">
        <v>2500000</v>
      </c>
      <c r="G26">
        <v>2484</v>
      </c>
      <c r="H26">
        <v>1</v>
      </c>
      <c r="I26">
        <v>1</v>
      </c>
      <c r="J26" s="12">
        <v>34000</v>
      </c>
      <c r="K26" s="12">
        <v>350000</v>
      </c>
      <c r="L26" s="12">
        <v>450000</v>
      </c>
      <c r="M26" s="21">
        <v>1200</v>
      </c>
      <c r="N26" s="21">
        <v>5000</v>
      </c>
      <c r="O26" s="12">
        <v>1700</v>
      </c>
      <c r="P26" s="12">
        <v>46000</v>
      </c>
      <c r="Q26" s="12">
        <v>12500</v>
      </c>
      <c r="R26" s="12">
        <v>25760</v>
      </c>
      <c r="S26" s="12">
        <v>46000</v>
      </c>
      <c r="T26" s="12">
        <v>550000</v>
      </c>
      <c r="U26" s="12">
        <v>9</v>
      </c>
      <c r="V26" s="12">
        <v>10000</v>
      </c>
      <c r="W26">
        <v>1</v>
      </c>
      <c r="X26">
        <v>1</v>
      </c>
      <c r="Y26" s="12">
        <v>320</v>
      </c>
      <c r="Z26" s="12">
        <v>20000</v>
      </c>
    </row>
    <row r="27" spans="1:26" x14ac:dyDescent="0.25">
      <c r="A27" s="14">
        <v>2049</v>
      </c>
      <c r="B27" s="12">
        <v>1800</v>
      </c>
      <c r="C27">
        <v>360</v>
      </c>
      <c r="D27">
        <v>1760</v>
      </c>
      <c r="E27" s="12">
        <v>4500</v>
      </c>
      <c r="F27">
        <v>2500000</v>
      </c>
      <c r="G27">
        <v>2484</v>
      </c>
      <c r="H27">
        <v>1</v>
      </c>
      <c r="I27">
        <v>1</v>
      </c>
      <c r="J27" s="12">
        <v>34000</v>
      </c>
      <c r="K27" s="12">
        <v>350000</v>
      </c>
      <c r="L27" s="12">
        <v>450000</v>
      </c>
      <c r="M27" s="21">
        <v>1200</v>
      </c>
      <c r="N27" s="21">
        <v>5000</v>
      </c>
      <c r="O27" s="12">
        <v>1700</v>
      </c>
      <c r="P27" s="12">
        <v>46000</v>
      </c>
      <c r="Q27" s="12">
        <v>12500</v>
      </c>
      <c r="R27" s="12">
        <v>25760</v>
      </c>
      <c r="S27" s="12">
        <v>46000</v>
      </c>
      <c r="T27" s="12">
        <v>550000</v>
      </c>
      <c r="U27" s="12">
        <v>9</v>
      </c>
      <c r="V27" s="12">
        <v>10000</v>
      </c>
      <c r="W27">
        <v>1</v>
      </c>
      <c r="X27">
        <v>1</v>
      </c>
      <c r="Y27" s="12">
        <v>320</v>
      </c>
      <c r="Z27" s="12">
        <v>20000</v>
      </c>
    </row>
    <row r="28" spans="1:26" x14ac:dyDescent="0.25">
      <c r="A28" s="14">
        <v>2050</v>
      </c>
      <c r="B28" s="12">
        <v>1800</v>
      </c>
      <c r="C28">
        <v>360</v>
      </c>
      <c r="D28">
        <v>1760</v>
      </c>
      <c r="E28" s="12">
        <v>4500</v>
      </c>
      <c r="F28">
        <v>2500000</v>
      </c>
      <c r="G28">
        <v>2484</v>
      </c>
      <c r="H28">
        <v>1</v>
      </c>
      <c r="I28">
        <v>1</v>
      </c>
      <c r="J28" s="12">
        <v>34000</v>
      </c>
      <c r="K28" s="12">
        <v>350000</v>
      </c>
      <c r="L28" s="12">
        <v>450000</v>
      </c>
      <c r="M28" s="21">
        <v>1200</v>
      </c>
      <c r="N28" s="21">
        <v>5000</v>
      </c>
      <c r="O28" s="12">
        <v>1700</v>
      </c>
      <c r="P28" s="12">
        <v>46000</v>
      </c>
      <c r="Q28" s="12">
        <v>12500</v>
      </c>
      <c r="R28" s="12">
        <v>25760</v>
      </c>
      <c r="S28" s="12">
        <v>46000</v>
      </c>
      <c r="T28" s="12">
        <v>550000</v>
      </c>
      <c r="U28" s="12">
        <v>9</v>
      </c>
      <c r="V28" s="12">
        <v>10000</v>
      </c>
      <c r="W28">
        <v>1</v>
      </c>
      <c r="X28">
        <v>1</v>
      </c>
      <c r="Y28" s="12">
        <v>320</v>
      </c>
      <c r="Z28" s="12">
        <v>20000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026C-02E1-4FD1-A973-B34B54E790E8}">
  <dimension ref="A1:Z28"/>
  <sheetViews>
    <sheetView workbookViewId="0">
      <selection activeCell="F39" sqref="F39"/>
    </sheetView>
  </sheetViews>
  <sheetFormatPr baseColWidth="10" defaultRowHeight="15" x14ac:dyDescent="0.25"/>
  <sheetData>
    <row r="1" spans="1:26" x14ac:dyDescent="0.25">
      <c r="A1" t="s">
        <v>15</v>
      </c>
      <c r="B1" t="s">
        <v>136</v>
      </c>
      <c r="C1" t="s">
        <v>173</v>
      </c>
      <c r="D1" t="s">
        <v>174</v>
      </c>
      <c r="E1" t="s">
        <v>156</v>
      </c>
      <c r="F1" t="s">
        <v>175</v>
      </c>
      <c r="G1" t="s">
        <v>176</v>
      </c>
      <c r="H1" t="s">
        <v>153</v>
      </c>
      <c r="I1" t="s">
        <v>154</v>
      </c>
      <c r="J1" t="s">
        <v>155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171</v>
      </c>
      <c r="Z1" t="s">
        <v>172</v>
      </c>
    </row>
    <row r="2" spans="1:26" x14ac:dyDescent="0.25">
      <c r="A2" s="14">
        <v>2024</v>
      </c>
      <c r="B2" s="12">
        <v>1800</v>
      </c>
      <c r="C2">
        <v>360</v>
      </c>
      <c r="D2">
        <v>1760</v>
      </c>
      <c r="E2" s="12">
        <v>4500</v>
      </c>
      <c r="F2">
        <v>2500000</v>
      </c>
      <c r="G2">
        <v>2484</v>
      </c>
      <c r="H2">
        <v>1</v>
      </c>
      <c r="I2">
        <v>1</v>
      </c>
      <c r="J2" s="12">
        <v>34000</v>
      </c>
      <c r="K2" s="12">
        <v>350000</v>
      </c>
      <c r="L2" s="12">
        <v>450000</v>
      </c>
      <c r="M2" s="21">
        <v>1200</v>
      </c>
      <c r="N2" s="21">
        <v>5000</v>
      </c>
      <c r="O2" s="12">
        <v>1700</v>
      </c>
      <c r="P2" s="12">
        <v>46000</v>
      </c>
      <c r="Q2" s="12">
        <v>12500</v>
      </c>
      <c r="R2" s="12">
        <v>25760</v>
      </c>
      <c r="S2" s="12">
        <v>46000</v>
      </c>
      <c r="T2" s="12">
        <v>550000</v>
      </c>
      <c r="U2" s="12">
        <v>9</v>
      </c>
      <c r="V2" s="12">
        <v>10000</v>
      </c>
      <c r="W2">
        <v>1</v>
      </c>
      <c r="X2">
        <v>1</v>
      </c>
      <c r="Y2" s="12">
        <v>320</v>
      </c>
      <c r="Z2" s="12">
        <v>20000</v>
      </c>
    </row>
    <row r="3" spans="1:26" x14ac:dyDescent="0.25">
      <c r="A3" s="14">
        <v>2025</v>
      </c>
      <c r="B3" s="12">
        <v>1800</v>
      </c>
      <c r="C3">
        <v>360</v>
      </c>
      <c r="D3">
        <v>1760</v>
      </c>
      <c r="E3" s="12">
        <v>4500</v>
      </c>
      <c r="F3">
        <v>2500000</v>
      </c>
      <c r="G3">
        <v>2484</v>
      </c>
      <c r="H3">
        <v>1</v>
      </c>
      <c r="I3">
        <v>1</v>
      </c>
      <c r="J3" s="12">
        <v>34000</v>
      </c>
      <c r="K3" s="12">
        <v>350000</v>
      </c>
      <c r="L3" s="12">
        <v>450000</v>
      </c>
      <c r="M3" s="21">
        <v>1200</v>
      </c>
      <c r="N3" s="21">
        <v>5000</v>
      </c>
      <c r="O3" s="12">
        <v>1700</v>
      </c>
      <c r="P3" s="12">
        <v>46000</v>
      </c>
      <c r="Q3" s="12">
        <v>12500</v>
      </c>
      <c r="R3" s="12">
        <v>25760</v>
      </c>
      <c r="S3" s="12">
        <v>46000</v>
      </c>
      <c r="T3" s="12">
        <v>550000</v>
      </c>
      <c r="U3" s="12">
        <v>9</v>
      </c>
      <c r="V3" s="12">
        <v>10000</v>
      </c>
      <c r="W3">
        <v>1</v>
      </c>
      <c r="X3">
        <v>1</v>
      </c>
      <c r="Y3" s="12">
        <v>320</v>
      </c>
      <c r="Z3" s="12">
        <v>20000</v>
      </c>
    </row>
    <row r="4" spans="1:26" x14ac:dyDescent="0.25">
      <c r="A4" s="14">
        <v>2026</v>
      </c>
      <c r="B4" s="12">
        <v>1800</v>
      </c>
      <c r="C4">
        <v>360</v>
      </c>
      <c r="D4">
        <v>1760</v>
      </c>
      <c r="E4" s="12">
        <v>4500</v>
      </c>
      <c r="F4">
        <v>2500000</v>
      </c>
      <c r="G4">
        <v>2484</v>
      </c>
      <c r="H4">
        <v>1</v>
      </c>
      <c r="I4">
        <v>1</v>
      </c>
      <c r="J4" s="12">
        <v>34000</v>
      </c>
      <c r="K4" s="12">
        <v>350000</v>
      </c>
      <c r="L4" s="12">
        <v>450000</v>
      </c>
      <c r="M4" s="21">
        <v>1200</v>
      </c>
      <c r="N4" s="21">
        <v>5000</v>
      </c>
      <c r="O4" s="12">
        <v>1700</v>
      </c>
      <c r="P4" s="12">
        <v>46000</v>
      </c>
      <c r="Q4" s="12">
        <v>12500</v>
      </c>
      <c r="R4" s="12">
        <v>25760</v>
      </c>
      <c r="S4" s="12">
        <v>46000</v>
      </c>
      <c r="T4" s="12">
        <v>550000</v>
      </c>
      <c r="U4" s="12">
        <v>9</v>
      </c>
      <c r="V4" s="12">
        <v>10000</v>
      </c>
      <c r="W4">
        <v>1</v>
      </c>
      <c r="X4">
        <v>1</v>
      </c>
      <c r="Y4" s="12">
        <v>320</v>
      </c>
      <c r="Z4" s="12">
        <v>20000</v>
      </c>
    </row>
    <row r="5" spans="1:26" x14ac:dyDescent="0.25">
      <c r="A5" s="14">
        <v>2027</v>
      </c>
      <c r="B5" s="12">
        <v>1800</v>
      </c>
      <c r="C5">
        <v>360</v>
      </c>
      <c r="D5">
        <v>1760</v>
      </c>
      <c r="E5" s="12">
        <v>4500</v>
      </c>
      <c r="F5">
        <v>2500000</v>
      </c>
      <c r="G5">
        <v>2484</v>
      </c>
      <c r="H5">
        <v>1</v>
      </c>
      <c r="I5">
        <v>1</v>
      </c>
      <c r="J5" s="12">
        <v>34000</v>
      </c>
      <c r="K5" s="12">
        <v>350000</v>
      </c>
      <c r="L5" s="12">
        <v>450000</v>
      </c>
      <c r="M5" s="21">
        <v>1200</v>
      </c>
      <c r="N5" s="21">
        <v>5000</v>
      </c>
      <c r="O5" s="12">
        <v>1700</v>
      </c>
      <c r="P5" s="12">
        <v>46000</v>
      </c>
      <c r="Q5" s="12">
        <v>12500</v>
      </c>
      <c r="R5" s="12">
        <v>25760</v>
      </c>
      <c r="S5" s="12">
        <v>46000</v>
      </c>
      <c r="T5" s="12">
        <v>550000</v>
      </c>
      <c r="U5" s="12">
        <v>9</v>
      </c>
      <c r="V5" s="12">
        <v>10000</v>
      </c>
      <c r="W5">
        <v>1</v>
      </c>
      <c r="X5">
        <v>1</v>
      </c>
      <c r="Y5" s="12">
        <v>320</v>
      </c>
      <c r="Z5" s="12">
        <v>20000</v>
      </c>
    </row>
    <row r="6" spans="1:26" x14ac:dyDescent="0.25">
      <c r="A6" s="14">
        <v>2028</v>
      </c>
      <c r="B6" s="12">
        <v>1800</v>
      </c>
      <c r="C6">
        <v>360</v>
      </c>
      <c r="D6">
        <v>1760</v>
      </c>
      <c r="E6" s="12">
        <v>4500</v>
      </c>
      <c r="F6">
        <v>2500000</v>
      </c>
      <c r="G6">
        <v>2484</v>
      </c>
      <c r="H6">
        <v>1</v>
      </c>
      <c r="I6">
        <v>1</v>
      </c>
      <c r="J6" s="12">
        <v>34000</v>
      </c>
      <c r="K6" s="12">
        <v>350000</v>
      </c>
      <c r="L6" s="12">
        <v>450000</v>
      </c>
      <c r="M6" s="21">
        <v>1200</v>
      </c>
      <c r="N6" s="21">
        <v>5000</v>
      </c>
      <c r="O6" s="12">
        <v>1700</v>
      </c>
      <c r="P6" s="12">
        <v>46000</v>
      </c>
      <c r="Q6" s="12">
        <v>12500</v>
      </c>
      <c r="R6" s="12">
        <v>25760</v>
      </c>
      <c r="S6" s="12">
        <v>46000</v>
      </c>
      <c r="T6" s="12">
        <v>550000</v>
      </c>
      <c r="U6" s="12">
        <v>9</v>
      </c>
      <c r="V6" s="12">
        <v>10000</v>
      </c>
      <c r="W6">
        <v>1</v>
      </c>
      <c r="X6">
        <v>1</v>
      </c>
      <c r="Y6" s="12">
        <v>320</v>
      </c>
      <c r="Z6" s="12">
        <v>20000</v>
      </c>
    </row>
    <row r="7" spans="1:26" x14ac:dyDescent="0.25">
      <c r="A7" s="14">
        <v>2029</v>
      </c>
      <c r="B7" s="12">
        <v>1800</v>
      </c>
      <c r="C7">
        <v>360</v>
      </c>
      <c r="D7">
        <v>1760</v>
      </c>
      <c r="E7" s="12">
        <v>4500</v>
      </c>
      <c r="F7">
        <v>2500000</v>
      </c>
      <c r="G7">
        <v>2484</v>
      </c>
      <c r="H7">
        <v>1</v>
      </c>
      <c r="I7">
        <v>1</v>
      </c>
      <c r="J7" s="12">
        <v>34000</v>
      </c>
      <c r="K7" s="12">
        <v>350000</v>
      </c>
      <c r="L7" s="12">
        <v>450000</v>
      </c>
      <c r="M7" s="21">
        <v>1200</v>
      </c>
      <c r="N7" s="21">
        <v>5000</v>
      </c>
      <c r="O7" s="12">
        <v>1700</v>
      </c>
      <c r="P7" s="12">
        <v>46000</v>
      </c>
      <c r="Q7" s="12">
        <v>12500</v>
      </c>
      <c r="R7" s="12">
        <v>25760</v>
      </c>
      <c r="S7" s="12">
        <v>46000</v>
      </c>
      <c r="T7" s="12">
        <v>550000</v>
      </c>
      <c r="U7" s="12">
        <v>9</v>
      </c>
      <c r="V7" s="12">
        <v>10000</v>
      </c>
      <c r="W7">
        <v>1</v>
      </c>
      <c r="X7">
        <v>1</v>
      </c>
      <c r="Y7" s="12">
        <v>320</v>
      </c>
      <c r="Z7" s="12">
        <v>20000</v>
      </c>
    </row>
    <row r="8" spans="1:26" x14ac:dyDescent="0.25">
      <c r="A8" s="14">
        <v>2030</v>
      </c>
      <c r="B8" s="12">
        <v>1800</v>
      </c>
      <c r="C8">
        <v>360</v>
      </c>
      <c r="D8">
        <v>1760</v>
      </c>
      <c r="E8" s="12">
        <v>4500</v>
      </c>
      <c r="F8">
        <v>2500000</v>
      </c>
      <c r="G8">
        <v>2484</v>
      </c>
      <c r="H8">
        <v>1</v>
      </c>
      <c r="I8">
        <v>1</v>
      </c>
      <c r="J8" s="12">
        <v>34000</v>
      </c>
      <c r="K8" s="12">
        <v>350000</v>
      </c>
      <c r="L8" s="12">
        <v>450000</v>
      </c>
      <c r="M8" s="21">
        <v>1200</v>
      </c>
      <c r="N8" s="21">
        <v>5000</v>
      </c>
      <c r="O8" s="12">
        <v>1700</v>
      </c>
      <c r="P8" s="12">
        <v>46000</v>
      </c>
      <c r="Q8" s="12">
        <v>12500</v>
      </c>
      <c r="R8" s="12">
        <v>25760</v>
      </c>
      <c r="S8" s="12">
        <v>46000</v>
      </c>
      <c r="T8" s="12">
        <v>550000</v>
      </c>
      <c r="U8" s="12">
        <v>9</v>
      </c>
      <c r="V8" s="12">
        <v>10000</v>
      </c>
      <c r="W8">
        <v>1</v>
      </c>
      <c r="X8">
        <v>1</v>
      </c>
      <c r="Y8" s="12">
        <v>320</v>
      </c>
      <c r="Z8" s="12">
        <v>20000</v>
      </c>
    </row>
    <row r="9" spans="1:26" x14ac:dyDescent="0.25">
      <c r="A9" s="14">
        <v>2031</v>
      </c>
      <c r="B9" s="12">
        <v>1800</v>
      </c>
      <c r="C9">
        <v>360</v>
      </c>
      <c r="D9">
        <v>1760</v>
      </c>
      <c r="E9" s="12">
        <v>4500</v>
      </c>
      <c r="F9">
        <v>2500000</v>
      </c>
      <c r="G9">
        <v>2484</v>
      </c>
      <c r="H9">
        <v>1</v>
      </c>
      <c r="I9">
        <v>1</v>
      </c>
      <c r="J9" s="12">
        <v>34000</v>
      </c>
      <c r="K9" s="12">
        <v>350000</v>
      </c>
      <c r="L9" s="12">
        <v>450000</v>
      </c>
      <c r="M9" s="21">
        <v>1200</v>
      </c>
      <c r="N9" s="21">
        <v>5000</v>
      </c>
      <c r="O9" s="12">
        <v>1700</v>
      </c>
      <c r="P9" s="12">
        <v>46000</v>
      </c>
      <c r="Q9" s="12">
        <v>12500</v>
      </c>
      <c r="R9" s="12">
        <v>25760</v>
      </c>
      <c r="S9" s="12">
        <v>46000</v>
      </c>
      <c r="T9" s="12">
        <v>550000</v>
      </c>
      <c r="U9" s="12">
        <v>9</v>
      </c>
      <c r="V9" s="12">
        <v>10000</v>
      </c>
      <c r="W9">
        <v>1</v>
      </c>
      <c r="X9">
        <v>1</v>
      </c>
      <c r="Y9" s="12">
        <v>320</v>
      </c>
      <c r="Z9" s="12">
        <v>20000</v>
      </c>
    </row>
    <row r="10" spans="1:26" x14ac:dyDescent="0.25">
      <c r="A10" s="14">
        <v>2032</v>
      </c>
      <c r="B10" s="12">
        <v>1800</v>
      </c>
      <c r="C10">
        <v>360</v>
      </c>
      <c r="D10">
        <v>1760</v>
      </c>
      <c r="E10" s="12">
        <v>4500</v>
      </c>
      <c r="F10">
        <v>2500000</v>
      </c>
      <c r="G10">
        <v>2484</v>
      </c>
      <c r="H10">
        <v>1</v>
      </c>
      <c r="I10">
        <v>1</v>
      </c>
      <c r="J10" s="12">
        <v>34000</v>
      </c>
      <c r="K10" s="12">
        <v>350000</v>
      </c>
      <c r="L10" s="12">
        <v>450000</v>
      </c>
      <c r="M10" s="21">
        <v>1200</v>
      </c>
      <c r="N10" s="21">
        <v>5000</v>
      </c>
      <c r="O10" s="12">
        <v>1700</v>
      </c>
      <c r="P10" s="12">
        <v>46000</v>
      </c>
      <c r="Q10" s="12">
        <v>12500</v>
      </c>
      <c r="R10" s="12">
        <v>25760</v>
      </c>
      <c r="S10" s="12">
        <v>46000</v>
      </c>
      <c r="T10" s="12">
        <v>550000</v>
      </c>
      <c r="U10" s="12">
        <v>9</v>
      </c>
      <c r="V10" s="12">
        <v>10000</v>
      </c>
      <c r="W10">
        <v>1</v>
      </c>
      <c r="X10">
        <v>1</v>
      </c>
      <c r="Y10" s="12">
        <v>320</v>
      </c>
      <c r="Z10" s="12">
        <v>20000</v>
      </c>
    </row>
    <row r="11" spans="1:26" x14ac:dyDescent="0.25">
      <c r="A11" s="14">
        <v>2033</v>
      </c>
      <c r="B11" s="12">
        <v>1800</v>
      </c>
      <c r="C11">
        <v>360</v>
      </c>
      <c r="D11">
        <v>1760</v>
      </c>
      <c r="E11" s="12">
        <v>4500</v>
      </c>
      <c r="F11">
        <v>2500000</v>
      </c>
      <c r="G11">
        <v>2484</v>
      </c>
      <c r="H11">
        <v>1</v>
      </c>
      <c r="I11">
        <v>1</v>
      </c>
      <c r="J11" s="12">
        <v>34000</v>
      </c>
      <c r="K11" s="12">
        <v>350000</v>
      </c>
      <c r="L11" s="12">
        <v>450000</v>
      </c>
      <c r="M11" s="21">
        <v>1200</v>
      </c>
      <c r="N11" s="21">
        <v>5000</v>
      </c>
      <c r="O11" s="12">
        <v>1700</v>
      </c>
      <c r="P11" s="12">
        <v>46000</v>
      </c>
      <c r="Q11" s="12">
        <v>12500</v>
      </c>
      <c r="R11" s="12">
        <v>25760</v>
      </c>
      <c r="S11" s="12">
        <v>46000</v>
      </c>
      <c r="T11" s="12">
        <v>550000</v>
      </c>
      <c r="U11" s="12">
        <v>9</v>
      </c>
      <c r="V11" s="12">
        <v>10000</v>
      </c>
      <c r="W11">
        <v>1</v>
      </c>
      <c r="X11">
        <v>1</v>
      </c>
      <c r="Y11" s="12">
        <v>320</v>
      </c>
      <c r="Z11" s="12">
        <v>20000</v>
      </c>
    </row>
    <row r="12" spans="1:26" x14ac:dyDescent="0.25">
      <c r="A12" s="14">
        <v>2034</v>
      </c>
      <c r="B12" s="12">
        <v>1800</v>
      </c>
      <c r="C12">
        <v>360</v>
      </c>
      <c r="D12">
        <v>1760</v>
      </c>
      <c r="E12" s="12">
        <v>4500</v>
      </c>
      <c r="F12">
        <v>2500000</v>
      </c>
      <c r="G12">
        <v>2484</v>
      </c>
      <c r="H12">
        <v>1</v>
      </c>
      <c r="I12">
        <v>1</v>
      </c>
      <c r="J12" s="12">
        <v>34000</v>
      </c>
      <c r="K12" s="12">
        <v>350000</v>
      </c>
      <c r="L12" s="12">
        <v>450000</v>
      </c>
      <c r="M12" s="21">
        <v>1200</v>
      </c>
      <c r="N12" s="21">
        <v>5000</v>
      </c>
      <c r="O12" s="12">
        <v>1700</v>
      </c>
      <c r="P12" s="12">
        <v>46000</v>
      </c>
      <c r="Q12" s="12">
        <v>12500</v>
      </c>
      <c r="R12" s="12">
        <v>25760</v>
      </c>
      <c r="S12" s="12">
        <v>46000</v>
      </c>
      <c r="T12" s="12">
        <v>550000</v>
      </c>
      <c r="U12" s="12">
        <v>9</v>
      </c>
      <c r="V12" s="12">
        <v>10000</v>
      </c>
      <c r="W12">
        <v>1</v>
      </c>
      <c r="X12">
        <v>1</v>
      </c>
      <c r="Y12" s="12">
        <v>320</v>
      </c>
      <c r="Z12" s="12">
        <v>20000</v>
      </c>
    </row>
    <row r="13" spans="1:26" x14ac:dyDescent="0.25">
      <c r="A13" s="14">
        <v>2035</v>
      </c>
      <c r="B13" s="12">
        <v>1800</v>
      </c>
      <c r="C13">
        <v>360</v>
      </c>
      <c r="D13">
        <v>1760</v>
      </c>
      <c r="E13" s="12">
        <v>4500</v>
      </c>
      <c r="F13">
        <v>2500000</v>
      </c>
      <c r="G13">
        <v>2484</v>
      </c>
      <c r="H13">
        <v>1</v>
      </c>
      <c r="I13">
        <v>1</v>
      </c>
      <c r="J13" s="12">
        <v>34000</v>
      </c>
      <c r="K13" s="12">
        <v>350000</v>
      </c>
      <c r="L13" s="12">
        <v>450000</v>
      </c>
      <c r="M13" s="21">
        <v>1200</v>
      </c>
      <c r="N13" s="21">
        <v>5000</v>
      </c>
      <c r="O13" s="12">
        <v>1700</v>
      </c>
      <c r="P13" s="12">
        <v>46000</v>
      </c>
      <c r="Q13" s="12">
        <v>12500</v>
      </c>
      <c r="R13" s="12">
        <v>25760</v>
      </c>
      <c r="S13" s="12">
        <v>46000</v>
      </c>
      <c r="T13" s="12">
        <v>550000</v>
      </c>
      <c r="U13" s="12">
        <v>9</v>
      </c>
      <c r="V13" s="12">
        <v>10000</v>
      </c>
      <c r="W13">
        <v>1</v>
      </c>
      <c r="X13">
        <v>1</v>
      </c>
      <c r="Y13" s="12">
        <v>320</v>
      </c>
      <c r="Z13" s="12">
        <v>20000</v>
      </c>
    </row>
    <row r="14" spans="1:26" x14ac:dyDescent="0.25">
      <c r="A14" s="14">
        <v>2036</v>
      </c>
      <c r="B14" s="12">
        <v>1800</v>
      </c>
      <c r="C14">
        <v>360</v>
      </c>
      <c r="D14">
        <v>1760</v>
      </c>
      <c r="E14" s="12">
        <v>4500</v>
      </c>
      <c r="F14">
        <v>2500000</v>
      </c>
      <c r="G14">
        <v>2484</v>
      </c>
      <c r="H14">
        <v>1</v>
      </c>
      <c r="I14">
        <v>1</v>
      </c>
      <c r="J14" s="12">
        <v>34000</v>
      </c>
      <c r="K14" s="12">
        <v>350000</v>
      </c>
      <c r="L14" s="12">
        <v>450000</v>
      </c>
      <c r="M14" s="21">
        <v>1200</v>
      </c>
      <c r="N14" s="21">
        <v>5000</v>
      </c>
      <c r="O14" s="12">
        <v>1700</v>
      </c>
      <c r="P14" s="12">
        <v>46000</v>
      </c>
      <c r="Q14" s="12">
        <v>12500</v>
      </c>
      <c r="R14" s="12">
        <v>25760</v>
      </c>
      <c r="S14" s="12">
        <v>46000</v>
      </c>
      <c r="T14" s="12">
        <v>550000</v>
      </c>
      <c r="U14" s="12">
        <v>9</v>
      </c>
      <c r="V14" s="12">
        <v>10000</v>
      </c>
      <c r="W14">
        <v>1</v>
      </c>
      <c r="X14">
        <v>1</v>
      </c>
      <c r="Y14" s="12">
        <v>320</v>
      </c>
      <c r="Z14" s="12">
        <v>20000</v>
      </c>
    </row>
    <row r="15" spans="1:26" x14ac:dyDescent="0.25">
      <c r="A15" s="14">
        <v>2037</v>
      </c>
      <c r="B15" s="12">
        <v>1800</v>
      </c>
      <c r="C15">
        <v>360</v>
      </c>
      <c r="D15">
        <v>1760</v>
      </c>
      <c r="E15" s="12">
        <v>4500</v>
      </c>
      <c r="F15">
        <v>2500000</v>
      </c>
      <c r="G15">
        <v>2484</v>
      </c>
      <c r="H15">
        <v>1</v>
      </c>
      <c r="I15">
        <v>1</v>
      </c>
      <c r="J15" s="12">
        <v>34000</v>
      </c>
      <c r="K15" s="12">
        <v>350000</v>
      </c>
      <c r="L15" s="12">
        <v>450000</v>
      </c>
      <c r="M15" s="21">
        <v>1200</v>
      </c>
      <c r="N15" s="21">
        <v>5000</v>
      </c>
      <c r="O15" s="12">
        <v>1700</v>
      </c>
      <c r="P15" s="12">
        <v>46000</v>
      </c>
      <c r="Q15" s="12">
        <v>12500</v>
      </c>
      <c r="R15" s="12">
        <v>25760</v>
      </c>
      <c r="S15" s="12">
        <v>46000</v>
      </c>
      <c r="T15" s="12">
        <v>550000</v>
      </c>
      <c r="U15" s="12">
        <v>9</v>
      </c>
      <c r="V15" s="12">
        <v>10000</v>
      </c>
      <c r="W15">
        <v>1</v>
      </c>
      <c r="X15">
        <v>1</v>
      </c>
      <c r="Y15" s="12">
        <v>320</v>
      </c>
      <c r="Z15" s="12">
        <v>20000</v>
      </c>
    </row>
    <row r="16" spans="1:26" x14ac:dyDescent="0.25">
      <c r="A16" s="14">
        <v>2038</v>
      </c>
      <c r="B16" s="12">
        <v>1800</v>
      </c>
      <c r="C16">
        <v>360</v>
      </c>
      <c r="D16">
        <v>1760</v>
      </c>
      <c r="E16" s="12">
        <v>4500</v>
      </c>
      <c r="F16">
        <v>2500000</v>
      </c>
      <c r="G16">
        <v>2484</v>
      </c>
      <c r="H16">
        <v>1</v>
      </c>
      <c r="I16">
        <v>1</v>
      </c>
      <c r="J16" s="12">
        <v>34000</v>
      </c>
      <c r="K16" s="12">
        <v>350000</v>
      </c>
      <c r="L16" s="12">
        <v>450000</v>
      </c>
      <c r="M16" s="21">
        <v>1200</v>
      </c>
      <c r="N16" s="21">
        <v>5000</v>
      </c>
      <c r="O16" s="12">
        <v>1700</v>
      </c>
      <c r="P16" s="12">
        <v>46000</v>
      </c>
      <c r="Q16" s="12">
        <v>12500</v>
      </c>
      <c r="R16" s="12">
        <v>25760</v>
      </c>
      <c r="S16" s="12">
        <v>46000</v>
      </c>
      <c r="T16" s="12">
        <v>550000</v>
      </c>
      <c r="U16" s="12">
        <v>9</v>
      </c>
      <c r="V16" s="12">
        <v>10000</v>
      </c>
      <c r="W16">
        <v>1</v>
      </c>
      <c r="X16">
        <v>1</v>
      </c>
      <c r="Y16" s="12">
        <v>320</v>
      </c>
      <c r="Z16" s="12">
        <v>20000</v>
      </c>
    </row>
    <row r="17" spans="1:26" x14ac:dyDescent="0.25">
      <c r="A17" s="14">
        <v>2039</v>
      </c>
      <c r="B17" s="12">
        <v>1800</v>
      </c>
      <c r="C17">
        <v>360</v>
      </c>
      <c r="D17">
        <v>1760</v>
      </c>
      <c r="E17" s="12">
        <v>4500</v>
      </c>
      <c r="F17">
        <v>2500000</v>
      </c>
      <c r="G17">
        <v>2484</v>
      </c>
      <c r="H17">
        <v>1</v>
      </c>
      <c r="I17">
        <v>1</v>
      </c>
      <c r="J17" s="12">
        <v>34000</v>
      </c>
      <c r="K17" s="12">
        <v>350000</v>
      </c>
      <c r="L17" s="12">
        <v>450000</v>
      </c>
      <c r="M17" s="21">
        <v>1200</v>
      </c>
      <c r="N17" s="21">
        <v>5000</v>
      </c>
      <c r="O17" s="12">
        <v>1700</v>
      </c>
      <c r="P17" s="12">
        <v>46000</v>
      </c>
      <c r="Q17" s="12">
        <v>12500</v>
      </c>
      <c r="R17" s="12">
        <v>25760</v>
      </c>
      <c r="S17" s="12">
        <v>46000</v>
      </c>
      <c r="T17" s="12">
        <v>550000</v>
      </c>
      <c r="U17" s="12">
        <v>9</v>
      </c>
      <c r="V17" s="12">
        <v>10000</v>
      </c>
      <c r="W17">
        <v>1</v>
      </c>
      <c r="X17">
        <v>1</v>
      </c>
      <c r="Y17" s="12">
        <v>320</v>
      </c>
      <c r="Z17" s="12">
        <v>20000</v>
      </c>
    </row>
    <row r="18" spans="1:26" x14ac:dyDescent="0.25">
      <c r="A18" s="14">
        <v>2040</v>
      </c>
      <c r="B18" s="12">
        <v>1800</v>
      </c>
      <c r="C18">
        <v>360</v>
      </c>
      <c r="D18">
        <v>1760</v>
      </c>
      <c r="E18" s="12">
        <v>4500</v>
      </c>
      <c r="F18">
        <v>2500000</v>
      </c>
      <c r="G18">
        <v>2484</v>
      </c>
      <c r="H18">
        <v>1</v>
      </c>
      <c r="I18">
        <v>1</v>
      </c>
      <c r="J18" s="12">
        <v>34000</v>
      </c>
      <c r="K18" s="12">
        <v>350000</v>
      </c>
      <c r="L18" s="12">
        <v>450000</v>
      </c>
      <c r="M18" s="21">
        <v>1200</v>
      </c>
      <c r="N18" s="21">
        <v>5000</v>
      </c>
      <c r="O18" s="12">
        <v>1700</v>
      </c>
      <c r="P18" s="12">
        <v>46000</v>
      </c>
      <c r="Q18" s="12">
        <v>12500</v>
      </c>
      <c r="R18" s="12">
        <v>25760</v>
      </c>
      <c r="S18" s="12">
        <v>46000</v>
      </c>
      <c r="T18" s="12">
        <v>550000</v>
      </c>
      <c r="U18" s="12">
        <v>9</v>
      </c>
      <c r="V18" s="12">
        <v>10000</v>
      </c>
      <c r="W18">
        <v>1</v>
      </c>
      <c r="X18">
        <v>1</v>
      </c>
      <c r="Y18" s="12">
        <v>320</v>
      </c>
      <c r="Z18" s="12">
        <v>20000</v>
      </c>
    </row>
    <row r="19" spans="1:26" x14ac:dyDescent="0.25">
      <c r="A19" s="14">
        <v>2041</v>
      </c>
      <c r="B19" s="12">
        <v>1800</v>
      </c>
      <c r="C19">
        <v>360</v>
      </c>
      <c r="D19">
        <v>1760</v>
      </c>
      <c r="E19" s="12">
        <v>4500</v>
      </c>
      <c r="F19">
        <v>2500000</v>
      </c>
      <c r="G19">
        <v>2484</v>
      </c>
      <c r="H19">
        <v>1</v>
      </c>
      <c r="I19">
        <v>1</v>
      </c>
      <c r="J19" s="12">
        <v>34000</v>
      </c>
      <c r="K19" s="12">
        <v>350000</v>
      </c>
      <c r="L19" s="12">
        <v>450000</v>
      </c>
      <c r="M19" s="21">
        <v>1200</v>
      </c>
      <c r="N19" s="21">
        <v>5000</v>
      </c>
      <c r="O19" s="12">
        <v>1700</v>
      </c>
      <c r="P19" s="12">
        <v>46000</v>
      </c>
      <c r="Q19" s="12">
        <v>12500</v>
      </c>
      <c r="R19" s="12">
        <v>25760</v>
      </c>
      <c r="S19" s="12">
        <v>46000</v>
      </c>
      <c r="T19" s="12">
        <v>550000</v>
      </c>
      <c r="U19" s="12">
        <v>9</v>
      </c>
      <c r="V19" s="12">
        <v>10000</v>
      </c>
      <c r="W19">
        <v>1</v>
      </c>
      <c r="X19">
        <v>1</v>
      </c>
      <c r="Y19" s="12">
        <v>320</v>
      </c>
      <c r="Z19" s="12">
        <v>20000</v>
      </c>
    </row>
    <row r="20" spans="1:26" x14ac:dyDescent="0.25">
      <c r="A20" s="14">
        <v>2042</v>
      </c>
      <c r="B20" s="12">
        <v>1800</v>
      </c>
      <c r="C20">
        <v>360</v>
      </c>
      <c r="D20">
        <v>1760</v>
      </c>
      <c r="E20" s="12">
        <v>4500</v>
      </c>
      <c r="F20">
        <v>2500000</v>
      </c>
      <c r="G20">
        <v>2484</v>
      </c>
      <c r="H20">
        <v>1</v>
      </c>
      <c r="I20">
        <v>1</v>
      </c>
      <c r="J20" s="12">
        <v>34000</v>
      </c>
      <c r="K20" s="12">
        <v>350000</v>
      </c>
      <c r="L20" s="12">
        <v>450000</v>
      </c>
      <c r="M20" s="21">
        <v>1200</v>
      </c>
      <c r="N20" s="21">
        <v>5000</v>
      </c>
      <c r="O20" s="12">
        <v>1700</v>
      </c>
      <c r="P20" s="12">
        <v>46000</v>
      </c>
      <c r="Q20" s="12">
        <v>12500</v>
      </c>
      <c r="R20" s="12">
        <v>25760</v>
      </c>
      <c r="S20" s="12">
        <v>46000</v>
      </c>
      <c r="T20" s="12">
        <v>550000</v>
      </c>
      <c r="U20" s="12">
        <v>9</v>
      </c>
      <c r="V20" s="12">
        <v>10000</v>
      </c>
      <c r="W20">
        <v>1</v>
      </c>
      <c r="X20">
        <v>1</v>
      </c>
      <c r="Y20" s="12">
        <v>320</v>
      </c>
      <c r="Z20" s="12">
        <v>20000</v>
      </c>
    </row>
    <row r="21" spans="1:26" x14ac:dyDescent="0.25">
      <c r="A21" s="14">
        <v>2043</v>
      </c>
      <c r="B21" s="12">
        <v>1800</v>
      </c>
      <c r="C21">
        <v>360</v>
      </c>
      <c r="D21">
        <v>1760</v>
      </c>
      <c r="E21" s="12">
        <v>4500</v>
      </c>
      <c r="F21">
        <v>2500000</v>
      </c>
      <c r="G21">
        <v>2484</v>
      </c>
      <c r="H21">
        <v>1</v>
      </c>
      <c r="I21">
        <v>1</v>
      </c>
      <c r="J21" s="12">
        <v>34000</v>
      </c>
      <c r="K21" s="12">
        <v>350000</v>
      </c>
      <c r="L21" s="12">
        <v>450000</v>
      </c>
      <c r="M21" s="21">
        <v>1200</v>
      </c>
      <c r="N21" s="21">
        <v>5000</v>
      </c>
      <c r="O21" s="12">
        <v>1700</v>
      </c>
      <c r="P21" s="12">
        <v>46000</v>
      </c>
      <c r="Q21" s="12">
        <v>12500</v>
      </c>
      <c r="R21" s="12">
        <v>25760</v>
      </c>
      <c r="S21" s="12">
        <v>46000</v>
      </c>
      <c r="T21" s="12">
        <v>550000</v>
      </c>
      <c r="U21" s="12">
        <v>9</v>
      </c>
      <c r="V21" s="12">
        <v>10000</v>
      </c>
      <c r="W21">
        <v>1</v>
      </c>
      <c r="X21">
        <v>1</v>
      </c>
      <c r="Y21" s="12">
        <v>320</v>
      </c>
      <c r="Z21" s="12">
        <v>20000</v>
      </c>
    </row>
    <row r="22" spans="1:26" x14ac:dyDescent="0.25">
      <c r="A22" s="14">
        <v>2044</v>
      </c>
      <c r="B22" s="12">
        <v>1800</v>
      </c>
      <c r="C22">
        <v>360</v>
      </c>
      <c r="D22">
        <v>1760</v>
      </c>
      <c r="E22" s="12">
        <v>4500</v>
      </c>
      <c r="F22">
        <v>2500000</v>
      </c>
      <c r="G22">
        <v>2484</v>
      </c>
      <c r="H22">
        <v>1</v>
      </c>
      <c r="I22">
        <v>1</v>
      </c>
      <c r="J22" s="12">
        <v>34000</v>
      </c>
      <c r="K22" s="12">
        <v>350000</v>
      </c>
      <c r="L22" s="12">
        <v>450000</v>
      </c>
      <c r="M22" s="21">
        <v>1200</v>
      </c>
      <c r="N22" s="21">
        <v>5000</v>
      </c>
      <c r="O22" s="12">
        <v>1700</v>
      </c>
      <c r="P22" s="12">
        <v>46000</v>
      </c>
      <c r="Q22" s="12">
        <v>12500</v>
      </c>
      <c r="R22" s="12">
        <v>25760</v>
      </c>
      <c r="S22" s="12">
        <v>46000</v>
      </c>
      <c r="T22" s="12">
        <v>550000</v>
      </c>
      <c r="U22" s="12">
        <v>9</v>
      </c>
      <c r="V22" s="12">
        <v>10000</v>
      </c>
      <c r="W22">
        <v>1</v>
      </c>
      <c r="X22">
        <v>1</v>
      </c>
      <c r="Y22" s="12">
        <v>320</v>
      </c>
      <c r="Z22" s="12">
        <v>20000</v>
      </c>
    </row>
    <row r="23" spans="1:26" x14ac:dyDescent="0.25">
      <c r="A23" s="14">
        <v>2045</v>
      </c>
      <c r="B23" s="12">
        <v>1800</v>
      </c>
      <c r="C23">
        <v>360</v>
      </c>
      <c r="D23">
        <v>1760</v>
      </c>
      <c r="E23" s="12">
        <v>4500</v>
      </c>
      <c r="F23">
        <v>2500000</v>
      </c>
      <c r="G23">
        <v>2484</v>
      </c>
      <c r="H23">
        <v>1</v>
      </c>
      <c r="I23">
        <v>1</v>
      </c>
      <c r="J23" s="12">
        <v>34000</v>
      </c>
      <c r="K23" s="12">
        <v>350000</v>
      </c>
      <c r="L23" s="12">
        <v>450000</v>
      </c>
      <c r="M23" s="21">
        <v>1200</v>
      </c>
      <c r="N23" s="21">
        <v>5000</v>
      </c>
      <c r="O23" s="12">
        <v>1700</v>
      </c>
      <c r="P23" s="12">
        <v>46000</v>
      </c>
      <c r="Q23" s="12">
        <v>12500</v>
      </c>
      <c r="R23" s="12">
        <v>25760</v>
      </c>
      <c r="S23" s="12">
        <v>46000</v>
      </c>
      <c r="T23" s="12">
        <v>550000</v>
      </c>
      <c r="U23" s="12">
        <v>9</v>
      </c>
      <c r="V23" s="12">
        <v>10000</v>
      </c>
      <c r="W23">
        <v>1</v>
      </c>
      <c r="X23">
        <v>1</v>
      </c>
      <c r="Y23" s="12">
        <v>320</v>
      </c>
      <c r="Z23" s="12">
        <v>20000</v>
      </c>
    </row>
    <row r="24" spans="1:26" x14ac:dyDescent="0.25">
      <c r="A24" s="14">
        <v>2046</v>
      </c>
      <c r="B24" s="12">
        <v>1800</v>
      </c>
      <c r="C24">
        <v>360</v>
      </c>
      <c r="D24">
        <v>1760</v>
      </c>
      <c r="E24" s="12">
        <v>4500</v>
      </c>
      <c r="F24">
        <v>2500000</v>
      </c>
      <c r="G24">
        <v>2484</v>
      </c>
      <c r="H24">
        <v>1</v>
      </c>
      <c r="I24">
        <v>1</v>
      </c>
      <c r="J24" s="12">
        <v>34000</v>
      </c>
      <c r="K24" s="12">
        <v>350000</v>
      </c>
      <c r="L24" s="12">
        <v>450000</v>
      </c>
      <c r="M24" s="21">
        <v>1200</v>
      </c>
      <c r="N24" s="21">
        <v>5000</v>
      </c>
      <c r="O24" s="12">
        <v>1700</v>
      </c>
      <c r="P24" s="12">
        <v>46000</v>
      </c>
      <c r="Q24" s="12">
        <v>12500</v>
      </c>
      <c r="R24" s="12">
        <v>25760</v>
      </c>
      <c r="S24" s="12">
        <v>46000</v>
      </c>
      <c r="T24" s="12">
        <v>550000</v>
      </c>
      <c r="U24" s="12">
        <v>9</v>
      </c>
      <c r="V24" s="12">
        <v>10000</v>
      </c>
      <c r="W24">
        <v>1</v>
      </c>
      <c r="X24">
        <v>1</v>
      </c>
      <c r="Y24" s="12">
        <v>320</v>
      </c>
      <c r="Z24" s="12">
        <v>20000</v>
      </c>
    </row>
    <row r="25" spans="1:26" x14ac:dyDescent="0.25">
      <c r="A25" s="14">
        <v>2047</v>
      </c>
      <c r="B25" s="12">
        <v>1800</v>
      </c>
      <c r="C25">
        <v>360</v>
      </c>
      <c r="D25">
        <v>1760</v>
      </c>
      <c r="E25" s="12">
        <v>4500</v>
      </c>
      <c r="F25">
        <v>2500000</v>
      </c>
      <c r="G25">
        <v>2484</v>
      </c>
      <c r="H25">
        <v>1</v>
      </c>
      <c r="I25">
        <v>1</v>
      </c>
      <c r="J25" s="12">
        <v>34000</v>
      </c>
      <c r="K25" s="12">
        <v>350000</v>
      </c>
      <c r="L25" s="12">
        <v>450000</v>
      </c>
      <c r="M25" s="21">
        <v>1200</v>
      </c>
      <c r="N25" s="21">
        <v>5000</v>
      </c>
      <c r="O25" s="12">
        <v>1700</v>
      </c>
      <c r="P25" s="12">
        <v>46000</v>
      </c>
      <c r="Q25" s="12">
        <v>12500</v>
      </c>
      <c r="R25" s="12">
        <v>25760</v>
      </c>
      <c r="S25" s="12">
        <v>46000</v>
      </c>
      <c r="T25" s="12">
        <v>550000</v>
      </c>
      <c r="U25" s="12">
        <v>9</v>
      </c>
      <c r="V25" s="12">
        <v>10000</v>
      </c>
      <c r="W25">
        <v>1</v>
      </c>
      <c r="X25">
        <v>1</v>
      </c>
      <c r="Y25" s="12">
        <v>320</v>
      </c>
      <c r="Z25" s="12">
        <v>20000</v>
      </c>
    </row>
    <row r="26" spans="1:26" x14ac:dyDescent="0.25">
      <c r="A26" s="14">
        <v>2048</v>
      </c>
      <c r="B26" s="12">
        <v>1800</v>
      </c>
      <c r="C26">
        <v>360</v>
      </c>
      <c r="D26">
        <v>1760</v>
      </c>
      <c r="E26" s="12">
        <v>4500</v>
      </c>
      <c r="F26">
        <v>2500000</v>
      </c>
      <c r="G26">
        <v>2484</v>
      </c>
      <c r="H26">
        <v>1</v>
      </c>
      <c r="I26">
        <v>1</v>
      </c>
      <c r="J26" s="12">
        <v>34000</v>
      </c>
      <c r="K26" s="12">
        <v>350000</v>
      </c>
      <c r="L26" s="12">
        <v>450000</v>
      </c>
      <c r="M26" s="21">
        <v>1200</v>
      </c>
      <c r="N26" s="21">
        <v>5000</v>
      </c>
      <c r="O26" s="12">
        <v>1700</v>
      </c>
      <c r="P26" s="12">
        <v>46000</v>
      </c>
      <c r="Q26" s="12">
        <v>12500</v>
      </c>
      <c r="R26" s="12">
        <v>25760</v>
      </c>
      <c r="S26" s="12">
        <v>46000</v>
      </c>
      <c r="T26" s="12">
        <v>550000</v>
      </c>
      <c r="U26" s="12">
        <v>9</v>
      </c>
      <c r="V26" s="12">
        <v>10000</v>
      </c>
      <c r="W26">
        <v>1</v>
      </c>
      <c r="X26">
        <v>1</v>
      </c>
      <c r="Y26" s="12">
        <v>320</v>
      </c>
      <c r="Z26" s="12">
        <v>20000</v>
      </c>
    </row>
    <row r="27" spans="1:26" x14ac:dyDescent="0.25">
      <c r="A27" s="14">
        <v>2049</v>
      </c>
      <c r="B27" s="12">
        <v>1800</v>
      </c>
      <c r="C27">
        <v>360</v>
      </c>
      <c r="D27">
        <v>1760</v>
      </c>
      <c r="E27" s="12">
        <v>4500</v>
      </c>
      <c r="F27">
        <v>2500000</v>
      </c>
      <c r="G27">
        <v>2484</v>
      </c>
      <c r="H27">
        <v>1</v>
      </c>
      <c r="I27">
        <v>1</v>
      </c>
      <c r="J27" s="12">
        <v>34000</v>
      </c>
      <c r="K27" s="12">
        <v>350000</v>
      </c>
      <c r="L27" s="12">
        <v>450000</v>
      </c>
      <c r="M27" s="21">
        <v>1200</v>
      </c>
      <c r="N27" s="21">
        <v>5000</v>
      </c>
      <c r="O27" s="12">
        <v>1700</v>
      </c>
      <c r="P27" s="12">
        <v>46000</v>
      </c>
      <c r="Q27" s="12">
        <v>12500</v>
      </c>
      <c r="R27" s="12">
        <v>25760</v>
      </c>
      <c r="S27" s="12">
        <v>46000</v>
      </c>
      <c r="T27" s="12">
        <v>550000</v>
      </c>
      <c r="U27" s="12">
        <v>9</v>
      </c>
      <c r="V27" s="12">
        <v>10000</v>
      </c>
      <c r="W27">
        <v>1</v>
      </c>
      <c r="X27">
        <v>1</v>
      </c>
      <c r="Y27" s="12">
        <v>320</v>
      </c>
      <c r="Z27" s="12">
        <v>20000</v>
      </c>
    </row>
    <row r="28" spans="1:26" x14ac:dyDescent="0.25">
      <c r="A28" s="14">
        <v>2050</v>
      </c>
      <c r="B28" s="12">
        <v>1800</v>
      </c>
      <c r="C28">
        <v>360</v>
      </c>
      <c r="D28">
        <v>1760</v>
      </c>
      <c r="E28" s="12">
        <v>4500</v>
      </c>
      <c r="F28">
        <v>2500000</v>
      </c>
      <c r="G28">
        <v>2484</v>
      </c>
      <c r="H28">
        <v>1</v>
      </c>
      <c r="I28">
        <v>1</v>
      </c>
      <c r="J28" s="12">
        <v>34000</v>
      </c>
      <c r="K28" s="12">
        <v>350000</v>
      </c>
      <c r="L28" s="12">
        <v>450000</v>
      </c>
      <c r="M28" s="21">
        <v>1200</v>
      </c>
      <c r="N28" s="21">
        <v>5000</v>
      </c>
      <c r="O28" s="12">
        <v>1700</v>
      </c>
      <c r="P28" s="12">
        <v>46000</v>
      </c>
      <c r="Q28" s="12">
        <v>12500</v>
      </c>
      <c r="R28" s="12">
        <v>25760</v>
      </c>
      <c r="S28" s="12">
        <v>46000</v>
      </c>
      <c r="T28" s="12">
        <v>550000</v>
      </c>
      <c r="U28" s="12">
        <v>9</v>
      </c>
      <c r="V28" s="12">
        <v>10000</v>
      </c>
      <c r="W28">
        <v>1</v>
      </c>
      <c r="X28">
        <v>1</v>
      </c>
      <c r="Y28" s="12">
        <v>320</v>
      </c>
      <c r="Z28" s="12">
        <v>20000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6978-BEE9-428F-A843-1F40BF462E1E}">
  <dimension ref="A1:Z28"/>
  <sheetViews>
    <sheetView workbookViewId="0">
      <selection activeCell="D43" sqref="D43"/>
    </sheetView>
  </sheetViews>
  <sheetFormatPr baseColWidth="10" defaultRowHeight="15" x14ac:dyDescent="0.25"/>
  <sheetData>
    <row r="1" spans="1:26" x14ac:dyDescent="0.25">
      <c r="A1" t="s">
        <v>15</v>
      </c>
      <c r="B1" t="s">
        <v>136</v>
      </c>
      <c r="C1" t="s">
        <v>173</v>
      </c>
      <c r="D1" t="s">
        <v>174</v>
      </c>
      <c r="E1" t="s">
        <v>156</v>
      </c>
      <c r="F1" t="s">
        <v>175</v>
      </c>
      <c r="G1" t="s">
        <v>176</v>
      </c>
      <c r="H1" t="s">
        <v>153</v>
      </c>
      <c r="I1" t="s">
        <v>154</v>
      </c>
      <c r="J1" t="s">
        <v>155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171</v>
      </c>
      <c r="Z1" t="s">
        <v>172</v>
      </c>
    </row>
    <row r="2" spans="1:26" x14ac:dyDescent="0.25">
      <c r="A2" s="14">
        <v>2024</v>
      </c>
      <c r="B2">
        <v>3.1422977119900275E-2</v>
      </c>
      <c r="C2">
        <v>1</v>
      </c>
      <c r="D2">
        <v>1</v>
      </c>
      <c r="E2">
        <v>3.5137850036208979E-2</v>
      </c>
      <c r="F2">
        <v>3.8659213057142858E-2</v>
      </c>
      <c r="G2">
        <v>0.14503283901238367</v>
      </c>
      <c r="H2">
        <v>1</v>
      </c>
      <c r="I2">
        <v>1</v>
      </c>
      <c r="J2">
        <v>8.7983756844890182E-3</v>
      </c>
      <c r="K2">
        <v>1</v>
      </c>
      <c r="L2">
        <v>1</v>
      </c>
      <c r="M2">
        <v>4.2719999999999998E-3</v>
      </c>
      <c r="N2">
        <v>7.9640718562874246E-2</v>
      </c>
      <c r="O2">
        <v>1.0031552557202004E-2</v>
      </c>
      <c r="P2">
        <v>1</v>
      </c>
      <c r="Q2">
        <v>1.2865132125632679E-2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25">
      <c r="A3" s="14">
        <v>2025</v>
      </c>
      <c r="B3">
        <v>3.1422977119900275E-2</v>
      </c>
      <c r="C3">
        <v>1</v>
      </c>
      <c r="D3">
        <v>1</v>
      </c>
      <c r="E3">
        <v>3.5137850036208979E-2</v>
      </c>
      <c r="F3">
        <v>3.8659213057142858E-2</v>
      </c>
      <c r="G3">
        <v>0.14503283901238367</v>
      </c>
      <c r="H3">
        <v>1</v>
      </c>
      <c r="I3">
        <v>1</v>
      </c>
      <c r="J3">
        <v>8.7983756844890182E-3</v>
      </c>
      <c r="K3">
        <v>1</v>
      </c>
      <c r="L3">
        <v>1</v>
      </c>
      <c r="M3">
        <v>4.2719999999999998E-3</v>
      </c>
      <c r="N3">
        <v>7.9640718562874246E-2</v>
      </c>
      <c r="O3">
        <v>1.0031552557202004E-2</v>
      </c>
      <c r="P3">
        <v>1</v>
      </c>
      <c r="Q3">
        <v>1.2865132125632679E-2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25">
      <c r="A4" s="14">
        <v>2026</v>
      </c>
      <c r="B4">
        <v>3.1422977119900275E-2</v>
      </c>
      <c r="C4">
        <v>1</v>
      </c>
      <c r="D4">
        <v>1</v>
      </c>
      <c r="E4">
        <v>3.5137850036208979E-2</v>
      </c>
      <c r="F4">
        <v>3.8659213057142858E-2</v>
      </c>
      <c r="G4">
        <v>0.14503283901238367</v>
      </c>
      <c r="H4">
        <v>1</v>
      </c>
      <c r="I4">
        <v>1</v>
      </c>
      <c r="J4">
        <v>8.7983756844890182E-3</v>
      </c>
      <c r="K4">
        <v>1</v>
      </c>
      <c r="L4">
        <v>1</v>
      </c>
      <c r="M4">
        <v>4.2719999999999998E-3</v>
      </c>
      <c r="N4">
        <v>7.9640718562874246E-2</v>
      </c>
      <c r="O4">
        <v>1.0031552557202004E-2</v>
      </c>
      <c r="P4">
        <v>1</v>
      </c>
      <c r="Q4">
        <v>1.2865132125632679E-2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</row>
    <row r="5" spans="1:26" x14ac:dyDescent="0.25">
      <c r="A5" s="14">
        <v>2027</v>
      </c>
      <c r="B5">
        <v>3.1422977119900275E-2</v>
      </c>
      <c r="C5">
        <v>1</v>
      </c>
      <c r="D5">
        <v>1</v>
      </c>
      <c r="E5">
        <v>3.5137850036208979E-2</v>
      </c>
      <c r="F5">
        <v>3.8659213057142858E-2</v>
      </c>
      <c r="G5">
        <v>0.14503283901238367</v>
      </c>
      <c r="H5">
        <v>1</v>
      </c>
      <c r="I5">
        <v>1</v>
      </c>
      <c r="J5">
        <v>8.7983756844890182E-3</v>
      </c>
      <c r="K5">
        <v>1</v>
      </c>
      <c r="L5">
        <v>1</v>
      </c>
      <c r="M5">
        <v>4.2719999999999998E-3</v>
      </c>
      <c r="N5">
        <v>7.9640718562874246E-2</v>
      </c>
      <c r="O5">
        <v>1.0031552557202004E-2</v>
      </c>
      <c r="P5">
        <v>1</v>
      </c>
      <c r="Q5">
        <v>1.2865132125632679E-2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</row>
    <row r="6" spans="1:26" x14ac:dyDescent="0.25">
      <c r="A6" s="14">
        <v>2028</v>
      </c>
      <c r="B6">
        <v>3.1422977119900275E-2</v>
      </c>
      <c r="C6">
        <v>1</v>
      </c>
      <c r="D6">
        <v>1</v>
      </c>
      <c r="E6">
        <v>3.5137850036208979E-2</v>
      </c>
      <c r="F6">
        <v>3.8659213057142858E-2</v>
      </c>
      <c r="G6">
        <v>0.14503283901238367</v>
      </c>
      <c r="H6">
        <v>1</v>
      </c>
      <c r="I6">
        <v>1</v>
      </c>
      <c r="J6">
        <v>8.7983756844890182E-3</v>
      </c>
      <c r="K6">
        <v>1</v>
      </c>
      <c r="L6">
        <v>1</v>
      </c>
      <c r="M6">
        <v>4.2719999999999998E-3</v>
      </c>
      <c r="N6">
        <v>7.9640718562874246E-2</v>
      </c>
      <c r="O6">
        <v>1.0031552557202004E-2</v>
      </c>
      <c r="P6">
        <v>1</v>
      </c>
      <c r="Q6">
        <v>1.2865132125632679E-2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</row>
    <row r="7" spans="1:26" x14ac:dyDescent="0.25">
      <c r="A7" s="14">
        <v>2029</v>
      </c>
      <c r="B7">
        <v>3.1422977119900275E-2</v>
      </c>
      <c r="C7">
        <v>1</v>
      </c>
      <c r="D7">
        <v>1</v>
      </c>
      <c r="E7">
        <v>3.5137850036208979E-2</v>
      </c>
      <c r="F7">
        <v>3.8659213057142858E-2</v>
      </c>
      <c r="G7">
        <v>0.14503283901238367</v>
      </c>
      <c r="H7">
        <v>1</v>
      </c>
      <c r="I7">
        <v>1</v>
      </c>
      <c r="J7">
        <v>8.7983756844890182E-3</v>
      </c>
      <c r="K7">
        <v>1</v>
      </c>
      <c r="L7">
        <v>1</v>
      </c>
      <c r="M7">
        <v>4.2719999999999998E-3</v>
      </c>
      <c r="N7">
        <v>7.9640718562874246E-2</v>
      </c>
      <c r="O7">
        <v>1.0031552557202004E-2</v>
      </c>
      <c r="P7">
        <v>1</v>
      </c>
      <c r="Q7">
        <v>1.2865132125632679E-2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</row>
    <row r="8" spans="1:26" x14ac:dyDescent="0.25">
      <c r="A8" s="14">
        <v>2030</v>
      </c>
      <c r="B8">
        <v>3.1422977119900275E-2</v>
      </c>
      <c r="C8">
        <v>1</v>
      </c>
      <c r="D8">
        <v>1</v>
      </c>
      <c r="E8">
        <v>3.5137850036208979E-2</v>
      </c>
      <c r="F8">
        <v>3.8659213057142858E-2</v>
      </c>
      <c r="G8">
        <v>0.14503283901238367</v>
      </c>
      <c r="H8">
        <v>1</v>
      </c>
      <c r="I8">
        <v>1</v>
      </c>
      <c r="J8">
        <v>8.7983756844890182E-3</v>
      </c>
      <c r="K8">
        <v>1</v>
      </c>
      <c r="L8">
        <v>1</v>
      </c>
      <c r="M8">
        <v>4.2719999999999998E-3</v>
      </c>
      <c r="N8">
        <v>7.9640718562874246E-2</v>
      </c>
      <c r="O8">
        <v>1.0031552557202004E-2</v>
      </c>
      <c r="P8">
        <v>1</v>
      </c>
      <c r="Q8">
        <v>1.2865132125632679E-2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</row>
    <row r="9" spans="1:26" x14ac:dyDescent="0.25">
      <c r="A9" s="14">
        <v>2031</v>
      </c>
      <c r="B9">
        <v>3.1422977119900275E-2</v>
      </c>
      <c r="C9">
        <v>1</v>
      </c>
      <c r="D9">
        <v>1</v>
      </c>
      <c r="E9">
        <v>3.5137850036208979E-2</v>
      </c>
      <c r="F9">
        <v>3.8659213057142858E-2</v>
      </c>
      <c r="G9">
        <v>0.14503283901238367</v>
      </c>
      <c r="H9">
        <v>1</v>
      </c>
      <c r="I9">
        <v>1</v>
      </c>
      <c r="J9">
        <v>8.7983756844890182E-3</v>
      </c>
      <c r="K9">
        <v>1</v>
      </c>
      <c r="L9">
        <v>1</v>
      </c>
      <c r="M9">
        <v>4.2719999999999998E-3</v>
      </c>
      <c r="N9">
        <v>7.9640718562874246E-2</v>
      </c>
      <c r="O9">
        <v>1.0031552557202004E-2</v>
      </c>
      <c r="P9">
        <v>1</v>
      </c>
      <c r="Q9">
        <v>1.2865132125632679E-2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</row>
    <row r="10" spans="1:26" x14ac:dyDescent="0.25">
      <c r="A10" s="14">
        <v>2032</v>
      </c>
      <c r="B10">
        <v>3.1422977119900275E-2</v>
      </c>
      <c r="C10">
        <v>1</v>
      </c>
      <c r="D10">
        <v>1</v>
      </c>
      <c r="E10">
        <v>3.5137850036208979E-2</v>
      </c>
      <c r="F10">
        <v>3.8659213057142858E-2</v>
      </c>
      <c r="G10">
        <v>0.14503283901238367</v>
      </c>
      <c r="H10">
        <v>1</v>
      </c>
      <c r="I10">
        <v>1</v>
      </c>
      <c r="J10">
        <v>8.7983756844890182E-3</v>
      </c>
      <c r="K10">
        <v>1</v>
      </c>
      <c r="L10">
        <v>1</v>
      </c>
      <c r="M10">
        <v>4.2719999999999998E-3</v>
      </c>
      <c r="N10">
        <v>7.9640718562874246E-2</v>
      </c>
      <c r="O10">
        <v>1.0031552557202004E-2</v>
      </c>
      <c r="P10">
        <v>1</v>
      </c>
      <c r="Q10">
        <v>1.2865132125632679E-2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</row>
    <row r="11" spans="1:26" x14ac:dyDescent="0.25">
      <c r="A11" s="14">
        <v>2033</v>
      </c>
      <c r="B11">
        <v>3.1422977119900275E-2</v>
      </c>
      <c r="C11">
        <v>1</v>
      </c>
      <c r="D11">
        <v>1</v>
      </c>
      <c r="E11">
        <v>3.5137850036208979E-2</v>
      </c>
      <c r="F11">
        <v>3.8659213057142858E-2</v>
      </c>
      <c r="G11">
        <v>0.14503283901238367</v>
      </c>
      <c r="H11">
        <v>1</v>
      </c>
      <c r="I11">
        <v>1</v>
      </c>
      <c r="J11">
        <v>8.7983756844890182E-3</v>
      </c>
      <c r="K11">
        <v>1</v>
      </c>
      <c r="L11">
        <v>1</v>
      </c>
      <c r="M11">
        <v>4.2719999999999998E-3</v>
      </c>
      <c r="N11">
        <v>7.9640718562874246E-2</v>
      </c>
      <c r="O11">
        <v>1.0031552557202004E-2</v>
      </c>
      <c r="P11">
        <v>1</v>
      </c>
      <c r="Q11">
        <v>1.2865132125632679E-2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</row>
    <row r="12" spans="1:26" x14ac:dyDescent="0.25">
      <c r="A12" s="14">
        <v>2034</v>
      </c>
      <c r="B12">
        <v>3.1422977119900275E-2</v>
      </c>
      <c r="C12">
        <v>1</v>
      </c>
      <c r="D12">
        <v>1</v>
      </c>
      <c r="E12">
        <v>3.5137850036208979E-2</v>
      </c>
      <c r="F12">
        <v>3.8659213057142858E-2</v>
      </c>
      <c r="G12">
        <v>0.14503283901238367</v>
      </c>
      <c r="H12">
        <v>1</v>
      </c>
      <c r="I12">
        <v>1</v>
      </c>
      <c r="J12">
        <v>8.7983756844890182E-3</v>
      </c>
      <c r="K12">
        <v>1</v>
      </c>
      <c r="L12">
        <v>1</v>
      </c>
      <c r="M12">
        <v>4.2719999999999998E-3</v>
      </c>
      <c r="N12">
        <v>7.9640718562874246E-2</v>
      </c>
      <c r="O12">
        <v>1.0031552557202004E-2</v>
      </c>
      <c r="P12">
        <v>1</v>
      </c>
      <c r="Q12">
        <v>1.2865132125632679E-2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 x14ac:dyDescent="0.25">
      <c r="A13" s="14">
        <v>2035</v>
      </c>
      <c r="B13">
        <v>3.1422977119900275E-2</v>
      </c>
      <c r="C13">
        <v>1</v>
      </c>
      <c r="D13">
        <v>1</v>
      </c>
      <c r="E13">
        <v>3.5137850036208979E-2</v>
      </c>
      <c r="F13">
        <v>3.8659213057142858E-2</v>
      </c>
      <c r="G13">
        <v>0.14503283901238367</v>
      </c>
      <c r="H13">
        <v>1</v>
      </c>
      <c r="I13">
        <v>1</v>
      </c>
      <c r="J13">
        <v>8.7983756844890182E-3</v>
      </c>
      <c r="K13">
        <v>1</v>
      </c>
      <c r="L13">
        <v>1</v>
      </c>
      <c r="M13">
        <v>4.2719999999999998E-3</v>
      </c>
      <c r="N13">
        <v>7.9640718562874246E-2</v>
      </c>
      <c r="O13">
        <v>1.0031552557202004E-2</v>
      </c>
      <c r="P13">
        <v>1</v>
      </c>
      <c r="Q13">
        <v>1.2865132125632679E-2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</row>
    <row r="14" spans="1:26" x14ac:dyDescent="0.25">
      <c r="A14" s="14">
        <v>2036</v>
      </c>
      <c r="B14">
        <v>3.1422977119900275E-2</v>
      </c>
      <c r="C14">
        <v>1</v>
      </c>
      <c r="D14">
        <v>1</v>
      </c>
      <c r="E14">
        <v>3.5137850036208979E-2</v>
      </c>
      <c r="F14">
        <v>3.8659213057142858E-2</v>
      </c>
      <c r="G14">
        <v>0.14503283901238367</v>
      </c>
      <c r="H14">
        <v>1</v>
      </c>
      <c r="I14">
        <v>1</v>
      </c>
      <c r="J14">
        <v>8.7983756844890182E-3</v>
      </c>
      <c r="K14">
        <v>1</v>
      </c>
      <c r="L14">
        <v>1</v>
      </c>
      <c r="M14">
        <v>4.2719999999999998E-3</v>
      </c>
      <c r="N14">
        <v>7.9640718562874246E-2</v>
      </c>
      <c r="O14">
        <v>1.0031552557202004E-2</v>
      </c>
      <c r="P14">
        <v>1</v>
      </c>
      <c r="Q14">
        <v>1.2865132125632679E-2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 x14ac:dyDescent="0.25">
      <c r="A15" s="14">
        <v>2037</v>
      </c>
      <c r="B15">
        <v>3.1422977119900275E-2</v>
      </c>
      <c r="C15">
        <v>1</v>
      </c>
      <c r="D15">
        <v>1</v>
      </c>
      <c r="E15">
        <v>3.5137850036208979E-2</v>
      </c>
      <c r="F15">
        <v>3.8659213057142858E-2</v>
      </c>
      <c r="G15">
        <v>0.14503283901238367</v>
      </c>
      <c r="H15">
        <v>1</v>
      </c>
      <c r="I15">
        <v>1</v>
      </c>
      <c r="J15">
        <v>8.7983756844890182E-3</v>
      </c>
      <c r="K15">
        <v>1</v>
      </c>
      <c r="L15">
        <v>1</v>
      </c>
      <c r="M15">
        <v>4.2719999999999998E-3</v>
      </c>
      <c r="N15">
        <v>7.9640718562874246E-2</v>
      </c>
      <c r="O15">
        <v>1.0031552557202004E-2</v>
      </c>
      <c r="P15">
        <v>1</v>
      </c>
      <c r="Q15">
        <v>1.2865132125632679E-2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</row>
    <row r="16" spans="1:26" x14ac:dyDescent="0.25">
      <c r="A16" s="14">
        <v>2038</v>
      </c>
      <c r="B16">
        <v>3.1422977119900275E-2</v>
      </c>
      <c r="C16">
        <v>1</v>
      </c>
      <c r="D16">
        <v>1</v>
      </c>
      <c r="E16">
        <v>3.5137850036208979E-2</v>
      </c>
      <c r="F16">
        <v>3.8659213057142858E-2</v>
      </c>
      <c r="G16">
        <v>0.14503283901238367</v>
      </c>
      <c r="H16">
        <v>1</v>
      </c>
      <c r="I16">
        <v>1</v>
      </c>
      <c r="J16">
        <v>8.7983756844890182E-3</v>
      </c>
      <c r="K16">
        <v>1</v>
      </c>
      <c r="L16">
        <v>1</v>
      </c>
      <c r="M16">
        <v>4.2719999999999998E-3</v>
      </c>
      <c r="N16">
        <v>7.9640718562874246E-2</v>
      </c>
      <c r="O16">
        <v>1.0031552557202004E-2</v>
      </c>
      <c r="P16">
        <v>1</v>
      </c>
      <c r="Q16">
        <v>1.2865132125632679E-2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</row>
    <row r="17" spans="1:26" x14ac:dyDescent="0.25">
      <c r="A17" s="14">
        <v>2039</v>
      </c>
      <c r="B17">
        <v>3.1422977119900275E-2</v>
      </c>
      <c r="C17">
        <v>1</v>
      </c>
      <c r="D17">
        <v>1</v>
      </c>
      <c r="E17">
        <v>3.5137850036208979E-2</v>
      </c>
      <c r="F17">
        <v>3.8659213057142858E-2</v>
      </c>
      <c r="G17">
        <v>0.14503283901238367</v>
      </c>
      <c r="H17">
        <v>1</v>
      </c>
      <c r="I17">
        <v>1</v>
      </c>
      <c r="J17">
        <v>8.7983756844890182E-3</v>
      </c>
      <c r="K17">
        <v>1</v>
      </c>
      <c r="L17">
        <v>1</v>
      </c>
      <c r="M17">
        <v>4.2719999999999998E-3</v>
      </c>
      <c r="N17">
        <v>7.9640718562874246E-2</v>
      </c>
      <c r="O17">
        <v>1.0031552557202004E-2</v>
      </c>
      <c r="P17">
        <v>1</v>
      </c>
      <c r="Q17">
        <v>1.2865132125632679E-2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</row>
    <row r="18" spans="1:26" x14ac:dyDescent="0.25">
      <c r="A18" s="14">
        <v>2040</v>
      </c>
      <c r="B18">
        <v>3.1422977119900275E-2</v>
      </c>
      <c r="C18">
        <v>1</v>
      </c>
      <c r="D18">
        <v>1</v>
      </c>
      <c r="E18">
        <v>3.5137850036208979E-2</v>
      </c>
      <c r="F18">
        <v>3.8659213057142858E-2</v>
      </c>
      <c r="G18">
        <v>0.14503283901238367</v>
      </c>
      <c r="H18">
        <v>1</v>
      </c>
      <c r="I18">
        <v>1</v>
      </c>
      <c r="J18">
        <v>8.7983756844890182E-3</v>
      </c>
      <c r="K18">
        <v>1</v>
      </c>
      <c r="L18">
        <v>1</v>
      </c>
      <c r="M18">
        <v>4.2719999999999998E-3</v>
      </c>
      <c r="N18">
        <v>7.9640718562874246E-2</v>
      </c>
      <c r="O18">
        <v>1.0031552557202004E-2</v>
      </c>
      <c r="P18">
        <v>1</v>
      </c>
      <c r="Q18">
        <v>1.2865132125632679E-2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</row>
    <row r="19" spans="1:26" x14ac:dyDescent="0.25">
      <c r="A19" s="14">
        <v>2041</v>
      </c>
      <c r="B19">
        <v>3.1422977119900275E-2</v>
      </c>
      <c r="C19">
        <v>1</v>
      </c>
      <c r="D19">
        <v>1</v>
      </c>
      <c r="E19">
        <v>3.5137850036208979E-2</v>
      </c>
      <c r="F19">
        <v>3.8659213057142858E-2</v>
      </c>
      <c r="G19">
        <v>0.14503283901238367</v>
      </c>
      <c r="H19">
        <v>1</v>
      </c>
      <c r="I19">
        <v>1</v>
      </c>
      <c r="J19">
        <v>8.7983756844890182E-3</v>
      </c>
      <c r="K19">
        <v>1</v>
      </c>
      <c r="L19">
        <v>1</v>
      </c>
      <c r="M19">
        <v>4.2719999999999998E-3</v>
      </c>
      <c r="N19">
        <v>7.9640718562874246E-2</v>
      </c>
      <c r="O19">
        <v>1.0031552557202004E-2</v>
      </c>
      <c r="P19">
        <v>1</v>
      </c>
      <c r="Q19">
        <v>1.2865132125632679E-2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</row>
    <row r="20" spans="1:26" x14ac:dyDescent="0.25">
      <c r="A20" s="14">
        <v>2042</v>
      </c>
      <c r="B20">
        <v>3.1422977119900275E-2</v>
      </c>
      <c r="C20">
        <v>1</v>
      </c>
      <c r="D20">
        <v>1</v>
      </c>
      <c r="E20">
        <v>3.5137850036208979E-2</v>
      </c>
      <c r="F20">
        <v>3.8659213057142858E-2</v>
      </c>
      <c r="G20">
        <v>0.14503283901238367</v>
      </c>
      <c r="H20">
        <v>1</v>
      </c>
      <c r="I20">
        <v>1</v>
      </c>
      <c r="J20">
        <v>8.7983756844890182E-3</v>
      </c>
      <c r="K20">
        <v>1</v>
      </c>
      <c r="L20">
        <v>1</v>
      </c>
      <c r="M20">
        <v>4.2719999999999998E-3</v>
      </c>
      <c r="N20">
        <v>7.9640718562874246E-2</v>
      </c>
      <c r="O20">
        <v>1.0031552557202004E-2</v>
      </c>
      <c r="P20">
        <v>1</v>
      </c>
      <c r="Q20">
        <v>1.2865132125632679E-2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</row>
    <row r="21" spans="1:26" x14ac:dyDescent="0.25">
      <c r="A21" s="14">
        <v>2043</v>
      </c>
      <c r="B21">
        <v>3.1422977119900275E-2</v>
      </c>
      <c r="C21">
        <v>1</v>
      </c>
      <c r="D21">
        <v>1</v>
      </c>
      <c r="E21">
        <v>3.5137850036208979E-2</v>
      </c>
      <c r="F21">
        <v>3.8659213057142858E-2</v>
      </c>
      <c r="G21">
        <v>0.14503283901238367</v>
      </c>
      <c r="H21">
        <v>1</v>
      </c>
      <c r="I21">
        <v>1</v>
      </c>
      <c r="J21">
        <v>8.7983756844890182E-3</v>
      </c>
      <c r="K21">
        <v>1</v>
      </c>
      <c r="L21">
        <v>1</v>
      </c>
      <c r="M21">
        <v>4.2719999999999998E-3</v>
      </c>
      <c r="N21">
        <v>7.9640718562874246E-2</v>
      </c>
      <c r="O21">
        <v>1.0031552557202004E-2</v>
      </c>
      <c r="P21">
        <v>1</v>
      </c>
      <c r="Q21">
        <v>1.2865132125632679E-2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</row>
    <row r="22" spans="1:26" x14ac:dyDescent="0.25">
      <c r="A22" s="14">
        <v>2044</v>
      </c>
      <c r="B22">
        <v>3.1422977119900275E-2</v>
      </c>
      <c r="C22">
        <v>1</v>
      </c>
      <c r="D22">
        <v>1</v>
      </c>
      <c r="E22">
        <v>3.5137850036208979E-2</v>
      </c>
      <c r="F22">
        <v>3.8659213057142858E-2</v>
      </c>
      <c r="G22">
        <v>0.14503283901238367</v>
      </c>
      <c r="H22">
        <v>1</v>
      </c>
      <c r="I22">
        <v>1</v>
      </c>
      <c r="J22">
        <v>8.7983756844890182E-3</v>
      </c>
      <c r="K22">
        <v>1</v>
      </c>
      <c r="L22">
        <v>1</v>
      </c>
      <c r="M22">
        <v>4.2719999999999998E-3</v>
      </c>
      <c r="N22">
        <v>7.9640718562874246E-2</v>
      </c>
      <c r="O22">
        <v>1.0031552557202004E-2</v>
      </c>
      <c r="P22">
        <v>1</v>
      </c>
      <c r="Q22">
        <v>1.2865132125632679E-2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</row>
    <row r="23" spans="1:26" x14ac:dyDescent="0.25">
      <c r="A23" s="14">
        <v>2045</v>
      </c>
      <c r="B23">
        <v>3.1422977119900275E-2</v>
      </c>
      <c r="C23">
        <v>1</v>
      </c>
      <c r="D23">
        <v>1</v>
      </c>
      <c r="E23">
        <v>3.5137850036208979E-2</v>
      </c>
      <c r="F23">
        <v>3.8659213057142858E-2</v>
      </c>
      <c r="G23">
        <v>0.14503283901238367</v>
      </c>
      <c r="H23">
        <v>1</v>
      </c>
      <c r="I23">
        <v>1</v>
      </c>
      <c r="J23">
        <v>8.7983756844890182E-3</v>
      </c>
      <c r="K23">
        <v>1</v>
      </c>
      <c r="L23">
        <v>1</v>
      </c>
      <c r="M23">
        <v>4.2719999999999998E-3</v>
      </c>
      <c r="N23">
        <v>7.9640718562874246E-2</v>
      </c>
      <c r="O23">
        <v>1.0031552557202004E-2</v>
      </c>
      <c r="P23">
        <v>1</v>
      </c>
      <c r="Q23">
        <v>1.2865132125632679E-2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</row>
    <row r="24" spans="1:26" x14ac:dyDescent="0.25">
      <c r="A24" s="14">
        <v>2046</v>
      </c>
      <c r="B24">
        <v>3.1422977119900275E-2</v>
      </c>
      <c r="C24">
        <v>1</v>
      </c>
      <c r="D24">
        <v>1</v>
      </c>
      <c r="E24">
        <v>3.5137850036208979E-2</v>
      </c>
      <c r="F24">
        <v>3.8659213057142858E-2</v>
      </c>
      <c r="G24">
        <v>0.14503283901238367</v>
      </c>
      <c r="H24">
        <v>1</v>
      </c>
      <c r="I24">
        <v>1</v>
      </c>
      <c r="J24">
        <v>8.7983756844890182E-3</v>
      </c>
      <c r="K24">
        <v>1</v>
      </c>
      <c r="L24">
        <v>1</v>
      </c>
      <c r="M24">
        <v>4.2719999999999998E-3</v>
      </c>
      <c r="N24">
        <v>7.9640718562874246E-2</v>
      </c>
      <c r="O24">
        <v>1.0031552557202004E-2</v>
      </c>
      <c r="P24">
        <v>1</v>
      </c>
      <c r="Q24">
        <v>1.2865132125632679E-2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6" x14ac:dyDescent="0.25">
      <c r="A25" s="14">
        <v>2047</v>
      </c>
      <c r="B25">
        <v>3.1422977119900275E-2</v>
      </c>
      <c r="C25">
        <v>1</v>
      </c>
      <c r="D25">
        <v>1</v>
      </c>
      <c r="E25">
        <v>3.5137850036208979E-2</v>
      </c>
      <c r="F25">
        <v>3.8659213057142858E-2</v>
      </c>
      <c r="G25">
        <v>0.14503283901238367</v>
      </c>
      <c r="H25">
        <v>1</v>
      </c>
      <c r="I25">
        <v>1</v>
      </c>
      <c r="J25">
        <v>8.7983756844890182E-3</v>
      </c>
      <c r="K25">
        <v>1</v>
      </c>
      <c r="L25">
        <v>1</v>
      </c>
      <c r="M25">
        <v>4.2719999999999998E-3</v>
      </c>
      <c r="N25">
        <v>7.9640718562874246E-2</v>
      </c>
      <c r="O25">
        <v>1.0031552557202004E-2</v>
      </c>
      <c r="P25">
        <v>1</v>
      </c>
      <c r="Q25">
        <v>1.2865132125632679E-2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</row>
    <row r="26" spans="1:26" x14ac:dyDescent="0.25">
      <c r="A26" s="14">
        <v>2048</v>
      </c>
      <c r="B26">
        <v>3.1422977119900275E-2</v>
      </c>
      <c r="C26">
        <v>1</v>
      </c>
      <c r="D26">
        <v>1</v>
      </c>
      <c r="E26">
        <v>3.5137850036208979E-2</v>
      </c>
      <c r="F26">
        <v>3.8659213057142858E-2</v>
      </c>
      <c r="G26">
        <v>0.14503283901238367</v>
      </c>
      <c r="H26">
        <v>1</v>
      </c>
      <c r="I26">
        <v>1</v>
      </c>
      <c r="J26">
        <v>8.7983756844890182E-3</v>
      </c>
      <c r="K26">
        <v>1</v>
      </c>
      <c r="L26">
        <v>1</v>
      </c>
      <c r="M26">
        <v>4.2719999999999998E-3</v>
      </c>
      <c r="N26">
        <v>7.9640718562874246E-2</v>
      </c>
      <c r="O26">
        <v>1.0031552557202004E-2</v>
      </c>
      <c r="P26">
        <v>1</v>
      </c>
      <c r="Q26">
        <v>1.2865132125632679E-2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</row>
    <row r="27" spans="1:26" x14ac:dyDescent="0.25">
      <c r="A27" s="14">
        <v>2049</v>
      </c>
      <c r="B27">
        <v>3.1422977119900275E-2</v>
      </c>
      <c r="C27">
        <v>1</v>
      </c>
      <c r="D27">
        <v>1</v>
      </c>
      <c r="E27">
        <v>3.5137850036208979E-2</v>
      </c>
      <c r="F27">
        <v>3.8659213057142858E-2</v>
      </c>
      <c r="G27">
        <v>0.14503283901238367</v>
      </c>
      <c r="H27">
        <v>1</v>
      </c>
      <c r="I27">
        <v>1</v>
      </c>
      <c r="J27">
        <v>8.7983756844890182E-3</v>
      </c>
      <c r="K27">
        <v>1</v>
      </c>
      <c r="L27">
        <v>1</v>
      </c>
      <c r="M27">
        <v>4.2719999999999998E-3</v>
      </c>
      <c r="N27">
        <v>7.9640718562874246E-2</v>
      </c>
      <c r="O27">
        <v>1.0031552557202004E-2</v>
      </c>
      <c r="P27">
        <v>1</v>
      </c>
      <c r="Q27">
        <v>1.2865132125632679E-2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</row>
    <row r="28" spans="1:26" x14ac:dyDescent="0.25">
      <c r="A28" s="14">
        <v>2050</v>
      </c>
      <c r="B28">
        <v>3.1422977119900275E-2</v>
      </c>
      <c r="C28">
        <v>1</v>
      </c>
      <c r="D28">
        <v>1</v>
      </c>
      <c r="E28">
        <v>3.5137850036208979E-2</v>
      </c>
      <c r="F28">
        <v>3.8659213057142858E-2</v>
      </c>
      <c r="G28">
        <v>0.14503283901238367</v>
      </c>
      <c r="H28">
        <v>1</v>
      </c>
      <c r="I28">
        <v>1</v>
      </c>
      <c r="J28">
        <v>8.7983756844890182E-3</v>
      </c>
      <c r="K28">
        <v>1</v>
      </c>
      <c r="L28">
        <v>1</v>
      </c>
      <c r="M28">
        <v>4.2719999999999998E-3</v>
      </c>
      <c r="N28">
        <v>7.9640718562874246E-2</v>
      </c>
      <c r="O28">
        <v>1.0031552557202004E-2</v>
      </c>
      <c r="P28">
        <v>1</v>
      </c>
      <c r="Q28">
        <v>1.2865132125632679E-2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B9FD-44ED-4E59-8956-C20ADB98B718}">
  <dimension ref="A1:Z28"/>
  <sheetViews>
    <sheetView workbookViewId="0">
      <selection activeCell="H26" sqref="H26"/>
    </sheetView>
  </sheetViews>
  <sheetFormatPr baseColWidth="10" defaultRowHeight="15" x14ac:dyDescent="0.25"/>
  <sheetData>
    <row r="1" spans="1:26" x14ac:dyDescent="0.25">
      <c r="A1" t="s">
        <v>15</v>
      </c>
      <c r="B1" t="s">
        <v>136</v>
      </c>
      <c r="C1" t="s">
        <v>173</v>
      </c>
      <c r="D1" t="s">
        <v>174</v>
      </c>
      <c r="E1" t="s">
        <v>156</v>
      </c>
      <c r="F1" t="s">
        <v>175</v>
      </c>
      <c r="G1" t="s">
        <v>176</v>
      </c>
      <c r="H1" t="s">
        <v>153</v>
      </c>
      <c r="I1" t="s">
        <v>154</v>
      </c>
      <c r="J1" t="s">
        <v>155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171</v>
      </c>
      <c r="Z1" t="s">
        <v>152</v>
      </c>
    </row>
    <row r="2" spans="1:26" x14ac:dyDescent="0.25">
      <c r="A2" s="14">
        <v>2024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25">
      <c r="A3" s="14">
        <v>2025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25">
      <c r="A4" s="14">
        <v>2026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</row>
    <row r="5" spans="1:26" x14ac:dyDescent="0.25">
      <c r="A5" s="14">
        <v>2027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</row>
    <row r="6" spans="1:26" x14ac:dyDescent="0.25">
      <c r="A6" s="14">
        <v>2028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</row>
    <row r="7" spans="1:26" x14ac:dyDescent="0.25">
      <c r="A7" s="14">
        <v>2029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</row>
    <row r="8" spans="1:26" x14ac:dyDescent="0.25">
      <c r="A8" s="14">
        <v>2030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</row>
    <row r="9" spans="1:26" x14ac:dyDescent="0.25">
      <c r="A9" s="14">
        <v>2031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</row>
    <row r="10" spans="1:26" x14ac:dyDescent="0.25">
      <c r="A10" s="14">
        <v>2032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</row>
    <row r="11" spans="1:26" x14ac:dyDescent="0.25">
      <c r="A11" s="14">
        <v>2033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</row>
    <row r="12" spans="1:26" x14ac:dyDescent="0.25">
      <c r="A12" s="14">
        <v>2034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 x14ac:dyDescent="0.25">
      <c r="A13" s="14">
        <v>2035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</row>
    <row r="14" spans="1:26" x14ac:dyDescent="0.25">
      <c r="A14" s="14">
        <v>2036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 x14ac:dyDescent="0.25">
      <c r="A15" s="14">
        <v>2037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</row>
    <row r="16" spans="1:26" x14ac:dyDescent="0.25">
      <c r="A16" s="14">
        <v>2038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</row>
    <row r="17" spans="1:26" x14ac:dyDescent="0.25">
      <c r="A17" s="14">
        <v>2039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</row>
    <row r="18" spans="1:26" x14ac:dyDescent="0.25">
      <c r="A18" s="14">
        <v>2040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</row>
    <row r="19" spans="1:26" x14ac:dyDescent="0.25">
      <c r="A19" s="14">
        <v>2041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</row>
    <row r="20" spans="1:26" x14ac:dyDescent="0.25">
      <c r="A20" s="14">
        <v>2042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</row>
    <row r="21" spans="1:26" x14ac:dyDescent="0.25">
      <c r="A21" s="14">
        <v>2043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</row>
    <row r="22" spans="1:26" x14ac:dyDescent="0.25">
      <c r="A22" s="14">
        <v>2044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</row>
    <row r="23" spans="1:26" x14ac:dyDescent="0.25">
      <c r="A23" s="14">
        <v>2045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</row>
    <row r="24" spans="1:26" x14ac:dyDescent="0.25">
      <c r="A24" s="14">
        <v>2046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6" x14ac:dyDescent="0.25">
      <c r="A25" s="14">
        <v>2047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</row>
    <row r="26" spans="1:26" x14ac:dyDescent="0.25">
      <c r="A26" s="14">
        <v>2048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</row>
    <row r="27" spans="1:26" x14ac:dyDescent="0.25">
      <c r="A27" s="14">
        <v>2049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</row>
    <row r="28" spans="1:26" x14ac:dyDescent="0.25">
      <c r="A28" s="14">
        <v>2050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2112-D2EE-4E9F-B294-4222E881A3C9}">
  <dimension ref="A1:E11"/>
  <sheetViews>
    <sheetView workbookViewId="0">
      <selection activeCell="D12" sqref="D12"/>
    </sheetView>
  </sheetViews>
  <sheetFormatPr baseColWidth="10" defaultRowHeight="15" x14ac:dyDescent="0.25"/>
  <sheetData>
    <row r="1" spans="1:5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</row>
    <row r="2" spans="1:5" x14ac:dyDescent="0.25">
      <c r="A2" t="s">
        <v>75</v>
      </c>
      <c r="B2" t="s">
        <v>91</v>
      </c>
      <c r="C2" t="s">
        <v>75</v>
      </c>
      <c r="D2" t="s">
        <v>108</v>
      </c>
      <c r="E2" t="s">
        <v>92</v>
      </c>
    </row>
    <row r="3" spans="1:5" x14ac:dyDescent="0.25">
      <c r="A3" t="s">
        <v>75</v>
      </c>
      <c r="B3" t="s">
        <v>86</v>
      </c>
      <c r="C3" t="s">
        <v>75</v>
      </c>
      <c r="D3" t="s">
        <v>91</v>
      </c>
      <c r="E3" t="s">
        <v>92</v>
      </c>
    </row>
    <row r="4" spans="1:5" x14ac:dyDescent="0.25">
      <c r="A4" t="s">
        <v>75</v>
      </c>
      <c r="B4" t="s">
        <v>87</v>
      </c>
      <c r="C4" t="s">
        <v>75</v>
      </c>
      <c r="D4" t="s">
        <v>86</v>
      </c>
      <c r="E4" t="s">
        <v>92</v>
      </c>
    </row>
    <row r="5" spans="1:5" x14ac:dyDescent="0.25">
      <c r="A5" t="s">
        <v>88</v>
      </c>
      <c r="B5" t="s">
        <v>93</v>
      </c>
      <c r="C5" t="s">
        <v>88</v>
      </c>
      <c r="D5" t="s">
        <v>113</v>
      </c>
      <c r="E5" t="s">
        <v>92</v>
      </c>
    </row>
    <row r="6" spans="1:5" x14ac:dyDescent="0.25">
      <c r="A6" t="s">
        <v>76</v>
      </c>
      <c r="B6" t="s">
        <v>123</v>
      </c>
      <c r="C6" t="s">
        <v>76</v>
      </c>
      <c r="D6" t="s">
        <v>120</v>
      </c>
      <c r="E6" t="s">
        <v>92</v>
      </c>
    </row>
    <row r="7" spans="1:5" x14ac:dyDescent="0.25">
      <c r="A7" t="s">
        <v>76</v>
      </c>
      <c r="B7" t="s">
        <v>123</v>
      </c>
      <c r="C7" t="s">
        <v>76</v>
      </c>
      <c r="D7" t="s">
        <v>121</v>
      </c>
      <c r="E7" t="s">
        <v>92</v>
      </c>
    </row>
    <row r="8" spans="1:5" x14ac:dyDescent="0.25">
      <c r="A8" t="s">
        <v>76</v>
      </c>
      <c r="B8" t="s">
        <v>123</v>
      </c>
      <c r="C8" t="s">
        <v>76</v>
      </c>
      <c r="D8" t="s">
        <v>122</v>
      </c>
      <c r="E8" t="s">
        <v>92</v>
      </c>
    </row>
    <row r="9" spans="1:5" x14ac:dyDescent="0.25">
      <c r="A9" t="s">
        <v>77</v>
      </c>
      <c r="B9" t="s">
        <v>127</v>
      </c>
      <c r="C9" t="s">
        <v>77</v>
      </c>
      <c r="D9" t="s">
        <v>124</v>
      </c>
      <c r="E9" t="s">
        <v>92</v>
      </c>
    </row>
    <row r="10" spans="1:5" x14ac:dyDescent="0.25">
      <c r="A10" t="s">
        <v>77</v>
      </c>
      <c r="B10" t="s">
        <v>127</v>
      </c>
      <c r="C10" t="s">
        <v>77</v>
      </c>
      <c r="D10" t="s">
        <v>125</v>
      </c>
      <c r="E10" t="s">
        <v>92</v>
      </c>
    </row>
    <row r="11" spans="1:5" x14ac:dyDescent="0.25">
      <c r="A11" t="s">
        <v>77</v>
      </c>
      <c r="B11" t="s">
        <v>127</v>
      </c>
      <c r="C11" t="s">
        <v>77</v>
      </c>
      <c r="D11" t="s">
        <v>126</v>
      </c>
      <c r="E11" t="s">
        <v>92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44EE-882F-4833-8B87-00A8BB665263}">
  <dimension ref="A1:H15"/>
  <sheetViews>
    <sheetView topLeftCell="B1" zoomScale="115" workbookViewId="0">
      <selection activeCell="H12" sqref="H12"/>
    </sheetView>
  </sheetViews>
  <sheetFormatPr baseColWidth="10" defaultRowHeight="15" x14ac:dyDescent="0.25"/>
  <sheetData>
    <row r="1" spans="1:8" x14ac:dyDescent="0.25">
      <c r="A1" t="s">
        <v>89</v>
      </c>
      <c r="B1" t="s">
        <v>90</v>
      </c>
      <c r="C1" t="s">
        <v>82</v>
      </c>
      <c r="D1" t="s">
        <v>83</v>
      </c>
      <c r="E1" t="s">
        <v>102</v>
      </c>
      <c r="F1" t="s">
        <v>103</v>
      </c>
      <c r="G1" t="s">
        <v>112</v>
      </c>
      <c r="H1" t="s">
        <v>115</v>
      </c>
    </row>
    <row r="2" spans="1:8" x14ac:dyDescent="0.25">
      <c r="A2">
        <v>2024</v>
      </c>
      <c r="B2" t="s">
        <v>16</v>
      </c>
      <c r="C2" t="s">
        <v>75</v>
      </c>
      <c r="D2" t="s">
        <v>108</v>
      </c>
      <c r="E2" s="12">
        <v>64400.000000000007</v>
      </c>
      <c r="F2" s="12">
        <v>1449.0000000000002</v>
      </c>
      <c r="G2" s="12">
        <v>3220</v>
      </c>
      <c r="H2" s="12">
        <v>0</v>
      </c>
    </row>
    <row r="3" spans="1:8" x14ac:dyDescent="0.25">
      <c r="A3">
        <v>2024</v>
      </c>
      <c r="B3" t="s">
        <v>16</v>
      </c>
      <c r="C3" t="s">
        <v>75</v>
      </c>
      <c r="D3" t="s">
        <v>91</v>
      </c>
      <c r="E3" s="12">
        <v>92000</v>
      </c>
      <c r="F3" s="12">
        <v>3312</v>
      </c>
      <c r="G3" s="12">
        <v>4600</v>
      </c>
      <c r="H3" s="12">
        <v>0</v>
      </c>
    </row>
    <row r="4" spans="1:8" x14ac:dyDescent="0.25">
      <c r="A4">
        <v>2024</v>
      </c>
      <c r="B4" t="s">
        <v>16</v>
      </c>
      <c r="C4" t="s">
        <v>75</v>
      </c>
      <c r="D4" t="s">
        <v>86</v>
      </c>
      <c r="E4" s="12">
        <v>165600</v>
      </c>
      <c r="F4" s="12">
        <v>14904</v>
      </c>
      <c r="G4" s="12">
        <v>8280</v>
      </c>
      <c r="H4" s="12">
        <v>0</v>
      </c>
    </row>
    <row r="5" spans="1:8" x14ac:dyDescent="0.25">
      <c r="A5">
        <v>2024</v>
      </c>
      <c r="B5" t="s">
        <v>16</v>
      </c>
      <c r="C5" t="s">
        <v>75</v>
      </c>
      <c r="D5" t="s">
        <v>87</v>
      </c>
      <c r="E5" s="12">
        <v>46000</v>
      </c>
      <c r="F5" s="12">
        <v>12420</v>
      </c>
      <c r="G5" s="12">
        <v>2300</v>
      </c>
      <c r="H5" s="12">
        <v>0</v>
      </c>
    </row>
    <row r="6" spans="1:8" x14ac:dyDescent="0.25">
      <c r="A6">
        <v>2024</v>
      </c>
      <c r="B6" t="s">
        <v>16</v>
      </c>
      <c r="C6" t="s">
        <v>76</v>
      </c>
      <c r="D6" t="s">
        <v>120</v>
      </c>
      <c r="E6" s="12">
        <v>73600</v>
      </c>
      <c r="F6" s="12">
        <v>40142</v>
      </c>
      <c r="G6" s="12">
        <v>3680.0000000000009</v>
      </c>
      <c r="H6" s="12">
        <v>74006</v>
      </c>
    </row>
    <row r="7" spans="1:8" x14ac:dyDescent="0.25">
      <c r="A7">
        <v>2024</v>
      </c>
      <c r="B7" t="s">
        <v>16</v>
      </c>
      <c r="C7" t="s">
        <v>76</v>
      </c>
      <c r="D7" t="s">
        <v>121</v>
      </c>
      <c r="E7" s="12">
        <v>82800</v>
      </c>
      <c r="F7" s="12">
        <v>7866</v>
      </c>
      <c r="G7" s="12">
        <v>4140</v>
      </c>
      <c r="H7" s="12">
        <v>264948.33858154103</v>
      </c>
    </row>
    <row r="8" spans="1:8" x14ac:dyDescent="0.25">
      <c r="A8">
        <v>2024</v>
      </c>
      <c r="B8" t="s">
        <v>16</v>
      </c>
      <c r="C8" t="s">
        <v>76</v>
      </c>
      <c r="D8" t="s">
        <v>122</v>
      </c>
      <c r="E8" s="12">
        <v>276000</v>
      </c>
      <c r="F8" s="12">
        <v>26220</v>
      </c>
      <c r="G8" s="12">
        <v>13800</v>
      </c>
      <c r="H8" s="12">
        <v>493032.21042160509</v>
      </c>
    </row>
    <row r="9" spans="1:8" x14ac:dyDescent="0.25">
      <c r="A9">
        <v>2024</v>
      </c>
      <c r="B9" t="s">
        <v>16</v>
      </c>
      <c r="C9" t="s">
        <v>76</v>
      </c>
      <c r="D9" t="s">
        <v>123</v>
      </c>
      <c r="E9" s="12">
        <v>1</v>
      </c>
      <c r="F9" s="12">
        <v>1</v>
      </c>
      <c r="G9" s="12">
        <v>1</v>
      </c>
      <c r="H9" s="12">
        <v>0</v>
      </c>
    </row>
    <row r="10" spans="1:8" x14ac:dyDescent="0.25">
      <c r="A10">
        <v>2024</v>
      </c>
      <c r="B10" t="s">
        <v>16</v>
      </c>
      <c r="C10" t="s">
        <v>77</v>
      </c>
      <c r="D10" t="s">
        <v>124</v>
      </c>
      <c r="E10" s="12">
        <v>165600</v>
      </c>
      <c r="F10" s="12">
        <v>120522</v>
      </c>
      <c r="G10" s="12">
        <v>8280</v>
      </c>
      <c r="H10" s="12">
        <v>229760</v>
      </c>
    </row>
    <row r="11" spans="1:8" x14ac:dyDescent="0.25">
      <c r="A11">
        <v>2024</v>
      </c>
      <c r="B11" t="s">
        <v>16</v>
      </c>
      <c r="C11" t="s">
        <v>77</v>
      </c>
      <c r="D11" t="s">
        <v>125</v>
      </c>
      <c r="E11" s="12">
        <v>202400</v>
      </c>
      <c r="F11" s="12">
        <v>19228</v>
      </c>
      <c r="G11" s="12">
        <v>10120</v>
      </c>
      <c r="H11" s="12">
        <v>231566.55902280001</v>
      </c>
    </row>
    <row r="12" spans="1:8" x14ac:dyDescent="0.25">
      <c r="A12">
        <v>2024</v>
      </c>
      <c r="B12" t="s">
        <v>16</v>
      </c>
      <c r="C12" t="s">
        <v>77</v>
      </c>
      <c r="D12" t="s">
        <v>126</v>
      </c>
      <c r="E12" s="12">
        <v>202400</v>
      </c>
      <c r="F12" s="12">
        <v>19228</v>
      </c>
      <c r="G12" s="12">
        <v>10120</v>
      </c>
      <c r="H12" s="12">
        <v>901215.14350847807</v>
      </c>
    </row>
    <row r="13" spans="1:8" x14ac:dyDescent="0.25">
      <c r="A13">
        <v>2024</v>
      </c>
      <c r="B13" t="s">
        <v>16</v>
      </c>
      <c r="C13" t="s">
        <v>77</v>
      </c>
      <c r="D13" t="s">
        <v>127</v>
      </c>
      <c r="E13" s="12">
        <v>1</v>
      </c>
      <c r="F13" s="12">
        <v>1</v>
      </c>
      <c r="G13" s="12">
        <v>1</v>
      </c>
      <c r="H13" s="12">
        <v>0</v>
      </c>
    </row>
    <row r="14" spans="1:8" x14ac:dyDescent="0.25">
      <c r="A14">
        <v>2024</v>
      </c>
      <c r="B14" t="s">
        <v>16</v>
      </c>
      <c r="C14" t="s">
        <v>88</v>
      </c>
      <c r="D14" t="s">
        <v>113</v>
      </c>
      <c r="E14">
        <v>1</v>
      </c>
      <c r="F14">
        <v>1</v>
      </c>
      <c r="G14">
        <v>1</v>
      </c>
      <c r="H14" s="12">
        <v>0</v>
      </c>
    </row>
    <row r="15" spans="1:8" x14ac:dyDescent="0.25">
      <c r="A15">
        <v>2024</v>
      </c>
      <c r="B15" t="s">
        <v>16</v>
      </c>
      <c r="C15" t="s">
        <v>88</v>
      </c>
      <c r="D15" t="s">
        <v>93</v>
      </c>
      <c r="E15">
        <v>1</v>
      </c>
      <c r="F15">
        <v>1</v>
      </c>
      <c r="G15">
        <v>1</v>
      </c>
      <c r="H15" s="12">
        <v>0</v>
      </c>
    </row>
  </sheetData>
  <phoneticPr fontId="7" type="noConversion"/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4DFEF-01D9-4B2D-A936-BF616F091054}">
  <dimension ref="A1:O34"/>
  <sheetViews>
    <sheetView workbookViewId="0">
      <selection activeCell="M42" sqref="M42"/>
    </sheetView>
  </sheetViews>
  <sheetFormatPr baseColWidth="10" defaultRowHeight="15" x14ac:dyDescent="0.25"/>
  <sheetData>
    <row r="1" spans="1:15" x14ac:dyDescent="0.25">
      <c r="A1" t="s">
        <v>15</v>
      </c>
      <c r="B1" t="s">
        <v>109</v>
      </c>
      <c r="C1" t="s">
        <v>105</v>
      </c>
      <c r="D1" t="s">
        <v>106</v>
      </c>
      <c r="E1" t="s">
        <v>107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114</v>
      </c>
      <c r="O1" t="s">
        <v>110</v>
      </c>
    </row>
    <row r="2" spans="1:15" x14ac:dyDescent="0.25">
      <c r="A2">
        <v>2024</v>
      </c>
      <c r="B2">
        <v>38640</v>
      </c>
      <c r="C2">
        <v>55200</v>
      </c>
      <c r="D2">
        <v>82800</v>
      </c>
      <c r="E2">
        <v>149960</v>
      </c>
      <c r="F2">
        <v>0</v>
      </c>
      <c r="G2">
        <v>0</v>
      </c>
      <c r="H2">
        <v>382762.9</v>
      </c>
      <c r="I2">
        <v>679793.6</v>
      </c>
      <c r="J2">
        <v>0</v>
      </c>
      <c r="K2">
        <v>0</v>
      </c>
      <c r="L2">
        <v>479917.1</v>
      </c>
      <c r="M2">
        <v>787018</v>
      </c>
      <c r="N2">
        <v>0</v>
      </c>
      <c r="O2">
        <v>280439.83</v>
      </c>
    </row>
    <row r="3" spans="1:15" x14ac:dyDescent="0.25">
      <c r="A3">
        <v>2025</v>
      </c>
      <c r="B3">
        <v>38060.400000000001</v>
      </c>
      <c r="C3">
        <v>54372</v>
      </c>
      <c r="D3">
        <v>81558</v>
      </c>
      <c r="E3">
        <v>148580</v>
      </c>
      <c r="F3">
        <v>0</v>
      </c>
      <c r="G3">
        <v>0</v>
      </c>
      <c r="H3">
        <v>367452.38400000002</v>
      </c>
      <c r="I3">
        <v>652601.85599999991</v>
      </c>
      <c r="J3">
        <v>0</v>
      </c>
      <c r="K3">
        <v>0</v>
      </c>
      <c r="L3">
        <v>460720.41599999997</v>
      </c>
      <c r="M3">
        <v>755537.28</v>
      </c>
      <c r="N3">
        <v>0</v>
      </c>
      <c r="O3">
        <v>274754.90999999997</v>
      </c>
    </row>
    <row r="4" spans="1:15" x14ac:dyDescent="0.25">
      <c r="A4">
        <v>2026</v>
      </c>
      <c r="B4">
        <v>37489.493999999999</v>
      </c>
      <c r="C4">
        <v>53556.42</v>
      </c>
      <c r="D4">
        <v>80334.63</v>
      </c>
      <c r="E4">
        <v>147200</v>
      </c>
      <c r="F4">
        <v>0</v>
      </c>
      <c r="G4">
        <v>0</v>
      </c>
      <c r="H4">
        <v>352754.28863999998</v>
      </c>
      <c r="I4">
        <v>626497.78175999993</v>
      </c>
      <c r="J4">
        <v>0</v>
      </c>
      <c r="K4">
        <v>0</v>
      </c>
      <c r="L4">
        <v>442291.59935999993</v>
      </c>
      <c r="M4">
        <v>725315.78879999998</v>
      </c>
      <c r="N4">
        <v>0</v>
      </c>
      <c r="O4">
        <v>269179.44</v>
      </c>
    </row>
    <row r="5" spans="1:15" x14ac:dyDescent="0.25">
      <c r="A5">
        <v>2027</v>
      </c>
      <c r="B5">
        <v>36927.151590000001</v>
      </c>
      <c r="C5">
        <v>52753.073700000001</v>
      </c>
      <c r="D5">
        <v>79129.610549999998</v>
      </c>
      <c r="E5">
        <v>145820</v>
      </c>
      <c r="F5">
        <v>0</v>
      </c>
      <c r="G5">
        <v>0</v>
      </c>
      <c r="H5">
        <v>338644.11709439999</v>
      </c>
      <c r="I5">
        <v>601437.87048959988</v>
      </c>
      <c r="J5">
        <v>0</v>
      </c>
      <c r="K5">
        <v>0</v>
      </c>
      <c r="L5">
        <v>424599.93538559991</v>
      </c>
      <c r="M5">
        <v>696303.15724799992</v>
      </c>
      <c r="N5">
        <v>0</v>
      </c>
      <c r="O5">
        <v>263711.78000000003</v>
      </c>
    </row>
    <row r="6" spans="1:15" x14ac:dyDescent="0.25">
      <c r="A6">
        <v>2028</v>
      </c>
      <c r="B6">
        <v>36373.244316149998</v>
      </c>
      <c r="C6">
        <v>51961.777594500003</v>
      </c>
      <c r="D6">
        <v>77942.666391749997</v>
      </c>
      <c r="E6">
        <v>144440</v>
      </c>
      <c r="F6">
        <v>0</v>
      </c>
      <c r="G6">
        <v>0</v>
      </c>
      <c r="H6">
        <v>325098.35241062398</v>
      </c>
      <c r="I6">
        <v>577380.35567001591</v>
      </c>
      <c r="J6">
        <v>0</v>
      </c>
      <c r="K6">
        <v>0</v>
      </c>
      <c r="L6">
        <v>407615.93797017587</v>
      </c>
      <c r="M6">
        <v>668451.03095807985</v>
      </c>
      <c r="N6">
        <v>0</v>
      </c>
      <c r="O6">
        <v>258350.32</v>
      </c>
    </row>
    <row r="7" spans="1:15" x14ac:dyDescent="0.25">
      <c r="A7">
        <v>2029</v>
      </c>
      <c r="B7">
        <v>35827.645651407751</v>
      </c>
      <c r="C7">
        <v>51182.350930582499</v>
      </c>
      <c r="D7">
        <v>76773.526395873749</v>
      </c>
      <c r="E7">
        <v>143060</v>
      </c>
      <c r="F7">
        <v>0</v>
      </c>
      <c r="G7">
        <v>0</v>
      </c>
      <c r="H7">
        <v>312094.41831419902</v>
      </c>
      <c r="I7">
        <v>554285.14144321531</v>
      </c>
      <c r="J7">
        <v>0</v>
      </c>
      <c r="K7">
        <v>0</v>
      </c>
      <c r="L7">
        <v>391311.30045136885</v>
      </c>
      <c r="M7">
        <v>641712.98971975665</v>
      </c>
      <c r="N7">
        <v>0</v>
      </c>
      <c r="O7">
        <v>253093.46</v>
      </c>
    </row>
    <row r="8" spans="1:15" x14ac:dyDescent="0.25">
      <c r="A8">
        <v>2030</v>
      </c>
      <c r="B8">
        <v>35290.230966636635</v>
      </c>
      <c r="C8">
        <v>50414.615666623758</v>
      </c>
      <c r="D8">
        <v>75621.923499935641</v>
      </c>
      <c r="E8">
        <v>141680</v>
      </c>
      <c r="F8">
        <v>0</v>
      </c>
      <c r="G8">
        <v>0</v>
      </c>
      <c r="H8">
        <v>299610.64158163103</v>
      </c>
      <c r="I8">
        <v>532113.73578548664</v>
      </c>
      <c r="J8">
        <v>0</v>
      </c>
      <c r="K8">
        <v>0</v>
      </c>
      <c r="L8">
        <v>375658.84843331407</v>
      </c>
      <c r="M8">
        <v>616044.47013096639</v>
      </c>
      <c r="N8">
        <v>0</v>
      </c>
      <c r="O8">
        <v>247939.65</v>
      </c>
    </row>
    <row r="9" spans="1:15" x14ac:dyDescent="0.25">
      <c r="A9">
        <v>2031</v>
      </c>
      <c r="B9">
        <v>34760.877502137082</v>
      </c>
      <c r="C9">
        <v>49658.396431624402</v>
      </c>
      <c r="D9">
        <v>74487.594647436606</v>
      </c>
      <c r="E9">
        <v>140300</v>
      </c>
      <c r="F9">
        <v>0</v>
      </c>
      <c r="G9">
        <v>0</v>
      </c>
      <c r="H9">
        <v>287626.21591836581</v>
      </c>
      <c r="I9">
        <v>510829.18635406718</v>
      </c>
      <c r="J9">
        <v>0</v>
      </c>
      <c r="K9">
        <v>0</v>
      </c>
      <c r="L9">
        <v>360632.49449598149</v>
      </c>
      <c r="M9">
        <v>591402.69132572773</v>
      </c>
      <c r="N9">
        <v>0</v>
      </c>
      <c r="O9">
        <v>242887.37</v>
      </c>
    </row>
    <row r="10" spans="1:15" x14ac:dyDescent="0.25">
      <c r="A10">
        <v>2032</v>
      </c>
      <c r="B10">
        <v>34239.464339605023</v>
      </c>
      <c r="C10">
        <v>48913.520485150038</v>
      </c>
      <c r="D10">
        <v>73370.280727725054</v>
      </c>
      <c r="E10">
        <v>138920</v>
      </c>
      <c r="F10">
        <v>0</v>
      </c>
      <c r="G10">
        <v>0</v>
      </c>
      <c r="H10">
        <v>276121.16728163115</v>
      </c>
      <c r="I10">
        <v>490396.01889990445</v>
      </c>
      <c r="J10">
        <v>0</v>
      </c>
      <c r="K10">
        <v>0</v>
      </c>
      <c r="L10">
        <v>346207.1947161422</v>
      </c>
      <c r="M10">
        <v>567746.58367269859</v>
      </c>
      <c r="N10">
        <v>0</v>
      </c>
      <c r="O10">
        <v>237935.1</v>
      </c>
    </row>
    <row r="11" spans="1:15" x14ac:dyDescent="0.25">
      <c r="A11">
        <v>2033</v>
      </c>
      <c r="B11">
        <v>33725.872374510946</v>
      </c>
      <c r="C11">
        <v>48179.817677872787</v>
      </c>
      <c r="D11">
        <v>72269.726516809184</v>
      </c>
      <c r="E11">
        <v>137540</v>
      </c>
      <c r="F11">
        <v>0</v>
      </c>
      <c r="G11">
        <v>0</v>
      </c>
      <c r="H11">
        <v>265076.32059036591</v>
      </c>
      <c r="I11">
        <v>470780.17814390827</v>
      </c>
      <c r="J11">
        <v>0</v>
      </c>
      <c r="K11">
        <v>0</v>
      </c>
      <c r="L11">
        <v>332358.90692749649</v>
      </c>
      <c r="M11">
        <v>545036.72032579058</v>
      </c>
      <c r="N11">
        <v>0</v>
      </c>
      <c r="O11">
        <v>233081.4</v>
      </c>
    </row>
    <row r="12" spans="1:15" x14ac:dyDescent="0.25">
      <c r="A12">
        <v>2034</v>
      </c>
      <c r="B12">
        <v>33219.984288893284</v>
      </c>
      <c r="C12">
        <v>47457.120412704695</v>
      </c>
      <c r="D12">
        <v>71185.68061905705</v>
      </c>
      <c r="E12">
        <v>136160</v>
      </c>
      <c r="F12">
        <v>0</v>
      </c>
      <c r="G12">
        <v>0</v>
      </c>
      <c r="H12">
        <v>254473.26776675126</v>
      </c>
      <c r="I12">
        <v>451948.9710181519</v>
      </c>
      <c r="J12">
        <v>0</v>
      </c>
      <c r="K12">
        <v>0</v>
      </c>
      <c r="L12">
        <v>319064.55065039662</v>
      </c>
      <c r="M12">
        <v>523235.25151275896</v>
      </c>
      <c r="N12">
        <v>0</v>
      </c>
      <c r="O12">
        <v>228324.82</v>
      </c>
    </row>
    <row r="13" spans="1:15" x14ac:dyDescent="0.25">
      <c r="A13">
        <v>2035</v>
      </c>
      <c r="B13">
        <v>32721.684524559885</v>
      </c>
      <c r="C13">
        <v>46745.263606514127</v>
      </c>
      <c r="D13">
        <v>70117.895409771198</v>
      </c>
      <c r="E13">
        <v>134780</v>
      </c>
      <c r="F13">
        <v>0</v>
      </c>
      <c r="G13">
        <v>0</v>
      </c>
      <c r="H13">
        <v>244294.33705608119</v>
      </c>
      <c r="I13">
        <v>433871.01217742579</v>
      </c>
      <c r="J13">
        <v>0</v>
      </c>
      <c r="K13">
        <v>0</v>
      </c>
      <c r="L13">
        <v>306301.96862438077</v>
      </c>
      <c r="M13">
        <v>502305.84145224857</v>
      </c>
      <c r="N13">
        <v>0</v>
      </c>
      <c r="O13">
        <v>223663.91</v>
      </c>
    </row>
    <row r="14" spans="1:15" x14ac:dyDescent="0.25">
      <c r="A14">
        <v>2036</v>
      </c>
      <c r="B14">
        <v>32230.859256691485</v>
      </c>
      <c r="C14">
        <v>46044.084652416415</v>
      </c>
      <c r="D14">
        <v>69066.126978624627</v>
      </c>
      <c r="E14">
        <v>133400</v>
      </c>
      <c r="F14">
        <v>0</v>
      </c>
      <c r="G14">
        <v>0</v>
      </c>
      <c r="H14">
        <v>234522.56357383792</v>
      </c>
      <c r="I14">
        <v>416516.17169032875</v>
      </c>
      <c r="J14">
        <v>0</v>
      </c>
      <c r="K14">
        <v>0</v>
      </c>
      <c r="L14">
        <v>294049.8898794055</v>
      </c>
      <c r="M14">
        <v>482213.60779415863</v>
      </c>
      <c r="N14">
        <v>0</v>
      </c>
      <c r="O14">
        <v>219097.32</v>
      </c>
    </row>
    <row r="15" spans="1:15" x14ac:dyDescent="0.25">
      <c r="A15">
        <v>2037</v>
      </c>
      <c r="B15">
        <v>31747.396367841113</v>
      </c>
      <c r="C15">
        <v>45353.423382630172</v>
      </c>
      <c r="D15">
        <v>68030.135073945261</v>
      </c>
      <c r="E15">
        <v>132020</v>
      </c>
      <c r="F15">
        <v>0</v>
      </c>
      <c r="G15">
        <v>0</v>
      </c>
      <c r="H15">
        <v>225141.6610308844</v>
      </c>
      <c r="I15">
        <v>399855.52482271555</v>
      </c>
      <c r="J15">
        <v>0</v>
      </c>
      <c r="K15">
        <v>0</v>
      </c>
      <c r="L15">
        <v>282287.89428422926</v>
      </c>
      <c r="M15">
        <v>462925.06348239229</v>
      </c>
      <c r="N15">
        <v>0</v>
      </c>
      <c r="O15">
        <v>214623.65</v>
      </c>
    </row>
    <row r="16" spans="1:15" x14ac:dyDescent="0.25">
      <c r="A16">
        <v>2038</v>
      </c>
      <c r="B16">
        <v>31271.185422323495</v>
      </c>
      <c r="C16">
        <v>44673.122031890722</v>
      </c>
      <c r="D16">
        <v>67009.683047836079</v>
      </c>
      <c r="E16">
        <v>130640</v>
      </c>
      <c r="F16">
        <v>0</v>
      </c>
      <c r="G16">
        <v>0</v>
      </c>
      <c r="H16">
        <v>216135.99458964902</v>
      </c>
      <c r="I16">
        <v>383861.30382980692</v>
      </c>
      <c r="J16">
        <v>0</v>
      </c>
      <c r="K16">
        <v>0</v>
      </c>
      <c r="L16">
        <v>270996.3785128601</v>
      </c>
      <c r="M16">
        <v>444408.06094309659</v>
      </c>
      <c r="N16">
        <v>0</v>
      </c>
      <c r="O16">
        <v>210241.6</v>
      </c>
    </row>
    <row r="17" spans="1:15" x14ac:dyDescent="0.25">
      <c r="A17">
        <v>2039</v>
      </c>
      <c r="B17">
        <v>30802.117640988643</v>
      </c>
      <c r="C17">
        <v>44003.025201412362</v>
      </c>
      <c r="D17">
        <v>66004.537802118532</v>
      </c>
      <c r="E17">
        <v>129260</v>
      </c>
      <c r="F17">
        <v>0</v>
      </c>
      <c r="G17">
        <v>0</v>
      </c>
      <c r="H17">
        <v>207490.55480606307</v>
      </c>
      <c r="I17">
        <v>368506.85167661461</v>
      </c>
      <c r="J17">
        <v>0</v>
      </c>
      <c r="K17">
        <v>0</v>
      </c>
      <c r="L17">
        <v>260156.52337234569</v>
      </c>
      <c r="M17">
        <v>426631.73850537272</v>
      </c>
      <c r="N17">
        <v>0</v>
      </c>
      <c r="O17">
        <v>205949.84</v>
      </c>
    </row>
    <row r="18" spans="1:15" x14ac:dyDescent="0.25">
      <c r="A18">
        <v>2040</v>
      </c>
      <c r="B18">
        <v>30340.085876373814</v>
      </c>
      <c r="C18">
        <v>43342.979823391179</v>
      </c>
      <c r="D18">
        <v>65014.46973508675</v>
      </c>
      <c r="E18">
        <v>127880</v>
      </c>
      <c r="F18">
        <v>0</v>
      </c>
      <c r="G18">
        <v>0</v>
      </c>
      <c r="H18">
        <v>199190.93261382054</v>
      </c>
      <c r="I18">
        <v>353766.57760955003</v>
      </c>
      <c r="J18">
        <v>0</v>
      </c>
      <c r="K18">
        <v>0</v>
      </c>
      <c r="L18">
        <v>249750.26243745186</v>
      </c>
      <c r="M18">
        <v>409566.46896515781</v>
      </c>
      <c r="N18">
        <v>0</v>
      </c>
      <c r="O18">
        <v>201747.12</v>
      </c>
    </row>
    <row r="19" spans="1:15" x14ac:dyDescent="0.25">
      <c r="A19">
        <v>2041</v>
      </c>
      <c r="B19">
        <v>29884.984588228206</v>
      </c>
      <c r="C19">
        <v>42692.835126040307</v>
      </c>
      <c r="D19">
        <v>64039.252689060449</v>
      </c>
      <c r="E19">
        <v>126500</v>
      </c>
      <c r="F19">
        <v>0</v>
      </c>
      <c r="G19">
        <v>0</v>
      </c>
      <c r="H19">
        <v>191223.29530926771</v>
      </c>
      <c r="I19">
        <v>339615.91450516804</v>
      </c>
      <c r="J19">
        <v>0</v>
      </c>
      <c r="K19">
        <v>0</v>
      </c>
      <c r="L19">
        <v>239760.25193995377</v>
      </c>
      <c r="M19">
        <v>393183.81020655145</v>
      </c>
      <c r="N19">
        <v>0</v>
      </c>
      <c r="O19">
        <v>197632.19</v>
      </c>
    </row>
    <row r="20" spans="1:15" x14ac:dyDescent="0.25">
      <c r="A20">
        <v>2042</v>
      </c>
      <c r="B20">
        <v>29436.709819404783</v>
      </c>
      <c r="C20">
        <v>42052.442599149705</v>
      </c>
      <c r="D20">
        <v>63078.663898724539</v>
      </c>
      <c r="E20">
        <v>125120</v>
      </c>
      <c r="F20">
        <v>0</v>
      </c>
      <c r="G20">
        <v>0</v>
      </c>
      <c r="H20">
        <v>183574.36349689699</v>
      </c>
      <c r="I20">
        <v>326031.27792496129</v>
      </c>
      <c r="J20">
        <v>0</v>
      </c>
      <c r="K20">
        <v>0</v>
      </c>
      <c r="L20">
        <v>230169.84186235562</v>
      </c>
      <c r="M20">
        <v>377456.45779828937</v>
      </c>
      <c r="N20">
        <v>0</v>
      </c>
      <c r="O20">
        <v>193603.83</v>
      </c>
    </row>
    <row r="21" spans="1:15" x14ac:dyDescent="0.25">
      <c r="A21">
        <v>2043</v>
      </c>
      <c r="B21">
        <v>28995.159172113712</v>
      </c>
      <c r="C21">
        <v>41421.655960162461</v>
      </c>
      <c r="D21">
        <v>62132.48394024367</v>
      </c>
      <c r="E21">
        <v>123740</v>
      </c>
      <c r="F21">
        <v>0</v>
      </c>
      <c r="G21">
        <v>0</v>
      </c>
      <c r="H21">
        <v>176231.38895702109</v>
      </c>
      <c r="I21">
        <v>312990.02680796286</v>
      </c>
      <c r="J21">
        <v>0</v>
      </c>
      <c r="K21">
        <v>0</v>
      </c>
      <c r="L21">
        <v>220963.04818786139</v>
      </c>
      <c r="M21">
        <v>362358.1994863578</v>
      </c>
      <c r="N21">
        <v>0</v>
      </c>
      <c r="O21">
        <v>189660.87</v>
      </c>
    </row>
    <row r="22" spans="1:15" x14ac:dyDescent="0.25">
      <c r="A22">
        <v>2044</v>
      </c>
      <c r="B22">
        <v>28560.231784532007</v>
      </c>
      <c r="C22">
        <v>40800.331120760027</v>
      </c>
      <c r="D22">
        <v>61200.496681140015</v>
      </c>
      <c r="E22">
        <v>122360</v>
      </c>
      <c r="F22">
        <v>0</v>
      </c>
      <c r="G22">
        <v>0</v>
      </c>
      <c r="H22">
        <v>169182.13339874023</v>
      </c>
      <c r="I22">
        <v>300470.42573564436</v>
      </c>
      <c r="J22">
        <v>0</v>
      </c>
      <c r="K22">
        <v>0</v>
      </c>
      <c r="L22">
        <v>212124.52626034693</v>
      </c>
      <c r="M22">
        <v>347863.8715069035</v>
      </c>
      <c r="N22">
        <v>0</v>
      </c>
      <c r="O22">
        <v>185802.14</v>
      </c>
    </row>
    <row r="23" spans="1:15" x14ac:dyDescent="0.25">
      <c r="A23">
        <v>2045</v>
      </c>
      <c r="B23">
        <v>28131.828307764026</v>
      </c>
      <c r="C23">
        <v>40188.326153948627</v>
      </c>
      <c r="D23">
        <v>60282.489230922911</v>
      </c>
      <c r="E23">
        <v>120980</v>
      </c>
      <c r="F23">
        <v>0</v>
      </c>
      <c r="G23">
        <v>0</v>
      </c>
      <c r="H23">
        <v>162414.84806279061</v>
      </c>
      <c r="I23">
        <v>288451.6087062186</v>
      </c>
      <c r="J23">
        <v>0</v>
      </c>
      <c r="K23">
        <v>0</v>
      </c>
      <c r="L23">
        <v>203639.54520993304</v>
      </c>
      <c r="M23">
        <v>333949.31664662733</v>
      </c>
      <c r="N23">
        <v>0</v>
      </c>
      <c r="O23">
        <v>182026.51</v>
      </c>
    </row>
    <row r="24" spans="1:15" x14ac:dyDescent="0.25">
      <c r="A24">
        <v>2046</v>
      </c>
      <c r="B24">
        <v>27709.850883147566</v>
      </c>
      <c r="C24">
        <v>39585.501261639394</v>
      </c>
      <c r="D24">
        <v>59378.251892459069</v>
      </c>
      <c r="E24">
        <v>119600</v>
      </c>
      <c r="F24">
        <v>0</v>
      </c>
      <c r="G24">
        <v>0</v>
      </c>
      <c r="H24">
        <v>155918.25414027899</v>
      </c>
      <c r="I24">
        <v>276913.54435796983</v>
      </c>
      <c r="J24">
        <v>0</v>
      </c>
      <c r="K24">
        <v>0</v>
      </c>
      <c r="L24">
        <v>195493.9634015357</v>
      </c>
      <c r="M24">
        <v>320591.34398076223</v>
      </c>
      <c r="N24">
        <v>0</v>
      </c>
      <c r="O24">
        <v>178332.87</v>
      </c>
    </row>
    <row r="25" spans="1:15" x14ac:dyDescent="0.25">
      <c r="A25">
        <v>2047</v>
      </c>
      <c r="B25">
        <v>27294.203119900354</v>
      </c>
      <c r="C25">
        <v>38991.718742714802</v>
      </c>
      <c r="D25">
        <v>58487.578114072181</v>
      </c>
      <c r="E25">
        <v>118220</v>
      </c>
      <c r="F25">
        <v>0</v>
      </c>
      <c r="G25">
        <v>0</v>
      </c>
      <c r="H25">
        <v>149681.52397466783</v>
      </c>
      <c r="I25">
        <v>265837.00258365105</v>
      </c>
      <c r="J25">
        <v>0</v>
      </c>
      <c r="K25">
        <v>0</v>
      </c>
      <c r="L25">
        <v>187674.20486547425</v>
      </c>
      <c r="M25">
        <v>307767.69022153172</v>
      </c>
      <c r="N25">
        <v>0</v>
      </c>
      <c r="O25">
        <v>174720.11</v>
      </c>
    </row>
    <row r="26" spans="1:15" x14ac:dyDescent="0.25">
      <c r="A26">
        <v>2048</v>
      </c>
      <c r="B26">
        <v>26884.790073101849</v>
      </c>
      <c r="C26">
        <v>38406.842961574082</v>
      </c>
      <c r="D26">
        <v>57610.264442361098</v>
      </c>
      <c r="E26">
        <v>116840</v>
      </c>
      <c r="F26">
        <v>0</v>
      </c>
      <c r="G26">
        <v>0</v>
      </c>
      <c r="H26">
        <v>143694.26301568112</v>
      </c>
      <c r="I26">
        <v>255203.52248030499</v>
      </c>
      <c r="J26">
        <v>0</v>
      </c>
      <c r="K26">
        <v>0</v>
      </c>
      <c r="L26">
        <v>180167.23667085529</v>
      </c>
      <c r="M26">
        <v>295456.98261267046</v>
      </c>
      <c r="N26">
        <v>0</v>
      </c>
      <c r="O26">
        <v>171187.17</v>
      </c>
    </row>
    <row r="27" spans="1:15" x14ac:dyDescent="0.25">
      <c r="A27">
        <v>2049</v>
      </c>
      <c r="B27">
        <v>26481.518222005321</v>
      </c>
      <c r="C27">
        <v>37830.74031715047</v>
      </c>
      <c r="D27">
        <v>56746.110475725684</v>
      </c>
      <c r="E27">
        <v>115460</v>
      </c>
      <c r="F27">
        <v>0</v>
      </c>
      <c r="G27">
        <v>0</v>
      </c>
      <c r="H27">
        <v>137946.49249505388</v>
      </c>
      <c r="I27">
        <v>244995.38158109278</v>
      </c>
      <c r="J27">
        <v>0</v>
      </c>
      <c r="K27">
        <v>0</v>
      </c>
      <c r="L27">
        <v>172960.54720402107</v>
      </c>
      <c r="M27">
        <v>283638.70330816362</v>
      </c>
      <c r="N27">
        <v>0</v>
      </c>
      <c r="O27">
        <v>167732.98000000001</v>
      </c>
    </row>
    <row r="28" spans="1:15" x14ac:dyDescent="0.25">
      <c r="A28">
        <v>2050</v>
      </c>
      <c r="B28">
        <v>26084.295448675242</v>
      </c>
      <c r="C28">
        <v>37263.279212393216</v>
      </c>
      <c r="D28">
        <v>55894.918818589795</v>
      </c>
      <c r="E28">
        <v>114080</v>
      </c>
      <c r="F28">
        <v>0</v>
      </c>
      <c r="G28">
        <v>0</v>
      </c>
      <c r="H28">
        <v>132428.63279525173</v>
      </c>
      <c r="I28">
        <v>235195.56631784906</v>
      </c>
      <c r="J28">
        <v>0</v>
      </c>
      <c r="K28">
        <v>0</v>
      </c>
      <c r="L28">
        <v>166042.12531586023</v>
      </c>
      <c r="M28">
        <v>272293.15517583705</v>
      </c>
      <c r="N28">
        <v>0</v>
      </c>
      <c r="O28">
        <v>164356.51999999999</v>
      </c>
    </row>
    <row r="33" spans="2:7" x14ac:dyDescent="0.25">
      <c r="B33" s="17"/>
    </row>
    <row r="34" spans="2:7" x14ac:dyDescent="0.25">
      <c r="G34" s="16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22</vt:i4>
      </vt:variant>
    </vt:vector>
  </HeadingPairs>
  <TitlesOfParts>
    <vt:vector size="22" baseType="lpstr">
      <vt:lpstr>Base</vt:lpstr>
      <vt:lpstr>cost_sheet</vt:lpstr>
      <vt:lpstr>locations</vt:lpstr>
      <vt:lpstr>loadfactors</vt:lpstr>
      <vt:lpstr>Technologies</vt:lpstr>
      <vt:lpstr>decommissioning</vt:lpstr>
      <vt:lpstr>dcr</vt:lpstr>
      <vt:lpstr>stocklvl</vt:lpstr>
      <vt:lpstr>installable_capacity</vt:lpstr>
      <vt:lpstr>gas_block</vt:lpstr>
      <vt:lpstr>Tech_Stage_Specs</vt:lpstr>
      <vt:lpstr>Material_Intensity</vt:lpstr>
      <vt:lpstr>Recycling_Costs</vt:lpstr>
      <vt:lpstr>material_blocks</vt:lpstr>
      <vt:lpstr>mining_limit</vt:lpstr>
      <vt:lpstr>mining_cost</vt:lpstr>
      <vt:lpstr>import_cost_mining</vt:lpstr>
      <vt:lpstr>energy_transition_factor</vt:lpstr>
      <vt:lpstr>ore_metal_factor</vt:lpstr>
      <vt:lpstr>Component_Map</vt:lpstr>
      <vt:lpstr>Cost_Data</vt:lpstr>
      <vt:lpstr>Import_Cost_Stage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Oitzinger, Maximilian</dc:creator>
  <cp:lastModifiedBy>Max Oitzinger</cp:lastModifiedBy>
  <dcterms:created xsi:type="dcterms:W3CDTF">2024-10-11T10:38:55Z</dcterms:created>
  <dcterms:modified xsi:type="dcterms:W3CDTF">2026-10-21T08:39:31Z</dcterms:modified>
</cp:coreProperties>
</file>