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extension/"/>
    </mc:Choice>
  </mc:AlternateContent>
  <xr:revisionPtr revIDLastSave="388" documentId="13_ncr:1_{A1CEE875-B6E7-4616-ADB8-CAA4FD821F6B}" xr6:coauthVersionLast="47" xr6:coauthVersionMax="47" xr10:uidLastSave="{39C07CE4-8C5D-4311-B8B6-913E977DEB40}"/>
  <bookViews>
    <workbookView xWindow="-120" yWindow="-120" windowWidth="38640" windowHeight="21120" firstSheet="3" activeTab="9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gas_block" sheetId="13" r:id="rId9"/>
    <sheet name="Tech_Stage_Specs" sheetId="14" r:id="rId10"/>
    <sheet name="Material_Intensity" sheetId="15" r:id="rId11"/>
    <sheet name="Material_Market" sheetId="17" r:id="rId12"/>
    <sheet name="Component_Map" sheetId="18" r:id="rId13"/>
    <sheet name="Cost_Data" sheetId="16" r:id="rId14"/>
    <sheet name="Import_Cost_Stage" sheetId="19" r:id="rId15"/>
  </sheets>
  <definedNames>
    <definedName name="_xlnm._FilterDatabase" localSheetId="8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3" l="1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<sst xmlns="http://schemas.openxmlformats.org/spreadsheetml/2006/main" count="470" uniqueCount="151">
  <si>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</si>
  <si>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</si>
  <si>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</si>
  <si>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</si>
  <si>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</si>
  <si>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</si>
  <si>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</si>
  <si>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</si>
  <si>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</si>
  <si>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</si>
  <si>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</si>
  <si>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</si>
  <si>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</si>
  <si>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</si>
  <si>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</si>
  <si>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</si>
  <si>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</si>
  <si>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</si>
  <si>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</si>
  <si>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</si>
  <si>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</si>
  <si>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</si>
  <si>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</si>
  <si>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</si>
  <si>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</si>
  <si>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</si>
  <si>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</si>
  <si>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</si>
  <si>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</si>
  <si>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</si>
  <si>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</si>
  <si>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</si>
  <si>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</si>
  <si>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</si>
  <si>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</si>
  <si>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</si>
  <si>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</si>
  <si>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</si>
  <si>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</si>
  <si>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</si>
  <si>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</si>
  <si>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</si>
  <si>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</si>
  <si>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</si>
  <si>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</si>
  <si>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</si>
  <si>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</si>
  <si>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</si>
  <si>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</si>
  <si>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</si>
  <si>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</si>
  <si>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</si>
  <si>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</si>
  <si>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</si>
  <si>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</si>
  <si>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</si>
  <si>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</si>
  <si>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</si>
  <si>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</si>
  <si>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</si>
  <si>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</si>
  <si>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</si>
  <si>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</si>
  <si>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</si>
  <si>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</si>
  <si>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</si>
  <si>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</si>
  <si>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</si>
  <si>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</si>
  <si>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</si>
  <si>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</si>
  <si>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</si>
  <si>
    <t>build_time_lag</t>
  </si>
  <si>
    <t>energy_needs</t>
  </si>
  <si>
    <t>is_final_stage</t>
  </si>
  <si>
    <t>solarPV</t>
  </si>
  <si>
    <t>windon</t>
  </si>
  <si>
    <t>windoff</t>
  </si>
  <si>
    <t xml:space="preserve">note </t>
  </si>
  <si>
    <t>finished</t>
  </si>
  <si>
    <t>host</t>
  </si>
  <si>
    <t>unique</t>
  </si>
  <si>
    <t>Technology</t>
  </si>
  <si>
    <t>Stage</t>
  </si>
  <si>
    <t>Material</t>
  </si>
  <si>
    <t>Silicon</t>
  </si>
  <si>
    <t>3.0</t>
  </si>
  <si>
    <t>0.95</t>
  </si>
  <si>
    <t>Cell</t>
  </si>
  <si>
    <t>Silver</t>
  </si>
  <si>
    <t>0.05</t>
  </si>
  <si>
    <t>0.98</t>
  </si>
  <si>
    <t>Module</t>
  </si>
  <si>
    <t>Glass</t>
  </si>
  <si>
    <t>40.0</t>
  </si>
  <si>
    <t>38.0</t>
  </si>
  <si>
    <t>0.90</t>
  </si>
  <si>
    <t>Aluminum</t>
  </si>
  <si>
    <t>5.0</t>
  </si>
  <si>
    <t>0.85</t>
  </si>
  <si>
    <t>Blade</t>
  </si>
  <si>
    <t>Composite</t>
  </si>
  <si>
    <t>12.0</t>
  </si>
  <si>
    <t>0.50</t>
  </si>
  <si>
    <t>Tower</t>
  </si>
  <si>
    <t>Steel</t>
  </si>
  <si>
    <t>150.0</t>
  </si>
  <si>
    <t>Nacelle</t>
  </si>
  <si>
    <t>Copper</t>
  </si>
  <si>
    <t>2.0</t>
  </si>
  <si>
    <t>RareEarth</t>
  </si>
  <si>
    <t>0.1</t>
  </si>
  <si>
    <t>0.80</t>
  </si>
  <si>
    <t>Batteries</t>
  </si>
  <si>
    <t>Lithium</t>
  </si>
  <si>
    <t>0.8</t>
  </si>
  <si>
    <t>Cobalt</t>
  </si>
  <si>
    <t>0.2</t>
  </si>
  <si>
    <t>Year</t>
  </si>
  <si>
    <t>Location</t>
  </si>
  <si>
    <t>Wafer</t>
  </si>
  <si>
    <t>1.0</t>
  </si>
  <si>
    <t>Assembly</t>
  </si>
  <si>
    <t>Cons_Tech</t>
  </si>
  <si>
    <t>Cons_Stage</t>
  </si>
  <si>
    <t>Input_Tech</t>
  </si>
  <si>
    <t>Input_Stage</t>
  </si>
  <si>
    <t>Ratio</t>
  </si>
  <si>
    <t>rec_efficiency</t>
  </si>
  <si>
    <t>intensity</t>
  </si>
  <si>
    <t>scrap_content</t>
  </si>
  <si>
    <t>mining_cost</t>
  </si>
  <si>
    <t>import_cost</t>
  </si>
  <si>
    <t>mining_limit</t>
  </si>
  <si>
    <t>capex_base</t>
  </si>
  <si>
    <t>opex_var_base</t>
  </si>
  <si>
    <t>init_cap</t>
  </si>
  <si>
    <t>solarPV_Wafer</t>
  </si>
  <si>
    <t>solarPV_Cell</t>
  </si>
  <si>
    <t>windon_Blade</t>
  </si>
  <si>
    <t>windon_Tower</t>
  </si>
  <si>
    <t>windon_Nacelle</t>
  </si>
  <si>
    <t>windon_Assembly</t>
  </si>
  <si>
    <t>windoff_Foundation</t>
  </si>
  <si>
    <t>windoff_Assembly</t>
  </si>
  <si>
    <t>solarPV_Module</t>
  </si>
  <si>
    <t>Polysilicon</t>
  </si>
  <si>
    <t>solarPV_Polysilicon</t>
  </si>
  <si>
    <t>Batteries_Assembly</t>
  </si>
  <si>
    <t>Batteries_Cell</t>
  </si>
  <si>
    <t>finished, happens on-site so no limitation, will be limited by installable 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</si>
</sst>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0" fillId="7" borderId="0" xfId="0" applyFill="1"/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opLeftCell="G1" workbookViewId="0">
      <selection activeCell="Q2" sqref="Q2:Q28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63</v>
      </c>
      <c r="G1" t="s">
        <v>28</v>
      </c>
      <c r="H1" t="s">
        <v>29</v>
      </c>
      <c r="I1" t="s">
        <v>30</v>
      </c>
      <c r="J1" t="s">
        <v>38</v>
      </c>
      <c r="K1" t="s">
        <v>64</v>
      </c>
      <c r="L1" t="s">
        <v>43</v>
      </c>
      <c r="M1" t="s">
        <v>44</v>
      </c>
      <c r="N1" t="s">
        <v>45</v>
      </c>
      <c r="O1" t="s">
        <v>46</v>
      </c>
      <c r="P1" t="s">
        <v>65</v>
      </c>
      <c r="Q1" t="s">
        <v>52</v>
      </c>
      <c r="R1" t="s">
        <v>53</v>
      </c>
      <c r="S1" t="s">
        <v>54</v>
      </c>
      <c r="T1" t="s">
        <v>55</v>
      </c>
      <c r="U1" t="s">
        <v>66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527469.86</v>
      </c>
      <c r="S2" s="8">
        <v>519061.86</v>
      </c>
      <c r="T2">
        <v>1000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519061.86</v>
      </c>
      <c r="T3">
        <v>1000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506302.5</v>
      </c>
      <c r="S4" s="8">
        <v>519061.86</v>
      </c>
      <c r="T4">
        <v>1000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519061.86</v>
      </c>
      <c r="T5">
        <v>1000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485929.01</v>
      </c>
      <c r="S6" s="8">
        <v>519061.86</v>
      </c>
      <c r="T6">
        <v>1000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476033.18</v>
      </c>
      <c r="S7" s="8">
        <v>519061.86</v>
      </c>
      <c r="T7">
        <v>1000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466327.8</v>
      </c>
      <c r="S8" s="8">
        <v>519061.86</v>
      </c>
      <c r="T8">
        <v>1000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456810.3</v>
      </c>
      <c r="S9" s="8">
        <v>519061.86</v>
      </c>
      <c r="T9">
        <v>1000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447478.16</v>
      </c>
      <c r="S10" s="8">
        <v>519061.86</v>
      </c>
      <c r="T10">
        <v>1000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438328.91</v>
      </c>
      <c r="S11" s="8">
        <v>519061.86</v>
      </c>
      <c r="T11">
        <v>1000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429360.14</v>
      </c>
      <c r="S12" s="8">
        <v>519061.86</v>
      </c>
      <c r="T12">
        <v>1000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420569.49</v>
      </c>
      <c r="S13" s="8">
        <v>519061.86</v>
      </c>
      <c r="T13">
        <v>1000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411954.65</v>
      </c>
      <c r="S14" s="8">
        <v>519061.86</v>
      </c>
      <c r="T14">
        <v>1000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403513.36</v>
      </c>
      <c r="S15" s="8">
        <v>519061.86</v>
      </c>
      <c r="T15">
        <v>1000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395243.39</v>
      </c>
      <c r="S16" s="8">
        <v>519061.86</v>
      </c>
      <c r="T16">
        <v>1000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387142.59</v>
      </c>
      <c r="S17" s="8">
        <v>519061.86</v>
      </c>
      <c r="T17">
        <v>1000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379208.83</v>
      </c>
      <c r="S18" s="8">
        <v>519061.86</v>
      </c>
      <c r="T18">
        <v>1000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371440.05</v>
      </c>
      <c r="S19" s="8">
        <v>519061.86</v>
      </c>
      <c r="T19">
        <v>1000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363834.24</v>
      </c>
      <c r="S20" s="8">
        <v>519061.86</v>
      </c>
      <c r="T20">
        <v>1000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356389.41</v>
      </c>
      <c r="S21" s="8">
        <v>519061.86</v>
      </c>
      <c r="T21">
        <v>1000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349103.66</v>
      </c>
      <c r="S22" s="8">
        <v>519061.86</v>
      </c>
      <c r="T22">
        <v>1000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341975.1</v>
      </c>
      <c r="S23" s="8">
        <v>519061.86</v>
      </c>
      <c r="T23">
        <v>1000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519061.86</v>
      </c>
      <c r="T24">
        <v>1000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519061.86</v>
      </c>
      <c r="T25">
        <v>1000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519061.86</v>
      </c>
      <c r="T26">
        <v>1000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519061.86</v>
      </c>
      <c r="T27">
        <v>1000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519061.86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D1" sqref="D1:E2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F27" sqref="F27"/>
    </sheetView>
  </sheetViews>
  <sheetFormatPr baseColWidth="10" defaultRowHeight="15" x14ac:dyDescent="0.25"/>
  <cols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76.923000000000002</v>
      </c>
      <c r="Q2" s="6">
        <v>76.923000000000002</v>
      </c>
      <c r="R2" s="6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118</v>
      </c>
      <c r="Q3" s="6">
        <v>118</v>
      </c>
      <c r="R3" s="6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118</v>
      </c>
      <c r="Q4" s="6">
        <v>118</v>
      </c>
      <c r="R4" s="6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6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9" sqref="B9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F47" sqref="F47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09"/>
  <sheetViews>
    <sheetView topLeftCell="A94" workbookViewId="0">
      <selection activeCell="I124" sqref="I124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67</v>
      </c>
      <c r="B1" s="11" t="s">
        <v>60</v>
      </c>
      <c r="C1" s="11" t="s">
        <v>61</v>
      </c>
      <c r="D1" s="11" t="s">
        <v>62</v>
      </c>
    </row>
    <row r="2" spans="1:5" x14ac:dyDescent="0.25">
      <c r="A2" s="12">
        <v>2024</v>
      </c>
      <c r="B2" s="11" t="s">
        <v>69</v>
      </c>
      <c r="C2" s="2">
        <v>270613611.10000002</v>
      </c>
      <c r="D2">
        <v>29.19</v>
      </c>
    </row>
    <row r="3" spans="1:5" x14ac:dyDescent="0.25">
      <c r="A3" s="12"/>
      <c r="B3" s="11" t="s">
        <v>70</v>
      </c>
      <c r="C3" s="2">
        <v>1047284444</v>
      </c>
      <c r="D3">
        <v>42.69</v>
      </c>
      <c r="E3" s="2"/>
    </row>
    <row r="4" spans="1:5" x14ac:dyDescent="0.25">
      <c r="A4" s="12"/>
      <c r="B4" s="11" t="s">
        <v>71</v>
      </c>
      <c r="C4" s="2">
        <v>2930833333</v>
      </c>
      <c r="D4">
        <v>150</v>
      </c>
    </row>
    <row r="5" spans="1:5" x14ac:dyDescent="0.25">
      <c r="A5" s="12"/>
      <c r="B5" s="11" t="s">
        <v>68</v>
      </c>
      <c r="C5" s="2">
        <v>484006334</v>
      </c>
      <c r="D5">
        <v>22.68</v>
      </c>
    </row>
    <row r="6" spans="1:5" x14ac:dyDescent="0.25">
      <c r="A6" s="12">
        <v>2025</v>
      </c>
      <c r="B6" s="11" t="s">
        <v>69</v>
      </c>
      <c r="C6" s="2">
        <v>270613611.10000002</v>
      </c>
      <c r="D6">
        <v>29.19</v>
      </c>
    </row>
    <row r="7" spans="1:5" x14ac:dyDescent="0.25">
      <c r="A7" s="12"/>
      <c r="B7" s="11" t="s">
        <v>70</v>
      </c>
      <c r="C7" s="2">
        <v>1047284444</v>
      </c>
      <c r="D7">
        <v>42.69</v>
      </c>
    </row>
    <row r="8" spans="1:5" x14ac:dyDescent="0.25">
      <c r="A8" s="12"/>
      <c r="B8" s="11" t="s">
        <v>71</v>
      </c>
      <c r="C8" s="2">
        <v>2930833333</v>
      </c>
      <c r="D8">
        <v>150</v>
      </c>
    </row>
    <row r="9" spans="1:5" x14ac:dyDescent="0.25">
      <c r="A9" s="12"/>
      <c r="B9" s="11" t="s">
        <v>68</v>
      </c>
      <c r="C9" s="2">
        <f>SUM(C5*(1-0.04052))</f>
        <v>464394397.34631997</v>
      </c>
      <c r="D9">
        <v>22.545000000000002</v>
      </c>
    </row>
    <row r="10" spans="1:5" x14ac:dyDescent="0.25">
      <c r="A10" s="12">
        <v>2026</v>
      </c>
      <c r="B10" s="11" t="s">
        <v>69</v>
      </c>
      <c r="C10" s="2">
        <v>270613611.10000002</v>
      </c>
      <c r="D10">
        <v>29.19</v>
      </c>
    </row>
    <row r="11" spans="1:5" x14ac:dyDescent="0.25">
      <c r="A11" s="12"/>
      <c r="B11" s="11" t="s">
        <v>70</v>
      </c>
      <c r="C11" s="2">
        <v>1047284444</v>
      </c>
      <c r="D11">
        <v>42.69</v>
      </c>
    </row>
    <row r="12" spans="1:5" x14ac:dyDescent="0.25">
      <c r="A12" s="12"/>
      <c r="B12" s="11" t="s">
        <v>71</v>
      </c>
      <c r="C12" s="2">
        <v>2930833333</v>
      </c>
      <c r="D12">
        <v>150</v>
      </c>
    </row>
    <row r="13" spans="1:5" x14ac:dyDescent="0.25">
      <c r="A13" s="12"/>
      <c r="B13" s="11" t="s">
        <v>68</v>
      </c>
      <c r="C13" s="2">
        <f>SUM(C9*(1-0.04052))</f>
        <v>445577136.36584711</v>
      </c>
      <c r="D13">
        <v>22.41</v>
      </c>
    </row>
    <row r="14" spans="1:5" x14ac:dyDescent="0.25">
      <c r="A14" s="12">
        <v>2027</v>
      </c>
      <c r="B14" s="11" t="s">
        <v>69</v>
      </c>
      <c r="C14" s="2">
        <v>270613611.10000002</v>
      </c>
      <c r="D14">
        <v>29.19</v>
      </c>
    </row>
    <row r="15" spans="1:5" x14ac:dyDescent="0.25">
      <c r="A15" s="12"/>
      <c r="B15" s="11" t="s">
        <v>70</v>
      </c>
      <c r="C15" s="2">
        <v>1047284444</v>
      </c>
      <c r="D15">
        <v>42.69</v>
      </c>
    </row>
    <row r="16" spans="1:5" x14ac:dyDescent="0.25">
      <c r="A16" s="12"/>
      <c r="B16" s="11" t="s">
        <v>71</v>
      </c>
      <c r="C16" s="2">
        <v>2930833333</v>
      </c>
      <c r="D16">
        <v>150</v>
      </c>
    </row>
    <row r="17" spans="1:4" x14ac:dyDescent="0.25">
      <c r="A17" s="12"/>
      <c r="B17" s="11" t="s">
        <v>68</v>
      </c>
      <c r="C17" s="2">
        <f>SUM(C13*(1-0.04052))</f>
        <v>427522350.80030298</v>
      </c>
      <c r="D17">
        <v>22.274999999999999</v>
      </c>
    </row>
    <row r="18" spans="1:4" x14ac:dyDescent="0.25">
      <c r="A18" s="12">
        <v>2028</v>
      </c>
      <c r="B18" s="11" t="s">
        <v>69</v>
      </c>
      <c r="C18" s="2">
        <v>270613611.10000002</v>
      </c>
      <c r="D18">
        <v>29.19</v>
      </c>
    </row>
    <row r="19" spans="1:4" x14ac:dyDescent="0.25">
      <c r="A19" s="12"/>
      <c r="B19" s="11" t="s">
        <v>70</v>
      </c>
      <c r="C19" s="2">
        <v>1047284444</v>
      </c>
      <c r="D19">
        <v>42.69</v>
      </c>
    </row>
    <row r="20" spans="1:4" x14ac:dyDescent="0.25">
      <c r="A20" s="12"/>
      <c r="B20" s="11" t="s">
        <v>71</v>
      </c>
      <c r="C20" s="2">
        <v>2930833333</v>
      </c>
      <c r="D20">
        <v>150</v>
      </c>
    </row>
    <row r="21" spans="1:4" x14ac:dyDescent="0.25">
      <c r="A21" s="12"/>
      <c r="B21" s="11" t="s">
        <v>68</v>
      </c>
      <c r="C21" s="2">
        <f>SUM(C17*(1-0.04052))</f>
        <v>410199145.14587468</v>
      </c>
      <c r="D21">
        <v>22.14</v>
      </c>
    </row>
    <row r="22" spans="1:4" x14ac:dyDescent="0.25">
      <c r="A22" s="12">
        <v>2029</v>
      </c>
      <c r="B22" s="11" t="s">
        <v>69</v>
      </c>
      <c r="C22" s="2">
        <v>270613611.10000002</v>
      </c>
      <c r="D22">
        <v>29.19</v>
      </c>
    </row>
    <row r="23" spans="1:4" x14ac:dyDescent="0.25">
      <c r="A23" s="12"/>
      <c r="B23" s="11" t="s">
        <v>70</v>
      </c>
      <c r="C23" s="2">
        <v>1047284444</v>
      </c>
      <c r="D23">
        <v>42.69</v>
      </c>
    </row>
    <row r="24" spans="1:4" x14ac:dyDescent="0.25">
      <c r="A24" s="12"/>
      <c r="B24" s="11" t="s">
        <v>71</v>
      </c>
      <c r="C24" s="2">
        <v>2930833333</v>
      </c>
      <c r="D24">
        <v>150</v>
      </c>
    </row>
    <row r="25" spans="1:4" x14ac:dyDescent="0.25">
      <c r="A25" s="12"/>
      <c r="B25" s="11" t="s">
        <v>68</v>
      </c>
      <c r="C25" s="2">
        <f>SUM(C21*(1-0.04052))</f>
        <v>393577875.78456384</v>
      </c>
      <c r="D25">
        <v>22.004999999999999</v>
      </c>
    </row>
    <row r="26" spans="1:4" x14ac:dyDescent="0.25">
      <c r="A26" s="12">
        <v>2030</v>
      </c>
      <c r="B26" s="11" t="s">
        <v>69</v>
      </c>
      <c r="C26" s="2">
        <v>270613611.10000002</v>
      </c>
      <c r="D26">
        <v>29.19</v>
      </c>
    </row>
    <row r="27" spans="1:4" x14ac:dyDescent="0.25">
      <c r="A27" s="12"/>
      <c r="B27" s="11" t="s">
        <v>70</v>
      </c>
      <c r="C27" s="2">
        <v>1047284444</v>
      </c>
      <c r="D27">
        <v>42.69</v>
      </c>
    </row>
    <row r="28" spans="1:4" x14ac:dyDescent="0.25">
      <c r="A28" s="12"/>
      <c r="B28" s="11" t="s">
        <v>71</v>
      </c>
      <c r="C28" s="2">
        <v>2930833333</v>
      </c>
      <c r="D28">
        <v>150</v>
      </c>
    </row>
    <row r="29" spans="1:4" x14ac:dyDescent="0.25">
      <c r="A29" s="12"/>
      <c r="B29" s="11" t="s">
        <v>68</v>
      </c>
      <c r="C29" s="2">
        <f>SUM(C25*(1-0.04052))</f>
        <v>377630100.25777334</v>
      </c>
      <c r="D29">
        <v>21.87</v>
      </c>
    </row>
    <row r="30" spans="1:4" x14ac:dyDescent="0.25">
      <c r="A30" s="12">
        <v>2031</v>
      </c>
      <c r="B30" s="11" t="s">
        <v>69</v>
      </c>
      <c r="C30" s="2">
        <v>270613611.10000002</v>
      </c>
      <c r="D30">
        <v>29.19</v>
      </c>
    </row>
    <row r="31" spans="1:4" x14ac:dyDescent="0.25">
      <c r="A31" s="12"/>
      <c r="B31" s="11" t="s">
        <v>70</v>
      </c>
      <c r="C31" s="2">
        <v>1047284444</v>
      </c>
      <c r="D31">
        <v>42.69</v>
      </c>
    </row>
    <row r="32" spans="1:4" x14ac:dyDescent="0.25">
      <c r="A32" s="12"/>
      <c r="B32" s="11" t="s">
        <v>71</v>
      </c>
      <c r="C32" s="2">
        <v>2930833333</v>
      </c>
      <c r="D32">
        <v>150</v>
      </c>
    </row>
    <row r="33" spans="1:4" x14ac:dyDescent="0.25">
      <c r="A33" s="12"/>
      <c r="B33" s="11" t="s">
        <v>68</v>
      </c>
      <c r="C33" s="2">
        <f>SUM(C29*(1-0.04052))</f>
        <v>362328528.59532839</v>
      </c>
      <c r="D33">
        <v>21.734999999999999</v>
      </c>
    </row>
    <row r="34" spans="1:4" x14ac:dyDescent="0.25">
      <c r="A34" s="12">
        <v>2032</v>
      </c>
      <c r="B34" s="11" t="s">
        <v>69</v>
      </c>
      <c r="C34" s="2">
        <v>270613611.10000002</v>
      </c>
      <c r="D34">
        <v>29.19</v>
      </c>
    </row>
    <row r="35" spans="1:4" x14ac:dyDescent="0.25">
      <c r="A35" s="12"/>
      <c r="B35" s="11" t="s">
        <v>70</v>
      </c>
      <c r="C35" s="2">
        <v>1047284444</v>
      </c>
      <c r="D35">
        <v>42.69</v>
      </c>
    </row>
    <row r="36" spans="1:4" x14ac:dyDescent="0.25">
      <c r="A36" s="12"/>
      <c r="B36" s="11" t="s">
        <v>71</v>
      </c>
      <c r="C36" s="2">
        <v>2930833333</v>
      </c>
      <c r="D36">
        <v>150</v>
      </c>
    </row>
    <row r="37" spans="1:4" x14ac:dyDescent="0.25">
      <c r="A37" s="12"/>
      <c r="B37" s="11" t="s">
        <v>68</v>
      </c>
      <c r="C37" s="2">
        <f>SUM(C33*(1-0.04052))</f>
        <v>347646976.61664569</v>
      </c>
      <c r="D37">
        <v>21.6</v>
      </c>
    </row>
    <row r="38" spans="1:4" x14ac:dyDescent="0.25">
      <c r="A38" s="12">
        <v>2033</v>
      </c>
      <c r="B38" s="11" t="s">
        <v>69</v>
      </c>
      <c r="C38" s="2">
        <v>270613611.10000002</v>
      </c>
      <c r="D38">
        <v>29.19</v>
      </c>
    </row>
    <row r="39" spans="1:4" x14ac:dyDescent="0.25">
      <c r="A39" s="12"/>
      <c r="B39" s="11" t="s">
        <v>70</v>
      </c>
      <c r="C39" s="2">
        <v>1047284444</v>
      </c>
      <c r="D39">
        <v>42.69</v>
      </c>
    </row>
    <row r="40" spans="1:4" x14ac:dyDescent="0.25">
      <c r="A40" s="12"/>
      <c r="B40" s="11" t="s">
        <v>71</v>
      </c>
      <c r="C40" s="2">
        <v>2930833333</v>
      </c>
      <c r="D40">
        <v>150</v>
      </c>
    </row>
    <row r="41" spans="1:4" x14ac:dyDescent="0.25">
      <c r="A41" s="12"/>
      <c r="B41" s="11" t="s">
        <v>68</v>
      </c>
      <c r="C41" s="2">
        <f>SUM(C37*(1-0.04052))</f>
        <v>333560321.12413919</v>
      </c>
      <c r="D41">
        <v>21.465</v>
      </c>
    </row>
    <row r="42" spans="1:4" x14ac:dyDescent="0.25">
      <c r="A42" s="12">
        <v>2034</v>
      </c>
      <c r="B42" s="11" t="s">
        <v>69</v>
      </c>
      <c r="C42" s="2">
        <v>270613611.10000002</v>
      </c>
      <c r="D42">
        <v>29.19</v>
      </c>
    </row>
    <row r="43" spans="1:4" x14ac:dyDescent="0.25">
      <c r="A43" s="12"/>
      <c r="B43" s="11" t="s">
        <v>70</v>
      </c>
      <c r="C43" s="2">
        <v>1047284444</v>
      </c>
      <c r="D43">
        <v>42.69</v>
      </c>
    </row>
    <row r="44" spans="1:4" x14ac:dyDescent="0.25">
      <c r="A44" s="12"/>
      <c r="B44" s="11" t="s">
        <v>71</v>
      </c>
      <c r="C44" s="2">
        <v>2930833333</v>
      </c>
      <c r="D44">
        <v>150</v>
      </c>
    </row>
    <row r="45" spans="1:4" x14ac:dyDescent="0.25">
      <c r="A45" s="12"/>
      <c r="B45" s="11" t="s">
        <v>68</v>
      </c>
      <c r="C45" s="2">
        <f>SUM(C41*(1-0.04052))</f>
        <v>320044456.91218907</v>
      </c>
      <c r="D45">
        <v>21.33</v>
      </c>
    </row>
    <row r="46" spans="1:4" x14ac:dyDescent="0.25">
      <c r="A46" s="12">
        <v>2035</v>
      </c>
      <c r="B46" s="11" t="s">
        <v>69</v>
      </c>
      <c r="C46" s="2">
        <v>270613611.10000002</v>
      </c>
      <c r="D46">
        <v>29.19</v>
      </c>
    </row>
    <row r="47" spans="1:4" x14ac:dyDescent="0.25">
      <c r="A47" s="12"/>
      <c r="B47" s="11" t="s">
        <v>70</v>
      </c>
      <c r="C47" s="2">
        <v>1047284444</v>
      </c>
      <c r="D47">
        <v>42.69</v>
      </c>
    </row>
    <row r="48" spans="1:4" x14ac:dyDescent="0.25">
      <c r="A48" s="12"/>
      <c r="B48" s="11" t="s">
        <v>71</v>
      </c>
      <c r="C48" s="2">
        <v>2930833333</v>
      </c>
      <c r="D48">
        <v>150</v>
      </c>
    </row>
    <row r="49" spans="1:4" x14ac:dyDescent="0.25">
      <c r="A49" s="12"/>
      <c r="B49" s="11" t="s">
        <v>68</v>
      </c>
      <c r="C49" s="2">
        <f>SUM(C45*(1-0.04052))</f>
        <v>307076255.51810718</v>
      </c>
      <c r="D49">
        <v>21.195</v>
      </c>
    </row>
    <row r="50" spans="1:4" x14ac:dyDescent="0.25">
      <c r="A50" s="12">
        <v>2036</v>
      </c>
      <c r="B50" s="11" t="s">
        <v>69</v>
      </c>
      <c r="C50" s="2">
        <v>270613611.10000002</v>
      </c>
      <c r="D50">
        <v>29.19</v>
      </c>
    </row>
    <row r="51" spans="1:4" x14ac:dyDescent="0.25">
      <c r="A51" s="12"/>
      <c r="B51" s="11" t="s">
        <v>70</v>
      </c>
      <c r="C51" s="2">
        <v>1047284444</v>
      </c>
      <c r="D51">
        <v>42.69</v>
      </c>
    </row>
    <row r="52" spans="1:4" x14ac:dyDescent="0.25">
      <c r="A52" s="12"/>
      <c r="B52" s="11" t="s">
        <v>71</v>
      </c>
      <c r="C52" s="2">
        <v>2930833333</v>
      </c>
      <c r="D52">
        <v>150</v>
      </c>
    </row>
    <row r="53" spans="1:4" x14ac:dyDescent="0.25">
      <c r="A53" s="12"/>
      <c r="B53" s="11" t="s">
        <v>68</v>
      </c>
      <c r="C53" s="2">
        <f>SUM(C49*(1-0.04052))</f>
        <v>294633525.64451349</v>
      </c>
      <c r="D53">
        <v>21.06</v>
      </c>
    </row>
    <row r="54" spans="1:4" x14ac:dyDescent="0.25">
      <c r="A54" s="12">
        <v>2037</v>
      </c>
      <c r="B54" s="11" t="s">
        <v>69</v>
      </c>
      <c r="C54" s="2">
        <v>270613611.10000002</v>
      </c>
      <c r="D54">
        <v>29.19</v>
      </c>
    </row>
    <row r="55" spans="1:4" x14ac:dyDescent="0.25">
      <c r="A55" s="12"/>
      <c r="B55" s="11" t="s">
        <v>70</v>
      </c>
      <c r="C55" s="2">
        <v>1047284444</v>
      </c>
      <c r="D55">
        <v>42.69</v>
      </c>
    </row>
    <row r="56" spans="1:4" x14ac:dyDescent="0.25">
      <c r="A56" s="12"/>
      <c r="B56" s="11" t="s">
        <v>71</v>
      </c>
      <c r="C56" s="2">
        <v>2930833333</v>
      </c>
      <c r="D56">
        <v>150</v>
      </c>
    </row>
    <row r="57" spans="1:4" x14ac:dyDescent="0.25">
      <c r="A57" s="12"/>
      <c r="B57" s="11" t="s">
        <v>68</v>
      </c>
      <c r="C57" s="2">
        <f>SUM(C53*(1-0.04052))</f>
        <v>282694975.1853978</v>
      </c>
      <c r="D57">
        <v>20.925000000000001</v>
      </c>
    </row>
    <row r="58" spans="1:4" x14ac:dyDescent="0.25">
      <c r="A58" s="12">
        <v>2038</v>
      </c>
      <c r="B58" s="11" t="s">
        <v>69</v>
      </c>
      <c r="C58" s="2">
        <v>270613611.10000002</v>
      </c>
      <c r="D58">
        <v>29.19</v>
      </c>
    </row>
    <row r="59" spans="1:4" x14ac:dyDescent="0.25">
      <c r="A59" s="12"/>
      <c r="B59" s="11" t="s">
        <v>70</v>
      </c>
      <c r="C59" s="2">
        <v>1047284444</v>
      </c>
      <c r="D59">
        <v>42.69</v>
      </c>
    </row>
    <row r="60" spans="1:4" x14ac:dyDescent="0.25">
      <c r="A60" s="12"/>
      <c r="B60" s="11" t="s">
        <v>71</v>
      </c>
      <c r="C60" s="2">
        <v>2930833333</v>
      </c>
      <c r="D60">
        <v>150</v>
      </c>
    </row>
    <row r="61" spans="1:4" x14ac:dyDescent="0.25">
      <c r="A61" s="12"/>
      <c r="B61" s="11" t="s">
        <v>68</v>
      </c>
      <c r="C61" s="2">
        <f>SUM(C57*(1-0.04052))</f>
        <v>271240174.79088551</v>
      </c>
      <c r="D61">
        <v>20.79</v>
      </c>
    </row>
    <row r="62" spans="1:4" x14ac:dyDescent="0.25">
      <c r="A62" s="12">
        <v>2039</v>
      </c>
      <c r="B62" s="11" t="s">
        <v>69</v>
      </c>
      <c r="C62" s="2">
        <v>270613611.10000002</v>
      </c>
      <c r="D62">
        <v>29.19</v>
      </c>
    </row>
    <row r="63" spans="1:4" x14ac:dyDescent="0.25">
      <c r="A63" s="12"/>
      <c r="B63" s="11" t="s">
        <v>70</v>
      </c>
      <c r="C63" s="2">
        <v>1047284444</v>
      </c>
      <c r="D63">
        <v>42.69</v>
      </c>
    </row>
    <row r="64" spans="1:4" x14ac:dyDescent="0.25">
      <c r="A64" s="12"/>
      <c r="B64" s="11" t="s">
        <v>71</v>
      </c>
      <c r="C64" s="2">
        <v>2930833333</v>
      </c>
      <c r="D64">
        <v>150</v>
      </c>
    </row>
    <row r="65" spans="1:4" x14ac:dyDescent="0.25">
      <c r="A65" s="12"/>
      <c r="B65" s="11" t="s">
        <v>68</v>
      </c>
      <c r="C65" s="2">
        <f>SUM(C61*(1-0.04052))</f>
        <v>260249522.90835881</v>
      </c>
      <c r="D65">
        <v>20.655000000000001</v>
      </c>
    </row>
    <row r="66" spans="1:4" x14ac:dyDescent="0.25">
      <c r="A66" s="12">
        <v>2040</v>
      </c>
      <c r="B66" s="11" t="s">
        <v>69</v>
      </c>
      <c r="C66" s="2">
        <v>270613611.10000002</v>
      </c>
      <c r="D66">
        <v>29.19</v>
      </c>
    </row>
    <row r="67" spans="1:4" x14ac:dyDescent="0.25">
      <c r="A67" s="12"/>
      <c r="B67" s="11" t="s">
        <v>70</v>
      </c>
      <c r="C67" s="2">
        <v>1047284444</v>
      </c>
      <c r="D67">
        <v>42.69</v>
      </c>
    </row>
    <row r="68" spans="1:4" x14ac:dyDescent="0.25">
      <c r="A68" s="12"/>
      <c r="B68" s="11" t="s">
        <v>71</v>
      </c>
      <c r="C68" s="2">
        <v>2930833333</v>
      </c>
      <c r="D68">
        <v>150</v>
      </c>
    </row>
    <row r="69" spans="1:4" x14ac:dyDescent="0.25">
      <c r="A69" s="12"/>
      <c r="B69" s="11" t="s">
        <v>68</v>
      </c>
      <c r="C69" s="2">
        <f>SUM(C65*(1-0.04052))</f>
        <v>249704212.24011213</v>
      </c>
      <c r="D69">
        <v>20.52</v>
      </c>
    </row>
    <row r="70" spans="1:4" x14ac:dyDescent="0.25">
      <c r="A70" s="12">
        <v>2041</v>
      </c>
      <c r="B70" s="11" t="s">
        <v>69</v>
      </c>
      <c r="C70" s="2">
        <v>270613611.10000002</v>
      </c>
      <c r="D70">
        <v>29.19</v>
      </c>
    </row>
    <row r="71" spans="1:4" x14ac:dyDescent="0.25">
      <c r="A71" s="12"/>
      <c r="B71" s="11" t="s">
        <v>70</v>
      </c>
      <c r="C71" s="2">
        <v>1047284444</v>
      </c>
      <c r="D71">
        <v>42.69</v>
      </c>
    </row>
    <row r="72" spans="1:4" x14ac:dyDescent="0.25">
      <c r="A72" s="12"/>
      <c r="B72" s="11" t="s">
        <v>71</v>
      </c>
      <c r="C72" s="2">
        <v>2930833333</v>
      </c>
      <c r="D72">
        <v>150</v>
      </c>
    </row>
    <row r="73" spans="1:4" x14ac:dyDescent="0.25">
      <c r="A73" s="12"/>
      <c r="B73" s="11" t="s">
        <v>68</v>
      </c>
      <c r="C73" s="2">
        <f>SUM(C69*(1-0.04052))</f>
        <v>239586197.56014279</v>
      </c>
      <c r="D73">
        <v>20.52</v>
      </c>
    </row>
    <row r="74" spans="1:4" x14ac:dyDescent="0.25">
      <c r="A74" s="12">
        <v>2042</v>
      </c>
      <c r="B74" s="11" t="s">
        <v>69</v>
      </c>
      <c r="C74" s="2">
        <v>270613611.10000002</v>
      </c>
      <c r="D74">
        <v>29.19</v>
      </c>
    </row>
    <row r="75" spans="1:4" x14ac:dyDescent="0.25">
      <c r="A75" s="12"/>
      <c r="B75" s="11" t="s">
        <v>70</v>
      </c>
      <c r="C75" s="2">
        <v>1047284444</v>
      </c>
      <c r="D75">
        <v>42.69</v>
      </c>
    </row>
    <row r="76" spans="1:4" x14ac:dyDescent="0.25">
      <c r="A76" s="12"/>
      <c r="B76" s="11" t="s">
        <v>71</v>
      </c>
      <c r="C76" s="2">
        <v>2930833333</v>
      </c>
      <c r="D76">
        <v>150</v>
      </c>
    </row>
    <row r="77" spans="1:4" x14ac:dyDescent="0.25">
      <c r="A77" s="12"/>
      <c r="B77" s="11" t="s">
        <v>68</v>
      </c>
      <c r="C77" s="2">
        <f>SUM(C73*(1-0.04052))</f>
        <v>229878164.83500579</v>
      </c>
      <c r="D77">
        <v>20.52</v>
      </c>
    </row>
    <row r="78" spans="1:4" x14ac:dyDescent="0.25">
      <c r="A78" s="12">
        <v>2043</v>
      </c>
      <c r="B78" s="11" t="s">
        <v>69</v>
      </c>
      <c r="C78" s="2">
        <v>270613611.10000002</v>
      </c>
      <c r="D78">
        <v>29.19</v>
      </c>
    </row>
    <row r="79" spans="1:4" x14ac:dyDescent="0.25">
      <c r="A79" s="12"/>
      <c r="B79" s="11" t="s">
        <v>70</v>
      </c>
      <c r="C79" s="2">
        <v>1047284444</v>
      </c>
      <c r="D79">
        <v>42.69</v>
      </c>
    </row>
    <row r="80" spans="1:4" x14ac:dyDescent="0.25">
      <c r="A80" s="12"/>
      <c r="B80" s="11" t="s">
        <v>71</v>
      </c>
      <c r="C80" s="2">
        <v>2930833333</v>
      </c>
      <c r="D80">
        <v>150</v>
      </c>
    </row>
    <row r="81" spans="1:4" x14ac:dyDescent="0.25">
      <c r="A81" s="12"/>
      <c r="B81" s="11" t="s">
        <v>68</v>
      </c>
      <c r="C81" s="2">
        <f>SUM(C77*(1-0.04052))</f>
        <v>220563501.59589136</v>
      </c>
      <c r="D81">
        <v>20.52</v>
      </c>
    </row>
    <row r="82" spans="1:4" x14ac:dyDescent="0.25">
      <c r="A82" s="12">
        <v>2044</v>
      </c>
      <c r="B82" s="11" t="s">
        <v>69</v>
      </c>
      <c r="C82" s="2">
        <v>270613611.10000002</v>
      </c>
      <c r="D82">
        <v>29.19</v>
      </c>
    </row>
    <row r="83" spans="1:4" x14ac:dyDescent="0.25">
      <c r="A83" s="12"/>
      <c r="B83" s="11" t="s">
        <v>70</v>
      </c>
      <c r="C83" s="2">
        <v>1047284444</v>
      </c>
      <c r="D83">
        <v>42.69</v>
      </c>
    </row>
    <row r="84" spans="1:4" x14ac:dyDescent="0.25">
      <c r="A84" s="12"/>
      <c r="B84" s="11" t="s">
        <v>71</v>
      </c>
      <c r="C84" s="2">
        <v>2930833333</v>
      </c>
      <c r="D84">
        <v>150</v>
      </c>
    </row>
    <row r="85" spans="1:4" x14ac:dyDescent="0.25">
      <c r="A85" s="12"/>
      <c r="B85" s="11" t="s">
        <v>68</v>
      </c>
      <c r="C85" s="2">
        <f>SUM(C81*(1-0.04052))</f>
        <v>211626268.51122585</v>
      </c>
      <c r="D85">
        <v>20.52</v>
      </c>
    </row>
    <row r="86" spans="1:4" x14ac:dyDescent="0.25">
      <c r="A86" s="12">
        <v>2045</v>
      </c>
      <c r="B86" s="11" t="s">
        <v>69</v>
      </c>
      <c r="C86" s="2">
        <v>270613611.10000002</v>
      </c>
      <c r="D86">
        <v>29.19</v>
      </c>
    </row>
    <row r="87" spans="1:4" x14ac:dyDescent="0.25">
      <c r="A87" s="12"/>
      <c r="B87" s="11" t="s">
        <v>70</v>
      </c>
      <c r="C87" s="2">
        <v>1047284444</v>
      </c>
      <c r="D87">
        <v>42.69</v>
      </c>
    </row>
    <row r="88" spans="1:4" x14ac:dyDescent="0.25">
      <c r="A88" s="12"/>
      <c r="B88" s="11" t="s">
        <v>71</v>
      </c>
      <c r="C88" s="2">
        <v>2930833333</v>
      </c>
      <c r="D88">
        <v>150</v>
      </c>
    </row>
    <row r="89" spans="1:4" x14ac:dyDescent="0.25">
      <c r="A89" s="12"/>
      <c r="B89" s="11" t="s">
        <v>68</v>
      </c>
      <c r="C89" s="2">
        <f>SUM(C85*(1-0.04052))</f>
        <v>203051172.11115098</v>
      </c>
      <c r="D89">
        <v>20.52</v>
      </c>
    </row>
    <row r="90" spans="1:4" x14ac:dyDescent="0.25">
      <c r="A90" s="12">
        <v>2046</v>
      </c>
      <c r="B90" s="11" t="s">
        <v>69</v>
      </c>
      <c r="C90" s="2">
        <v>270613611.10000002</v>
      </c>
      <c r="D90">
        <v>29.19</v>
      </c>
    </row>
    <row r="91" spans="1:4" x14ac:dyDescent="0.25">
      <c r="A91" s="12"/>
      <c r="B91" s="11" t="s">
        <v>70</v>
      </c>
      <c r="C91" s="2">
        <v>1047284444</v>
      </c>
      <c r="D91">
        <v>42.69</v>
      </c>
    </row>
    <row r="92" spans="1:4" x14ac:dyDescent="0.25">
      <c r="A92" s="12"/>
      <c r="B92" s="11" t="s">
        <v>71</v>
      </c>
      <c r="C92" s="2">
        <v>2930833333</v>
      </c>
      <c r="D92">
        <v>150</v>
      </c>
    </row>
    <row r="93" spans="1:4" x14ac:dyDescent="0.25">
      <c r="A93" s="12"/>
      <c r="B93" s="11" t="s">
        <v>68</v>
      </c>
      <c r="C93" s="2">
        <f>SUM(C89*(1-0.04052))</f>
        <v>194823538.61720714</v>
      </c>
      <c r="D93">
        <v>20.52</v>
      </c>
    </row>
    <row r="94" spans="1:4" x14ac:dyDescent="0.25">
      <c r="A94" s="12">
        <v>2047</v>
      </c>
      <c r="B94" s="11" t="s">
        <v>69</v>
      </c>
      <c r="C94" s="2">
        <v>270613611.10000002</v>
      </c>
      <c r="D94">
        <v>29.19</v>
      </c>
    </row>
    <row r="95" spans="1:4" x14ac:dyDescent="0.25">
      <c r="A95" s="12"/>
      <c r="B95" s="11" t="s">
        <v>70</v>
      </c>
      <c r="C95" s="2">
        <v>1047284444</v>
      </c>
      <c r="D95">
        <v>42.69</v>
      </c>
    </row>
    <row r="96" spans="1:4" x14ac:dyDescent="0.25">
      <c r="A96" s="12"/>
      <c r="B96" s="11" t="s">
        <v>71</v>
      </c>
      <c r="C96" s="2">
        <v>2930833333</v>
      </c>
      <c r="D96">
        <v>150</v>
      </c>
    </row>
    <row r="97" spans="1:4" x14ac:dyDescent="0.25">
      <c r="A97" s="12"/>
      <c r="B97" s="11" t="s">
        <v>68</v>
      </c>
      <c r="C97" s="2">
        <f>SUM(C93*(1-0.04052))</f>
        <v>186929288.8324379</v>
      </c>
      <c r="D97">
        <v>20.52</v>
      </c>
    </row>
    <row r="98" spans="1:4" x14ac:dyDescent="0.25">
      <c r="A98" s="12">
        <v>2048</v>
      </c>
      <c r="B98" s="11" t="s">
        <v>69</v>
      </c>
      <c r="C98" s="2">
        <v>270613611.10000002</v>
      </c>
      <c r="D98">
        <v>29.19</v>
      </c>
    </row>
    <row r="99" spans="1:4" x14ac:dyDescent="0.25">
      <c r="A99" s="12"/>
      <c r="B99" s="11" t="s">
        <v>70</v>
      </c>
      <c r="C99" s="2">
        <v>1047284444</v>
      </c>
      <c r="D99">
        <v>42.69</v>
      </c>
    </row>
    <row r="100" spans="1:4" x14ac:dyDescent="0.25">
      <c r="A100" s="12"/>
      <c r="B100" s="11" t="s">
        <v>71</v>
      </c>
      <c r="C100" s="2">
        <v>2930833333</v>
      </c>
      <c r="D100">
        <v>150</v>
      </c>
    </row>
    <row r="101" spans="1:4" x14ac:dyDescent="0.25">
      <c r="A101" s="12"/>
      <c r="B101" s="11" t="s">
        <v>68</v>
      </c>
      <c r="C101" s="2">
        <f>SUM(C97*(1-0.04052))</f>
        <v>179354914.04894751</v>
      </c>
      <c r="D101">
        <v>20.52</v>
      </c>
    </row>
    <row r="102" spans="1:4" x14ac:dyDescent="0.25">
      <c r="A102" s="12">
        <v>2049</v>
      </c>
      <c r="B102" s="11" t="s">
        <v>69</v>
      </c>
      <c r="C102" s="2">
        <v>270613611.10000002</v>
      </c>
      <c r="D102">
        <v>29.19</v>
      </c>
    </row>
    <row r="103" spans="1:4" x14ac:dyDescent="0.25">
      <c r="A103" s="12"/>
      <c r="B103" s="11" t="s">
        <v>70</v>
      </c>
      <c r="C103" s="2">
        <v>1047284444</v>
      </c>
      <c r="D103">
        <v>42.69</v>
      </c>
    </row>
    <row r="104" spans="1:4" x14ac:dyDescent="0.25">
      <c r="A104" s="12"/>
      <c r="B104" s="11" t="s">
        <v>71</v>
      </c>
      <c r="C104" s="2">
        <v>2930833333</v>
      </c>
      <c r="D104">
        <v>150</v>
      </c>
    </row>
    <row r="105" spans="1:4" x14ac:dyDescent="0.25">
      <c r="A105" s="12"/>
      <c r="B105" s="11" t="s">
        <v>68</v>
      </c>
      <c r="C105" s="2">
        <f>SUM(C101*(1-0.04052))</f>
        <v>172087452.93168417</v>
      </c>
      <c r="D105">
        <v>20.52</v>
      </c>
    </row>
    <row r="106" spans="1:4" x14ac:dyDescent="0.25">
      <c r="A106" s="12">
        <v>2050</v>
      </c>
      <c r="B106" s="11" t="s">
        <v>69</v>
      </c>
      <c r="C106" s="2">
        <v>270613611.10000002</v>
      </c>
      <c r="D106">
        <v>29.19</v>
      </c>
    </row>
    <row r="107" spans="1:4" x14ac:dyDescent="0.25">
      <c r="A107" s="12"/>
      <c r="B107" s="11" t="s">
        <v>70</v>
      </c>
      <c r="C107" s="2">
        <v>1047284444</v>
      </c>
      <c r="D107">
        <v>42.69</v>
      </c>
    </row>
    <row r="108" spans="1:4" x14ac:dyDescent="0.25">
      <c r="A108" s="12"/>
      <c r="B108" s="11" t="s">
        <v>71</v>
      </c>
      <c r="C108" s="2">
        <v>2930833333</v>
      </c>
      <c r="D108">
        <v>150</v>
      </c>
    </row>
    <row r="109" spans="1:4" x14ac:dyDescent="0.25">
      <c r="A109" s="12"/>
      <c r="B109" s="11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102:A105"/>
    <mergeCell ref="A106:A109"/>
    <mergeCell ref="A82:A85"/>
    <mergeCell ref="A86:A89"/>
    <mergeCell ref="A90:A93"/>
    <mergeCell ref="A94:A97"/>
    <mergeCell ref="A98:A101"/>
    <mergeCell ref="A62:A65"/>
    <mergeCell ref="A66:A69"/>
    <mergeCell ref="A70:A73"/>
    <mergeCell ref="A74:A77"/>
    <mergeCell ref="A78:A81"/>
    <mergeCell ref="A42:A45"/>
    <mergeCell ref="A46:A49"/>
    <mergeCell ref="A50:A53"/>
    <mergeCell ref="A54:A57"/>
    <mergeCell ref="A58:A61"/>
    <mergeCell ref="A22:A25"/>
    <mergeCell ref="A26:A29"/>
    <mergeCell ref="A30:A33"/>
    <mergeCell ref="A34:A37"/>
    <mergeCell ref="A38:A41"/>
    <mergeCell ref="A2:A5"/>
    <mergeCell ref="A6:A9"/>
    <mergeCell ref="A10:A13"/>
    <mergeCell ref="A14:A17"/>
    <mergeCell ref="A18:A21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0D52F-0ADA-4AC5-8A50-4699398C8904}">
  <dimension ref="A1:H15"/>
  <sheetViews>
    <sheetView tabSelected="1" workbookViewId="0">
      <selection activeCell="H30" sqref="H30"/>
    </sheetView>
  </sheetViews>
  <sheetFormatPr baseColWidth="10" defaultRowHeight="15" x14ac:dyDescent="0.25"/>
  <sheetData>
    <row r="1" spans="1:8" x14ac:dyDescent="0.25">
      <c r="A1" t="s">
        <v>119</v>
      </c>
      <c r="B1" t="s">
        <v>82</v>
      </c>
      <c r="C1" t="s">
        <v>83</v>
      </c>
      <c r="D1" t="s">
        <v>72</v>
      </c>
      <c r="E1" t="s">
        <v>73</v>
      </c>
      <c r="F1" t="s">
        <v>136</v>
      </c>
      <c r="G1" t="s">
        <v>74</v>
      </c>
      <c r="H1" t="s">
        <v>78</v>
      </c>
    </row>
    <row r="2" spans="1:8" x14ac:dyDescent="0.25">
      <c r="A2" t="s">
        <v>16</v>
      </c>
      <c r="B2" t="s">
        <v>75</v>
      </c>
      <c r="C2" t="s">
        <v>146</v>
      </c>
      <c r="D2">
        <v>1</v>
      </c>
      <c r="E2">
        <v>150</v>
      </c>
      <c r="F2" s="7">
        <v>24000</v>
      </c>
      <c r="G2">
        <v>0</v>
      </c>
    </row>
    <row r="3" spans="1:8" x14ac:dyDescent="0.25">
      <c r="A3" t="s">
        <v>16</v>
      </c>
      <c r="B3" t="s">
        <v>75</v>
      </c>
      <c r="C3" t="s">
        <v>120</v>
      </c>
      <c r="D3">
        <v>1</v>
      </c>
      <c r="E3">
        <v>100</v>
      </c>
      <c r="F3" s="7">
        <v>2000</v>
      </c>
      <c r="G3">
        <v>0</v>
      </c>
    </row>
    <row r="4" spans="1:8" x14ac:dyDescent="0.25">
      <c r="A4" t="s">
        <v>16</v>
      </c>
      <c r="B4" t="s">
        <v>75</v>
      </c>
      <c r="C4" t="s">
        <v>88</v>
      </c>
      <c r="D4">
        <v>1</v>
      </c>
      <c r="E4">
        <v>100</v>
      </c>
      <c r="F4" s="7">
        <v>7000</v>
      </c>
      <c r="G4">
        <v>0</v>
      </c>
    </row>
    <row r="5" spans="1:8" x14ac:dyDescent="0.25">
      <c r="A5" t="s">
        <v>16</v>
      </c>
      <c r="B5" t="s">
        <v>75</v>
      </c>
      <c r="C5" t="s">
        <v>92</v>
      </c>
      <c r="D5">
        <v>1</v>
      </c>
      <c r="E5">
        <v>100</v>
      </c>
      <c r="F5" s="7">
        <v>22000</v>
      </c>
      <c r="G5">
        <v>1</v>
      </c>
      <c r="H5" t="s">
        <v>79</v>
      </c>
    </row>
    <row r="6" spans="1:8" x14ac:dyDescent="0.25">
      <c r="A6" t="s">
        <v>16</v>
      </c>
      <c r="B6" t="s">
        <v>76</v>
      </c>
      <c r="C6" t="s">
        <v>100</v>
      </c>
      <c r="D6">
        <v>1</v>
      </c>
      <c r="E6">
        <v>100</v>
      </c>
      <c r="F6" s="7">
        <v>27000</v>
      </c>
      <c r="G6">
        <v>0</v>
      </c>
      <c r="H6" t="s">
        <v>80</v>
      </c>
    </row>
    <row r="7" spans="1:8" x14ac:dyDescent="0.25">
      <c r="A7" t="s">
        <v>16</v>
      </c>
      <c r="B7" t="s">
        <v>76</v>
      </c>
      <c r="C7" t="s">
        <v>104</v>
      </c>
      <c r="D7">
        <v>1</v>
      </c>
      <c r="E7">
        <v>100</v>
      </c>
      <c r="F7" s="7">
        <v>27000</v>
      </c>
      <c r="G7">
        <v>0</v>
      </c>
      <c r="H7" t="s">
        <v>80</v>
      </c>
    </row>
    <row r="8" spans="1:8" x14ac:dyDescent="0.25">
      <c r="A8" t="s">
        <v>16</v>
      </c>
      <c r="B8" t="s">
        <v>76</v>
      </c>
      <c r="C8" t="s">
        <v>107</v>
      </c>
      <c r="D8">
        <v>1</v>
      </c>
      <c r="E8">
        <v>100</v>
      </c>
      <c r="F8" s="7">
        <v>27000</v>
      </c>
      <c r="G8">
        <v>0</v>
      </c>
      <c r="H8" t="s">
        <v>80</v>
      </c>
    </row>
    <row r="9" spans="1:8" x14ac:dyDescent="0.25">
      <c r="A9" t="s">
        <v>16</v>
      </c>
      <c r="B9" t="s">
        <v>76</v>
      </c>
      <c r="C9" t="s">
        <v>122</v>
      </c>
      <c r="D9">
        <v>1</v>
      </c>
      <c r="E9">
        <v>100</v>
      </c>
      <c r="F9" s="7">
        <v>999999</v>
      </c>
      <c r="G9">
        <v>1</v>
      </c>
      <c r="H9" t="s">
        <v>150</v>
      </c>
    </row>
    <row r="10" spans="1:8" x14ac:dyDescent="0.25">
      <c r="A10" t="s">
        <v>16</v>
      </c>
      <c r="B10" t="s">
        <v>77</v>
      </c>
      <c r="C10" t="s">
        <v>100</v>
      </c>
      <c r="D10">
        <v>1</v>
      </c>
      <c r="E10">
        <v>100</v>
      </c>
      <c r="F10">
        <v>100</v>
      </c>
      <c r="G10">
        <v>0</v>
      </c>
      <c r="H10" t="s">
        <v>81</v>
      </c>
    </row>
    <row r="11" spans="1:8" x14ac:dyDescent="0.25">
      <c r="A11" t="s">
        <v>16</v>
      </c>
      <c r="B11" t="s">
        <v>77</v>
      </c>
      <c r="C11" t="s">
        <v>104</v>
      </c>
      <c r="D11">
        <v>1</v>
      </c>
      <c r="E11">
        <v>1</v>
      </c>
      <c r="F11" s="7">
        <v>1</v>
      </c>
      <c r="G11">
        <v>0</v>
      </c>
    </row>
    <row r="12" spans="1:8" x14ac:dyDescent="0.25">
      <c r="A12" t="s">
        <v>16</v>
      </c>
      <c r="B12" t="s">
        <v>77</v>
      </c>
      <c r="C12" t="s">
        <v>107</v>
      </c>
      <c r="E12">
        <v>1</v>
      </c>
      <c r="F12" s="7">
        <v>1</v>
      </c>
      <c r="G12">
        <v>0</v>
      </c>
    </row>
    <row r="13" spans="1:8" x14ac:dyDescent="0.25">
      <c r="A13" t="s">
        <v>16</v>
      </c>
      <c r="B13" t="s">
        <v>77</v>
      </c>
      <c r="C13" t="s">
        <v>122</v>
      </c>
      <c r="D13">
        <v>1</v>
      </c>
      <c r="E13">
        <v>100</v>
      </c>
      <c r="F13" s="7">
        <v>999999</v>
      </c>
      <c r="G13">
        <v>1</v>
      </c>
    </row>
    <row r="14" spans="1:8" x14ac:dyDescent="0.25">
      <c r="A14" t="s">
        <v>16</v>
      </c>
      <c r="B14" t="s">
        <v>113</v>
      </c>
      <c r="C14" t="s">
        <v>88</v>
      </c>
      <c r="D14">
        <v>1</v>
      </c>
      <c r="E14">
        <v>80</v>
      </c>
      <c r="F14">
        <v>100</v>
      </c>
      <c r="G14">
        <v>0</v>
      </c>
    </row>
    <row r="15" spans="1:8" x14ac:dyDescent="0.25">
      <c r="A15" t="s">
        <v>16</v>
      </c>
      <c r="B15" t="s">
        <v>113</v>
      </c>
      <c r="C15" t="s">
        <v>122</v>
      </c>
      <c r="D15">
        <v>1</v>
      </c>
      <c r="E15">
        <v>20</v>
      </c>
      <c r="F15">
        <v>100</v>
      </c>
      <c r="G15">
        <v>1</v>
      </c>
      <c r="H15" t="s">
        <v>150</v>
      </c>
    </row>
  </sheetData>
  <phoneticPr fontId="7" type="noConversion"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1A697-84AA-4F97-BE70-81695B57512E}">
  <dimension ref="A1:F15"/>
  <sheetViews>
    <sheetView workbookViewId="0">
      <selection activeCell="F18" sqref="F18"/>
    </sheetView>
  </sheetViews>
  <sheetFormatPr baseColWidth="10" defaultRowHeight="15" x14ac:dyDescent="0.25"/>
  <sheetData>
    <row r="1" spans="1:6" x14ac:dyDescent="0.25">
      <c r="A1" t="s">
        <v>82</v>
      </c>
      <c r="B1" t="s">
        <v>83</v>
      </c>
      <c r="C1" t="s">
        <v>84</v>
      </c>
      <c r="D1" t="s">
        <v>129</v>
      </c>
      <c r="E1" t="s">
        <v>130</v>
      </c>
      <c r="F1" t="s">
        <v>128</v>
      </c>
    </row>
    <row r="2" spans="1:6" x14ac:dyDescent="0.25">
      <c r="A2" t="s">
        <v>75</v>
      </c>
      <c r="B2" t="s">
        <v>146</v>
      </c>
      <c r="C2" t="s">
        <v>85</v>
      </c>
      <c r="D2" t="s">
        <v>90</v>
      </c>
      <c r="E2" t="s">
        <v>86</v>
      </c>
      <c r="F2" t="s">
        <v>87</v>
      </c>
    </row>
    <row r="3" spans="1:6" x14ac:dyDescent="0.25">
      <c r="A3" t="s">
        <v>75</v>
      </c>
      <c r="B3" t="s">
        <v>88</v>
      </c>
      <c r="C3" t="s">
        <v>89</v>
      </c>
      <c r="D3" t="s">
        <v>90</v>
      </c>
      <c r="E3" t="s">
        <v>90</v>
      </c>
      <c r="F3" t="s">
        <v>91</v>
      </c>
    </row>
    <row r="4" spans="1:6" x14ac:dyDescent="0.25">
      <c r="A4" t="s">
        <v>75</v>
      </c>
      <c r="B4" t="s">
        <v>92</v>
      </c>
      <c r="C4" t="s">
        <v>93</v>
      </c>
      <c r="D4" t="s">
        <v>94</v>
      </c>
      <c r="E4" t="s">
        <v>95</v>
      </c>
      <c r="F4" t="s">
        <v>96</v>
      </c>
    </row>
    <row r="5" spans="1:6" x14ac:dyDescent="0.25">
      <c r="A5" t="s">
        <v>75</v>
      </c>
      <c r="B5" t="s">
        <v>92</v>
      </c>
      <c r="C5" t="s">
        <v>97</v>
      </c>
      <c r="D5" t="s">
        <v>98</v>
      </c>
      <c r="E5" t="s">
        <v>98</v>
      </c>
      <c r="F5" t="s">
        <v>99</v>
      </c>
    </row>
    <row r="6" spans="1:6" x14ac:dyDescent="0.25">
      <c r="A6" t="s">
        <v>76</v>
      </c>
      <c r="B6" t="s">
        <v>100</v>
      </c>
      <c r="C6" t="s">
        <v>101</v>
      </c>
      <c r="D6" t="s">
        <v>102</v>
      </c>
      <c r="E6" t="s">
        <v>102</v>
      </c>
      <c r="F6" t="s">
        <v>103</v>
      </c>
    </row>
    <row r="7" spans="1:6" x14ac:dyDescent="0.25">
      <c r="A7" t="s">
        <v>76</v>
      </c>
      <c r="B7" t="s">
        <v>104</v>
      </c>
      <c r="C7" t="s">
        <v>105</v>
      </c>
      <c r="D7" t="s">
        <v>106</v>
      </c>
      <c r="E7" t="s">
        <v>106</v>
      </c>
      <c r="F7" t="s">
        <v>87</v>
      </c>
    </row>
    <row r="8" spans="1:6" x14ac:dyDescent="0.25">
      <c r="A8" t="s">
        <v>76</v>
      </c>
      <c r="B8" t="s">
        <v>107</v>
      </c>
      <c r="C8" t="s">
        <v>108</v>
      </c>
      <c r="D8" t="s">
        <v>109</v>
      </c>
      <c r="E8" t="s">
        <v>109</v>
      </c>
      <c r="F8" t="s">
        <v>87</v>
      </c>
    </row>
    <row r="9" spans="1:6" x14ac:dyDescent="0.25">
      <c r="A9" t="s">
        <v>76</v>
      </c>
      <c r="B9" t="s">
        <v>107</v>
      </c>
      <c r="C9" t="s">
        <v>110</v>
      </c>
      <c r="D9" t="s">
        <v>111</v>
      </c>
      <c r="E9" t="s">
        <v>111</v>
      </c>
      <c r="F9" t="s">
        <v>112</v>
      </c>
    </row>
    <row r="10" spans="1:6" x14ac:dyDescent="0.25">
      <c r="A10" t="s">
        <v>77</v>
      </c>
      <c r="B10" t="s">
        <v>100</v>
      </c>
      <c r="C10" t="s">
        <v>101</v>
      </c>
      <c r="D10" t="s">
        <v>102</v>
      </c>
      <c r="E10" t="s">
        <v>102</v>
      </c>
      <c r="F10" t="s">
        <v>103</v>
      </c>
    </row>
    <row r="11" spans="1:6" x14ac:dyDescent="0.25">
      <c r="A11" t="s">
        <v>77</v>
      </c>
      <c r="B11" t="s">
        <v>104</v>
      </c>
      <c r="C11" t="s">
        <v>105</v>
      </c>
      <c r="D11" t="s">
        <v>106</v>
      </c>
      <c r="E11" t="s">
        <v>106</v>
      </c>
      <c r="F11" t="s">
        <v>87</v>
      </c>
    </row>
    <row r="12" spans="1:6" x14ac:dyDescent="0.25">
      <c r="A12" t="s">
        <v>77</v>
      </c>
      <c r="B12" t="s">
        <v>107</v>
      </c>
      <c r="C12" t="s">
        <v>108</v>
      </c>
      <c r="D12" t="s">
        <v>109</v>
      </c>
      <c r="E12" t="s">
        <v>109</v>
      </c>
      <c r="F12" t="s">
        <v>87</v>
      </c>
    </row>
    <row r="13" spans="1:6" x14ac:dyDescent="0.25">
      <c r="A13" t="s">
        <v>77</v>
      </c>
      <c r="B13" t="s">
        <v>107</v>
      </c>
      <c r="C13" t="s">
        <v>110</v>
      </c>
      <c r="D13" t="s">
        <v>111</v>
      </c>
      <c r="E13" t="s">
        <v>111</v>
      </c>
      <c r="F13" t="s">
        <v>112</v>
      </c>
    </row>
    <row r="14" spans="1:6" x14ac:dyDescent="0.25">
      <c r="A14" t="s">
        <v>113</v>
      </c>
      <c r="B14" t="s">
        <v>88</v>
      </c>
      <c r="C14" t="s">
        <v>114</v>
      </c>
      <c r="D14" t="s">
        <v>115</v>
      </c>
      <c r="E14" t="s">
        <v>115</v>
      </c>
      <c r="F14" t="s">
        <v>96</v>
      </c>
    </row>
    <row r="15" spans="1:6" x14ac:dyDescent="0.25">
      <c r="A15" t="s">
        <v>113</v>
      </c>
      <c r="B15" t="s">
        <v>88</v>
      </c>
      <c r="C15" t="s">
        <v>116</v>
      </c>
      <c r="D15" t="s">
        <v>117</v>
      </c>
      <c r="E15" t="s">
        <v>117</v>
      </c>
      <c r="F15" t="s">
        <v>96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B5A9E-0DE2-4C9D-A6F4-EBF765E41A9E}">
  <dimension ref="A1:E11"/>
  <sheetViews>
    <sheetView workbookViewId="0">
      <selection activeCell="Q7" sqref="Q7:X24"/>
    </sheetView>
  </sheetViews>
  <sheetFormatPr baseColWidth="10" defaultRowHeight="15" x14ac:dyDescent="0.25"/>
  <sheetData>
    <row r="1" spans="1:5" x14ac:dyDescent="0.25">
      <c r="A1" t="s">
        <v>118</v>
      </c>
      <c r="B1" t="s">
        <v>84</v>
      </c>
      <c r="C1" t="s">
        <v>133</v>
      </c>
      <c r="D1" t="s">
        <v>131</v>
      </c>
      <c r="E1" t="s">
        <v>132</v>
      </c>
    </row>
    <row r="2" spans="1:5" x14ac:dyDescent="0.25">
      <c r="A2">
        <v>2024</v>
      </c>
      <c r="B2" t="s">
        <v>85</v>
      </c>
      <c r="C2">
        <v>1000000</v>
      </c>
      <c r="D2">
        <v>1800</v>
      </c>
      <c r="E2">
        <v>2200</v>
      </c>
    </row>
    <row r="3" spans="1:5" x14ac:dyDescent="0.25">
      <c r="A3">
        <v>2024</v>
      </c>
      <c r="B3" t="s">
        <v>89</v>
      </c>
      <c r="C3">
        <v>5000</v>
      </c>
      <c r="D3">
        <v>650000</v>
      </c>
      <c r="E3">
        <v>700000</v>
      </c>
    </row>
    <row r="4" spans="1:5" x14ac:dyDescent="0.25">
      <c r="A4">
        <v>2024</v>
      </c>
      <c r="B4" t="s">
        <v>93</v>
      </c>
      <c r="C4">
        <v>5000000</v>
      </c>
      <c r="D4">
        <v>100</v>
      </c>
      <c r="E4">
        <v>150</v>
      </c>
    </row>
    <row r="5" spans="1:5" x14ac:dyDescent="0.25">
      <c r="A5">
        <v>2024</v>
      </c>
      <c r="B5" t="s">
        <v>97</v>
      </c>
      <c r="C5">
        <v>2000000</v>
      </c>
      <c r="D5">
        <v>2000</v>
      </c>
      <c r="E5">
        <v>2500</v>
      </c>
    </row>
    <row r="6" spans="1:5" x14ac:dyDescent="0.25">
      <c r="A6">
        <v>2024</v>
      </c>
      <c r="B6" t="s">
        <v>101</v>
      </c>
      <c r="C6">
        <v>500000</v>
      </c>
      <c r="D6">
        <v>3000</v>
      </c>
      <c r="E6">
        <v>3500</v>
      </c>
    </row>
    <row r="7" spans="1:5" x14ac:dyDescent="0.25">
      <c r="A7">
        <v>2024</v>
      </c>
      <c r="B7" t="s">
        <v>105</v>
      </c>
      <c r="C7">
        <v>10000000</v>
      </c>
      <c r="D7">
        <v>600</v>
      </c>
      <c r="E7">
        <v>800</v>
      </c>
    </row>
    <row r="8" spans="1:5" x14ac:dyDescent="0.25">
      <c r="A8">
        <v>2024</v>
      </c>
      <c r="B8" t="s">
        <v>108</v>
      </c>
      <c r="C8">
        <v>800000</v>
      </c>
      <c r="D8">
        <v>8000</v>
      </c>
      <c r="E8">
        <v>9500</v>
      </c>
    </row>
    <row r="9" spans="1:5" x14ac:dyDescent="0.25">
      <c r="A9">
        <v>2024</v>
      </c>
      <c r="B9" t="s">
        <v>110</v>
      </c>
      <c r="C9">
        <v>20000</v>
      </c>
      <c r="D9">
        <v>40000</v>
      </c>
      <c r="E9">
        <v>50000</v>
      </c>
    </row>
    <row r="10" spans="1:5" x14ac:dyDescent="0.25">
      <c r="A10">
        <v>2024</v>
      </c>
      <c r="B10" t="s">
        <v>114</v>
      </c>
      <c r="C10">
        <v>150000</v>
      </c>
      <c r="D10">
        <v>15000</v>
      </c>
      <c r="E10">
        <v>18000</v>
      </c>
    </row>
    <row r="11" spans="1:5" x14ac:dyDescent="0.25">
      <c r="A11">
        <v>2024</v>
      </c>
      <c r="B11" t="s">
        <v>116</v>
      </c>
      <c r="C11">
        <v>50000</v>
      </c>
      <c r="D11">
        <v>30000</v>
      </c>
      <c r="E11">
        <v>35000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2112-D2EE-4E9F-B294-4222E881A3C9}">
  <dimension ref="A1:E11"/>
  <sheetViews>
    <sheetView workbookViewId="0">
      <selection activeCell="J20" sqref="J20"/>
    </sheetView>
  </sheetViews>
  <sheetFormatPr baseColWidth="10" defaultRowHeight="15" x14ac:dyDescent="0.25"/>
  <sheetData>
    <row r="1" spans="1:5" x14ac:dyDescent="0.25">
      <c r="A1" t="s">
        <v>123</v>
      </c>
      <c r="B1" t="s">
        <v>124</v>
      </c>
      <c r="C1" t="s">
        <v>125</v>
      </c>
      <c r="D1" t="s">
        <v>126</v>
      </c>
      <c r="E1" t="s">
        <v>127</v>
      </c>
    </row>
    <row r="2" spans="1:5" x14ac:dyDescent="0.25">
      <c r="A2" t="s">
        <v>75</v>
      </c>
      <c r="B2" t="s">
        <v>120</v>
      </c>
      <c r="C2" t="s">
        <v>75</v>
      </c>
      <c r="D2" t="s">
        <v>146</v>
      </c>
      <c r="E2" t="s">
        <v>121</v>
      </c>
    </row>
    <row r="3" spans="1:5" x14ac:dyDescent="0.25">
      <c r="A3" t="s">
        <v>75</v>
      </c>
      <c r="B3" t="s">
        <v>88</v>
      </c>
      <c r="C3" t="s">
        <v>75</v>
      </c>
      <c r="D3" t="s">
        <v>120</v>
      </c>
      <c r="E3" t="s">
        <v>121</v>
      </c>
    </row>
    <row r="4" spans="1:5" x14ac:dyDescent="0.25">
      <c r="A4" t="s">
        <v>75</v>
      </c>
      <c r="B4" t="s">
        <v>92</v>
      </c>
      <c r="C4" t="s">
        <v>75</v>
      </c>
      <c r="D4" t="s">
        <v>88</v>
      </c>
      <c r="E4" t="s">
        <v>121</v>
      </c>
    </row>
    <row r="5" spans="1:5" x14ac:dyDescent="0.25">
      <c r="A5" t="s">
        <v>113</v>
      </c>
      <c r="B5" t="s">
        <v>122</v>
      </c>
      <c r="C5" t="s">
        <v>113</v>
      </c>
      <c r="D5" t="s">
        <v>88</v>
      </c>
      <c r="E5" t="s">
        <v>121</v>
      </c>
    </row>
    <row r="6" spans="1:5" x14ac:dyDescent="0.25">
      <c r="A6" t="s">
        <v>76</v>
      </c>
      <c r="B6" t="s">
        <v>122</v>
      </c>
      <c r="C6" t="s">
        <v>76</v>
      </c>
      <c r="D6" t="s">
        <v>100</v>
      </c>
      <c r="E6" t="s">
        <v>121</v>
      </c>
    </row>
    <row r="7" spans="1:5" x14ac:dyDescent="0.25">
      <c r="A7" t="s">
        <v>76</v>
      </c>
      <c r="B7" t="s">
        <v>122</v>
      </c>
      <c r="C7" t="s">
        <v>76</v>
      </c>
      <c r="D7" t="s">
        <v>104</v>
      </c>
      <c r="E7" t="s">
        <v>121</v>
      </c>
    </row>
    <row r="8" spans="1:5" x14ac:dyDescent="0.25">
      <c r="A8" t="s">
        <v>76</v>
      </c>
      <c r="B8" t="s">
        <v>122</v>
      </c>
      <c r="C8" t="s">
        <v>76</v>
      </c>
      <c r="D8" t="s">
        <v>107</v>
      </c>
      <c r="E8" t="s">
        <v>121</v>
      </c>
    </row>
    <row r="9" spans="1:5" x14ac:dyDescent="0.25">
      <c r="A9" t="s">
        <v>77</v>
      </c>
      <c r="B9" t="s">
        <v>122</v>
      </c>
      <c r="C9" t="s">
        <v>77</v>
      </c>
      <c r="D9" t="s">
        <v>100</v>
      </c>
      <c r="E9" t="s">
        <v>121</v>
      </c>
    </row>
    <row r="10" spans="1:5" x14ac:dyDescent="0.25">
      <c r="A10" t="s">
        <v>77</v>
      </c>
      <c r="B10" t="s">
        <v>122</v>
      </c>
      <c r="C10" t="s">
        <v>77</v>
      </c>
      <c r="D10" t="s">
        <v>104</v>
      </c>
      <c r="E10" t="s">
        <v>121</v>
      </c>
    </row>
    <row r="11" spans="1:5" x14ac:dyDescent="0.25">
      <c r="A11" t="s">
        <v>77</v>
      </c>
      <c r="B11" t="s">
        <v>122</v>
      </c>
      <c r="C11" t="s">
        <v>77</v>
      </c>
      <c r="D11" t="s">
        <v>107</v>
      </c>
      <c r="E11" t="s">
        <v>121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844EE-882F-4833-8B87-00A8BB665263}">
  <dimension ref="A1:F15"/>
  <sheetViews>
    <sheetView workbookViewId="0">
      <selection activeCell="E24" sqref="E24"/>
    </sheetView>
  </sheetViews>
  <sheetFormatPr baseColWidth="10" defaultRowHeight="15" x14ac:dyDescent="0.25"/>
  <sheetData>
    <row r="1" spans="1:6" x14ac:dyDescent="0.25">
      <c r="A1" t="s">
        <v>118</v>
      </c>
      <c r="B1" t="s">
        <v>119</v>
      </c>
      <c r="C1" t="s">
        <v>82</v>
      </c>
      <c r="D1" t="s">
        <v>83</v>
      </c>
      <c r="E1" t="s">
        <v>134</v>
      </c>
      <c r="F1" t="s">
        <v>135</v>
      </c>
    </row>
    <row r="2" spans="1:6" x14ac:dyDescent="0.25">
      <c r="A2">
        <v>2024</v>
      </c>
      <c r="B2" t="s">
        <v>16</v>
      </c>
      <c r="C2" t="s">
        <v>75</v>
      </c>
      <c r="D2" t="s">
        <v>146</v>
      </c>
      <c r="E2" s="13">
        <v>55200</v>
      </c>
      <c r="F2" s="13">
        <v>3220.0000000000005</v>
      </c>
    </row>
    <row r="3" spans="1:6" x14ac:dyDescent="0.25">
      <c r="A3">
        <v>2024</v>
      </c>
      <c r="B3" t="s">
        <v>16</v>
      </c>
      <c r="C3" t="s">
        <v>75</v>
      </c>
      <c r="D3" t="s">
        <v>120</v>
      </c>
      <c r="E3" s="13">
        <v>92000</v>
      </c>
      <c r="F3" s="13">
        <v>4600</v>
      </c>
    </row>
    <row r="4" spans="1:6" x14ac:dyDescent="0.25">
      <c r="A4">
        <v>2024</v>
      </c>
      <c r="B4" t="s">
        <v>16</v>
      </c>
      <c r="C4" t="s">
        <v>75</v>
      </c>
      <c r="D4" t="s">
        <v>88</v>
      </c>
      <c r="E4" s="13">
        <v>165600</v>
      </c>
      <c r="F4" s="13">
        <v>8280</v>
      </c>
    </row>
    <row r="5" spans="1:6" x14ac:dyDescent="0.25">
      <c r="A5">
        <v>2024</v>
      </c>
      <c r="B5" t="s">
        <v>16</v>
      </c>
      <c r="C5" t="s">
        <v>75</v>
      </c>
      <c r="D5" t="s">
        <v>92</v>
      </c>
      <c r="E5" s="13">
        <v>46000</v>
      </c>
      <c r="F5" s="13">
        <v>2300</v>
      </c>
    </row>
    <row r="6" spans="1:6" x14ac:dyDescent="0.25">
      <c r="A6">
        <v>2024</v>
      </c>
      <c r="B6" t="s">
        <v>16</v>
      </c>
      <c r="C6" t="s">
        <v>76</v>
      </c>
      <c r="D6" t="s">
        <v>100</v>
      </c>
      <c r="E6" s="13">
        <v>73600</v>
      </c>
      <c r="F6" s="13">
        <v>3680.0000000000009</v>
      </c>
    </row>
    <row r="7" spans="1:6" x14ac:dyDescent="0.25">
      <c r="A7">
        <v>2024</v>
      </c>
      <c r="B7" t="s">
        <v>16</v>
      </c>
      <c r="C7" t="s">
        <v>76</v>
      </c>
      <c r="D7" t="s">
        <v>104</v>
      </c>
      <c r="E7" s="13">
        <v>82800</v>
      </c>
      <c r="F7" s="13">
        <v>4140</v>
      </c>
    </row>
    <row r="8" spans="1:6" x14ac:dyDescent="0.25">
      <c r="A8">
        <v>2024</v>
      </c>
      <c r="B8" t="s">
        <v>16</v>
      </c>
      <c r="C8" t="s">
        <v>76</v>
      </c>
      <c r="D8" t="s">
        <v>107</v>
      </c>
      <c r="E8" s="13">
        <v>276000</v>
      </c>
      <c r="F8" s="13">
        <v>13800</v>
      </c>
    </row>
    <row r="9" spans="1:6" x14ac:dyDescent="0.25">
      <c r="A9">
        <v>2024</v>
      </c>
      <c r="B9" t="s">
        <v>16</v>
      </c>
      <c r="C9" t="s">
        <v>76</v>
      </c>
      <c r="D9" t="s">
        <v>122</v>
      </c>
      <c r="E9" s="13">
        <v>1</v>
      </c>
      <c r="F9" s="13">
        <v>1</v>
      </c>
    </row>
    <row r="10" spans="1:6" x14ac:dyDescent="0.25">
      <c r="A10">
        <v>2024</v>
      </c>
      <c r="B10" t="s">
        <v>16</v>
      </c>
      <c r="C10" t="s">
        <v>77</v>
      </c>
      <c r="D10" t="s">
        <v>100</v>
      </c>
      <c r="E10" s="13">
        <v>165600</v>
      </c>
      <c r="F10" s="13">
        <v>8280</v>
      </c>
    </row>
    <row r="11" spans="1:6" x14ac:dyDescent="0.25">
      <c r="A11">
        <v>2024</v>
      </c>
      <c r="B11" t="s">
        <v>16</v>
      </c>
      <c r="C11" t="s">
        <v>77</v>
      </c>
      <c r="D11" t="s">
        <v>104</v>
      </c>
      <c r="E11" s="13">
        <v>202400</v>
      </c>
      <c r="F11" s="13">
        <v>10120</v>
      </c>
    </row>
    <row r="12" spans="1:6" x14ac:dyDescent="0.25">
      <c r="A12">
        <v>2024</v>
      </c>
      <c r="B12" t="s">
        <v>16</v>
      </c>
      <c r="C12" t="s">
        <v>77</v>
      </c>
      <c r="D12" t="s">
        <v>107</v>
      </c>
      <c r="E12" s="13">
        <v>202400</v>
      </c>
      <c r="F12" s="13">
        <v>10120</v>
      </c>
    </row>
    <row r="13" spans="1:6" x14ac:dyDescent="0.25">
      <c r="A13">
        <v>2024</v>
      </c>
      <c r="B13" t="s">
        <v>16</v>
      </c>
      <c r="C13" t="s">
        <v>77</v>
      </c>
      <c r="D13" t="s">
        <v>122</v>
      </c>
      <c r="E13" s="13">
        <v>1</v>
      </c>
      <c r="F13" s="13">
        <v>1</v>
      </c>
    </row>
    <row r="14" spans="1:6" x14ac:dyDescent="0.25">
      <c r="A14">
        <v>2024</v>
      </c>
      <c r="B14" t="s">
        <v>16</v>
      </c>
      <c r="C14" t="s">
        <v>113</v>
      </c>
      <c r="D14" t="s">
        <v>88</v>
      </c>
      <c r="E14" s="13">
        <v>92000</v>
      </c>
      <c r="F14" s="13">
        <v>4600</v>
      </c>
    </row>
    <row r="15" spans="1:6" x14ac:dyDescent="0.25">
      <c r="A15">
        <v>2024</v>
      </c>
      <c r="B15" t="s">
        <v>16</v>
      </c>
      <c r="C15" t="s">
        <v>113</v>
      </c>
      <c r="D15" t="s">
        <v>122</v>
      </c>
      <c r="E15" s="13">
        <v>1</v>
      </c>
      <c r="F15" s="13">
        <v>1</v>
      </c>
    </row>
  </sheetData>
  <phoneticPr fontId="7" type="noConversion"/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DFEF-01D9-4B2D-A936-BF616F091054}">
  <dimension ref="A1:M28"/>
  <sheetViews>
    <sheetView workbookViewId="0">
      <selection activeCell="L41" sqref="L41"/>
    </sheetView>
  </sheetViews>
  <sheetFormatPr baseColWidth="10" defaultRowHeight="15" x14ac:dyDescent="0.25"/>
  <sheetData>
    <row r="1" spans="1:13" x14ac:dyDescent="0.25">
      <c r="A1" t="s">
        <v>15</v>
      </c>
      <c r="B1" t="s">
        <v>147</v>
      </c>
      <c r="C1" t="s">
        <v>137</v>
      </c>
      <c r="D1" t="s">
        <v>138</v>
      </c>
      <c r="E1" t="s">
        <v>145</v>
      </c>
      <c r="F1" t="s">
        <v>139</v>
      </c>
      <c r="G1" t="s">
        <v>140</v>
      </c>
      <c r="H1" t="s">
        <v>141</v>
      </c>
      <c r="I1" t="s">
        <v>142</v>
      </c>
      <c r="J1" t="s">
        <v>143</v>
      </c>
      <c r="K1" t="s">
        <v>144</v>
      </c>
      <c r="L1" t="s">
        <v>149</v>
      </c>
      <c r="M1" t="s">
        <v>148</v>
      </c>
    </row>
    <row r="2" spans="1:13" x14ac:dyDescent="0.25">
      <c r="A2">
        <v>2024</v>
      </c>
      <c r="B2">
        <v>38640</v>
      </c>
      <c r="C2">
        <v>9999999</v>
      </c>
      <c r="D2">
        <v>9999999</v>
      </c>
      <c r="E2">
        <v>250240</v>
      </c>
      <c r="F2">
        <v>9999999</v>
      </c>
      <c r="G2">
        <v>9999999</v>
      </c>
      <c r="H2">
        <v>9999999</v>
      </c>
      <c r="I2" s="8">
        <v>1052044.8400000001</v>
      </c>
      <c r="J2">
        <v>9999999</v>
      </c>
      <c r="K2" s="8">
        <v>1775265.64</v>
      </c>
      <c r="L2">
        <v>9999999</v>
      </c>
      <c r="M2">
        <v>280439.83</v>
      </c>
    </row>
    <row r="3" spans="1:13" x14ac:dyDescent="0.25">
      <c r="A3">
        <v>2025</v>
      </c>
      <c r="B3">
        <v>9999999</v>
      </c>
      <c r="C3">
        <v>9999999</v>
      </c>
      <c r="D3">
        <v>9999999</v>
      </c>
      <c r="E3">
        <v>246486.39999999999</v>
      </c>
      <c r="F3">
        <v>9999999</v>
      </c>
      <c r="G3">
        <v>9999999</v>
      </c>
      <c r="H3">
        <v>9999999</v>
      </c>
      <c r="I3" s="8">
        <v>1042480.8</v>
      </c>
      <c r="J3">
        <v>9999999</v>
      </c>
      <c r="K3" s="8">
        <v>1722922.37</v>
      </c>
      <c r="L3">
        <v>9999999</v>
      </c>
      <c r="M3">
        <v>274754.90999999997</v>
      </c>
    </row>
    <row r="4" spans="1:13" x14ac:dyDescent="0.25">
      <c r="A4">
        <v>2026</v>
      </c>
      <c r="B4">
        <v>9999999</v>
      </c>
      <c r="C4">
        <v>9999999</v>
      </c>
      <c r="D4">
        <v>9999999</v>
      </c>
      <c r="E4">
        <v>242789.10399999999</v>
      </c>
      <c r="F4">
        <v>9999999</v>
      </c>
      <c r="G4">
        <v>9999999</v>
      </c>
      <c r="H4">
        <v>9999999</v>
      </c>
      <c r="I4" s="8">
        <v>1032916.75</v>
      </c>
      <c r="J4">
        <v>9999999</v>
      </c>
      <c r="K4" s="8">
        <v>1670579.1</v>
      </c>
      <c r="L4">
        <v>9999999</v>
      </c>
      <c r="M4">
        <v>269179.44</v>
      </c>
    </row>
    <row r="5" spans="1:13" x14ac:dyDescent="0.25">
      <c r="A5">
        <v>2027</v>
      </c>
      <c r="B5">
        <v>9999999</v>
      </c>
      <c r="C5">
        <v>9999999</v>
      </c>
      <c r="D5">
        <v>9999999</v>
      </c>
      <c r="E5">
        <v>239147.26740000001</v>
      </c>
      <c r="F5">
        <v>9999999</v>
      </c>
      <c r="G5">
        <v>9999999</v>
      </c>
      <c r="H5">
        <v>9999999</v>
      </c>
      <c r="I5" s="8">
        <v>1023352.71</v>
      </c>
      <c r="J5">
        <v>9999999</v>
      </c>
      <c r="K5" s="8">
        <v>1618235.83</v>
      </c>
      <c r="L5">
        <v>9999999</v>
      </c>
      <c r="M5">
        <v>263711.78000000003</v>
      </c>
    </row>
    <row r="6" spans="1:13" x14ac:dyDescent="0.25">
      <c r="A6">
        <v>2028</v>
      </c>
      <c r="B6">
        <v>9999999</v>
      </c>
      <c r="C6">
        <v>9999999</v>
      </c>
      <c r="D6">
        <v>9999999</v>
      </c>
      <c r="E6">
        <v>235560.05840000001</v>
      </c>
      <c r="F6">
        <v>9999999</v>
      </c>
      <c r="G6">
        <v>9999999</v>
      </c>
      <c r="H6">
        <v>9999999</v>
      </c>
      <c r="I6" s="8">
        <v>1013788.66</v>
      </c>
      <c r="J6">
        <v>9999999</v>
      </c>
      <c r="K6" s="8">
        <v>1565892.56</v>
      </c>
      <c r="L6">
        <v>9999999</v>
      </c>
      <c r="M6">
        <v>258350.32</v>
      </c>
    </row>
    <row r="7" spans="1:13" x14ac:dyDescent="0.25">
      <c r="A7">
        <v>2029</v>
      </c>
      <c r="B7">
        <v>9999999</v>
      </c>
      <c r="C7">
        <v>9999999</v>
      </c>
      <c r="D7">
        <v>9999999</v>
      </c>
      <c r="E7">
        <v>232026.65760000001</v>
      </c>
      <c r="F7">
        <v>9999999</v>
      </c>
      <c r="G7">
        <v>9999999</v>
      </c>
      <c r="H7">
        <v>9999999</v>
      </c>
      <c r="I7" s="8">
        <v>1004224.62</v>
      </c>
      <c r="J7">
        <v>9999999</v>
      </c>
      <c r="K7" s="8">
        <v>1513549.29</v>
      </c>
      <c r="L7">
        <v>9999999</v>
      </c>
      <c r="M7">
        <v>253093.46</v>
      </c>
    </row>
    <row r="8" spans="1:13" x14ac:dyDescent="0.25">
      <c r="A8">
        <v>2030</v>
      </c>
      <c r="B8">
        <v>9999999</v>
      </c>
      <c r="C8">
        <v>9999999</v>
      </c>
      <c r="D8">
        <v>9999999</v>
      </c>
      <c r="E8">
        <v>228546.25769999999</v>
      </c>
      <c r="F8">
        <v>9999999</v>
      </c>
      <c r="G8">
        <v>9999999</v>
      </c>
      <c r="H8">
        <v>9999999</v>
      </c>
      <c r="I8" s="8">
        <v>994660.58</v>
      </c>
      <c r="J8">
        <v>9999999</v>
      </c>
      <c r="K8" s="8">
        <v>1461206.02</v>
      </c>
      <c r="L8">
        <v>9999999</v>
      </c>
      <c r="M8">
        <v>247939.65</v>
      </c>
    </row>
    <row r="9" spans="1:13" x14ac:dyDescent="0.25">
      <c r="A9">
        <v>2031</v>
      </c>
      <c r="B9">
        <v>9999999</v>
      </c>
      <c r="C9">
        <v>9999999</v>
      </c>
      <c r="D9">
        <v>9999999</v>
      </c>
      <c r="E9">
        <v>225118.0638</v>
      </c>
      <c r="F9">
        <v>9999999</v>
      </c>
      <c r="G9">
        <v>9999999</v>
      </c>
      <c r="H9">
        <v>9999999</v>
      </c>
      <c r="I9" s="8">
        <v>992747.77</v>
      </c>
      <c r="J9">
        <v>9999999</v>
      </c>
      <c r="K9" s="8">
        <v>1444015.16</v>
      </c>
      <c r="L9">
        <v>9999999</v>
      </c>
      <c r="M9">
        <v>242887.37</v>
      </c>
    </row>
    <row r="10" spans="1:13" x14ac:dyDescent="0.25">
      <c r="A10">
        <v>2032</v>
      </c>
      <c r="B10">
        <v>9999999</v>
      </c>
      <c r="C10">
        <v>9999999</v>
      </c>
      <c r="D10">
        <v>9999999</v>
      </c>
      <c r="E10">
        <v>221741.2929</v>
      </c>
      <c r="F10">
        <v>9999999</v>
      </c>
      <c r="G10">
        <v>9999999</v>
      </c>
      <c r="H10">
        <v>9999999</v>
      </c>
      <c r="I10" s="8">
        <v>990834.96</v>
      </c>
      <c r="J10">
        <v>9999999</v>
      </c>
      <c r="K10" s="8">
        <v>1426824.29</v>
      </c>
      <c r="L10">
        <v>9999999</v>
      </c>
      <c r="M10">
        <v>237935.1</v>
      </c>
    </row>
    <row r="11" spans="1:13" x14ac:dyDescent="0.25">
      <c r="A11">
        <v>2033</v>
      </c>
      <c r="B11">
        <v>9999999</v>
      </c>
      <c r="C11">
        <v>9999999</v>
      </c>
      <c r="D11">
        <v>9999999</v>
      </c>
      <c r="E11">
        <v>218415.1735</v>
      </c>
      <c r="F11">
        <v>9999999</v>
      </c>
      <c r="G11">
        <v>9999999</v>
      </c>
      <c r="H11">
        <v>9999999</v>
      </c>
      <c r="I11" s="8">
        <v>988922.15</v>
      </c>
      <c r="J11">
        <v>9999999</v>
      </c>
      <c r="K11" s="8">
        <v>1409633.42</v>
      </c>
      <c r="L11">
        <v>9999999</v>
      </c>
      <c r="M11">
        <v>233081.4</v>
      </c>
    </row>
    <row r="12" spans="1:13" x14ac:dyDescent="0.25">
      <c r="A12">
        <v>2034</v>
      </c>
      <c r="B12">
        <v>9999999</v>
      </c>
      <c r="C12">
        <v>9999999</v>
      </c>
      <c r="D12">
        <v>9999999</v>
      </c>
      <c r="E12">
        <v>215138.94589999999</v>
      </c>
      <c r="F12">
        <v>9999999</v>
      </c>
      <c r="G12">
        <v>9999999</v>
      </c>
      <c r="H12">
        <v>9999999</v>
      </c>
      <c r="I12" s="8">
        <v>987009.34</v>
      </c>
      <c r="J12">
        <v>9999999</v>
      </c>
      <c r="K12" s="8">
        <v>1392442.55</v>
      </c>
      <c r="L12">
        <v>9999999</v>
      </c>
      <c r="M12">
        <v>228324.82</v>
      </c>
    </row>
    <row r="13" spans="1:13" x14ac:dyDescent="0.25">
      <c r="A13">
        <v>2035</v>
      </c>
      <c r="B13">
        <v>9999999</v>
      </c>
      <c r="C13">
        <v>9999999</v>
      </c>
      <c r="D13">
        <v>9999999</v>
      </c>
      <c r="E13">
        <v>211911.86170000001</v>
      </c>
      <c r="F13">
        <v>9999999</v>
      </c>
      <c r="G13">
        <v>9999999</v>
      </c>
      <c r="H13">
        <v>9999999</v>
      </c>
      <c r="I13" s="8">
        <v>985096.53</v>
      </c>
      <c r="J13">
        <v>9999999</v>
      </c>
      <c r="K13" s="8">
        <v>1375251.69</v>
      </c>
      <c r="L13">
        <v>9999999</v>
      </c>
      <c r="M13">
        <v>223663.91</v>
      </c>
    </row>
    <row r="14" spans="1:13" x14ac:dyDescent="0.25">
      <c r="A14">
        <v>2036</v>
      </c>
      <c r="B14">
        <v>9999999</v>
      </c>
      <c r="C14">
        <v>9999999</v>
      </c>
      <c r="D14">
        <v>9999999</v>
      </c>
      <c r="E14">
        <v>208733.1838</v>
      </c>
      <c r="F14">
        <v>9999999</v>
      </c>
      <c r="G14">
        <v>9999999</v>
      </c>
      <c r="H14">
        <v>9999999</v>
      </c>
      <c r="I14" s="8">
        <v>983183.72</v>
      </c>
      <c r="J14">
        <v>9999999</v>
      </c>
      <c r="K14" s="8">
        <v>1358060.82</v>
      </c>
      <c r="L14">
        <v>9999999</v>
      </c>
      <c r="M14">
        <v>219097.32</v>
      </c>
    </row>
    <row r="15" spans="1:13" x14ac:dyDescent="0.25">
      <c r="A15">
        <v>2037</v>
      </c>
      <c r="B15">
        <v>9999999</v>
      </c>
      <c r="C15">
        <v>9999999</v>
      </c>
      <c r="D15">
        <v>9999999</v>
      </c>
      <c r="E15">
        <v>205602.18599999999</v>
      </c>
      <c r="F15">
        <v>9999999</v>
      </c>
      <c r="G15">
        <v>9999999</v>
      </c>
      <c r="H15">
        <v>9999999</v>
      </c>
      <c r="I15" s="8">
        <v>981270.91</v>
      </c>
      <c r="J15">
        <v>9999999</v>
      </c>
      <c r="K15" s="8">
        <v>1340869.95</v>
      </c>
      <c r="L15">
        <v>9999999</v>
      </c>
      <c r="M15">
        <v>214623.65</v>
      </c>
    </row>
    <row r="16" spans="1:13" x14ac:dyDescent="0.25">
      <c r="A16">
        <v>2038</v>
      </c>
      <c r="B16">
        <v>9999999</v>
      </c>
      <c r="C16">
        <v>9999999</v>
      </c>
      <c r="D16">
        <v>9999999</v>
      </c>
      <c r="E16">
        <v>202518.1532</v>
      </c>
      <c r="F16">
        <v>9999999</v>
      </c>
      <c r="G16">
        <v>9999999</v>
      </c>
      <c r="H16">
        <v>9999999</v>
      </c>
      <c r="I16" s="8">
        <v>979358.11</v>
      </c>
      <c r="J16">
        <v>9999999</v>
      </c>
      <c r="K16" s="8">
        <v>1323679.08</v>
      </c>
      <c r="L16">
        <v>9999999</v>
      </c>
      <c r="M16">
        <v>210241.6</v>
      </c>
    </row>
    <row r="17" spans="1:13" x14ac:dyDescent="0.25">
      <c r="A17">
        <v>2039</v>
      </c>
      <c r="B17">
        <v>9999999</v>
      </c>
      <c r="C17">
        <v>9999999</v>
      </c>
      <c r="D17">
        <v>9999999</v>
      </c>
      <c r="E17">
        <v>199480.38089999999</v>
      </c>
      <c r="F17">
        <v>9999999</v>
      </c>
      <c r="G17">
        <v>9999999</v>
      </c>
      <c r="H17">
        <v>9999999</v>
      </c>
      <c r="I17" s="8">
        <v>977445.3</v>
      </c>
      <c r="J17">
        <v>9999999</v>
      </c>
      <c r="K17" s="8">
        <v>1306488.21</v>
      </c>
      <c r="L17">
        <v>9999999</v>
      </c>
      <c r="M17">
        <v>205949.84</v>
      </c>
    </row>
    <row r="18" spans="1:13" x14ac:dyDescent="0.25">
      <c r="A18">
        <v>2040</v>
      </c>
      <c r="B18">
        <v>9999999</v>
      </c>
      <c r="C18">
        <v>9999999</v>
      </c>
      <c r="D18">
        <v>9999999</v>
      </c>
      <c r="E18">
        <v>196488.1752</v>
      </c>
      <c r="F18">
        <v>9999999</v>
      </c>
      <c r="G18">
        <v>9999999</v>
      </c>
      <c r="H18">
        <v>9999999</v>
      </c>
      <c r="I18" s="8">
        <v>975532.49</v>
      </c>
      <c r="J18">
        <v>9999999</v>
      </c>
      <c r="K18" s="8">
        <v>1288027.8</v>
      </c>
      <c r="L18">
        <v>9999999</v>
      </c>
      <c r="M18">
        <v>201747.12</v>
      </c>
    </row>
    <row r="19" spans="1:13" x14ac:dyDescent="0.25">
      <c r="A19">
        <v>2041</v>
      </c>
      <c r="B19">
        <v>9999999</v>
      </c>
      <c r="C19">
        <v>9999999</v>
      </c>
      <c r="D19">
        <v>9999999</v>
      </c>
      <c r="E19">
        <v>193540.85260000001</v>
      </c>
      <c r="F19">
        <v>9999999</v>
      </c>
      <c r="G19">
        <v>9999999</v>
      </c>
      <c r="H19">
        <v>9999999</v>
      </c>
      <c r="I19" s="8">
        <v>973619.68</v>
      </c>
      <c r="J19">
        <v>9999999</v>
      </c>
      <c r="K19" s="8">
        <v>1288154.75</v>
      </c>
      <c r="L19">
        <v>9999999</v>
      </c>
      <c r="M19">
        <v>197632.19</v>
      </c>
    </row>
    <row r="20" spans="1:13" x14ac:dyDescent="0.25">
      <c r="A20">
        <v>2042</v>
      </c>
      <c r="B20">
        <v>9999999</v>
      </c>
      <c r="C20">
        <v>9999999</v>
      </c>
      <c r="D20">
        <v>9999999</v>
      </c>
      <c r="E20">
        <v>190637.73980000001</v>
      </c>
      <c r="F20">
        <v>9999999</v>
      </c>
      <c r="G20">
        <v>9999999</v>
      </c>
      <c r="H20">
        <v>9999999</v>
      </c>
      <c r="I20" s="8">
        <v>971706.87</v>
      </c>
      <c r="J20">
        <v>9999999</v>
      </c>
      <c r="K20" s="8">
        <v>1288281.71</v>
      </c>
      <c r="L20">
        <v>9999999</v>
      </c>
      <c r="M20">
        <v>193603.83</v>
      </c>
    </row>
    <row r="21" spans="1:13" x14ac:dyDescent="0.25">
      <c r="A21">
        <v>2043</v>
      </c>
      <c r="B21">
        <v>9999999</v>
      </c>
      <c r="C21">
        <v>9999999</v>
      </c>
      <c r="D21">
        <v>9999999</v>
      </c>
      <c r="E21">
        <v>187778.17370000001</v>
      </c>
      <c r="F21">
        <v>9999999</v>
      </c>
      <c r="G21">
        <v>9999999</v>
      </c>
      <c r="H21">
        <v>9999999</v>
      </c>
      <c r="I21" s="8">
        <v>969794.06</v>
      </c>
      <c r="J21">
        <v>9999999</v>
      </c>
      <c r="K21" s="8">
        <v>1288408.6599999999</v>
      </c>
      <c r="L21">
        <v>9999999</v>
      </c>
      <c r="M21">
        <v>189660.87</v>
      </c>
    </row>
    <row r="22" spans="1:13" x14ac:dyDescent="0.25">
      <c r="A22">
        <v>2044</v>
      </c>
      <c r="B22">
        <v>9999999</v>
      </c>
      <c r="C22">
        <v>9999999</v>
      </c>
      <c r="D22">
        <v>9999999</v>
      </c>
      <c r="E22">
        <v>184961.50109999999</v>
      </c>
      <c r="F22">
        <v>9999999</v>
      </c>
      <c r="G22">
        <v>9999999</v>
      </c>
      <c r="H22">
        <v>9999999</v>
      </c>
      <c r="I22" s="8">
        <v>967881.25</v>
      </c>
      <c r="J22">
        <v>9999999</v>
      </c>
      <c r="K22" s="8">
        <v>1288535.6200000001</v>
      </c>
      <c r="L22">
        <v>9999999</v>
      </c>
      <c r="M22">
        <v>185802.14</v>
      </c>
    </row>
    <row r="23" spans="1:13" x14ac:dyDescent="0.25">
      <c r="A23">
        <v>2045</v>
      </c>
      <c r="B23">
        <v>9999999</v>
      </c>
      <c r="C23">
        <v>9999999</v>
      </c>
      <c r="D23">
        <v>9999999</v>
      </c>
      <c r="E23">
        <v>182187.07860000001</v>
      </c>
      <c r="F23">
        <v>9999999</v>
      </c>
      <c r="G23">
        <v>9999999</v>
      </c>
      <c r="H23">
        <v>9999999</v>
      </c>
      <c r="I23" s="8">
        <v>965968.44</v>
      </c>
      <c r="J23">
        <v>9999999</v>
      </c>
      <c r="K23" s="8">
        <v>1288662.57</v>
      </c>
      <c r="L23">
        <v>9999999</v>
      </c>
      <c r="M23">
        <v>182026.51</v>
      </c>
    </row>
    <row r="24" spans="1:13" x14ac:dyDescent="0.25">
      <c r="A24">
        <v>2046</v>
      </c>
      <c r="B24">
        <v>9999999</v>
      </c>
      <c r="C24">
        <v>9999999</v>
      </c>
      <c r="D24">
        <v>9999999</v>
      </c>
      <c r="E24">
        <v>179454.27239999999</v>
      </c>
      <c r="F24">
        <v>9999999</v>
      </c>
      <c r="G24">
        <v>9999999</v>
      </c>
      <c r="H24">
        <v>9999999</v>
      </c>
      <c r="I24" s="8">
        <v>964055.64</v>
      </c>
      <c r="J24">
        <v>9999999</v>
      </c>
      <c r="K24" s="8">
        <v>1288789.53</v>
      </c>
      <c r="L24">
        <v>9999999</v>
      </c>
      <c r="M24">
        <v>178332.87</v>
      </c>
    </row>
    <row r="25" spans="1:13" x14ac:dyDescent="0.25">
      <c r="A25">
        <v>2047</v>
      </c>
      <c r="B25">
        <v>9999999</v>
      </c>
      <c r="C25">
        <v>9999999</v>
      </c>
      <c r="D25">
        <v>9999999</v>
      </c>
      <c r="E25">
        <v>176762.4583</v>
      </c>
      <c r="F25">
        <v>9999999</v>
      </c>
      <c r="G25">
        <v>9999999</v>
      </c>
      <c r="H25">
        <v>9999999</v>
      </c>
      <c r="I25" s="8">
        <v>962142.83</v>
      </c>
      <c r="J25">
        <v>9999999</v>
      </c>
      <c r="K25" s="8">
        <v>1288916.48</v>
      </c>
      <c r="L25">
        <v>9999999</v>
      </c>
      <c r="M25">
        <v>174720.11</v>
      </c>
    </row>
    <row r="26" spans="1:13" x14ac:dyDescent="0.25">
      <c r="A26">
        <v>2048</v>
      </c>
      <c r="B26">
        <v>9999999</v>
      </c>
      <c r="C26">
        <v>9999999</v>
      </c>
      <c r="D26">
        <v>9999999</v>
      </c>
      <c r="E26">
        <v>174111.0214</v>
      </c>
      <c r="F26">
        <v>9999999</v>
      </c>
      <c r="G26">
        <v>9999999</v>
      </c>
      <c r="H26">
        <v>9999999</v>
      </c>
      <c r="I26" s="8">
        <v>960230.02</v>
      </c>
      <c r="J26">
        <v>9999999</v>
      </c>
      <c r="K26" s="8">
        <v>1289043.44</v>
      </c>
      <c r="L26">
        <v>9999999</v>
      </c>
      <c r="M26">
        <v>171187.17</v>
      </c>
    </row>
    <row r="27" spans="1:13" x14ac:dyDescent="0.25">
      <c r="A27">
        <v>2049</v>
      </c>
      <c r="B27">
        <v>9999999</v>
      </c>
      <c r="C27">
        <v>9999999</v>
      </c>
      <c r="D27">
        <v>9999999</v>
      </c>
      <c r="E27">
        <v>171499.3561</v>
      </c>
      <c r="F27">
        <v>9999999</v>
      </c>
      <c r="G27">
        <v>9999999</v>
      </c>
      <c r="H27">
        <v>9999999</v>
      </c>
      <c r="I27" s="8">
        <v>958317.21</v>
      </c>
      <c r="J27">
        <v>9999999</v>
      </c>
      <c r="K27" s="8">
        <v>1289170.3899999999</v>
      </c>
      <c r="L27">
        <v>9999999</v>
      </c>
      <c r="M27">
        <v>167732.98000000001</v>
      </c>
    </row>
    <row r="28" spans="1:13" x14ac:dyDescent="0.25">
      <c r="A28">
        <v>2050</v>
      </c>
      <c r="B28">
        <v>9999999</v>
      </c>
      <c r="C28">
        <v>9999999</v>
      </c>
      <c r="D28">
        <v>9999999</v>
      </c>
      <c r="E28">
        <v>168926.8658</v>
      </c>
      <c r="F28">
        <v>9999999</v>
      </c>
      <c r="G28">
        <v>9999999</v>
      </c>
      <c r="H28">
        <v>9999999</v>
      </c>
      <c r="I28" s="8">
        <v>956404.4</v>
      </c>
      <c r="J28">
        <v>9999999</v>
      </c>
      <c r="K28" s="8">
        <v>1289297.3500000001</v>
      </c>
      <c r="L28">
        <v>9999999</v>
      </c>
      <c r="M28">
        <v>164356.51999999999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15</vt:i4>
      </vt:variant>
    </vt:vector>
  </HeadingPairs>
  <TitlesOfParts>
    <vt:vector size="15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gas_block</vt:lpstr>
      <vt:lpstr>Tech_Stage_Specs</vt:lpstr>
      <vt:lpstr>Material_Intensity</vt:lpstr>
      <vt:lpstr>Material_Market</vt:lpstr>
      <vt:lpstr>Component_Map</vt:lpstr>
      <vt:lpstr>Cost_Data</vt:lpstr>
      <vt:lpstr>Import_Cost_Stage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2025-12-30T12:08:29Z</dcterms:modified>
</cp:coreProperties>
</file>