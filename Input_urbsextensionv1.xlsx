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5" documentId="11_4AFA6E8F549A8CB91044D2E0C1DE01F51785D506" xr6:coauthVersionLast="47" xr6:coauthVersionMax="47" xr10:uidLastSave="{6FE3551E-027A-4656-B2F4-B3EC99072688}"/>
  <bookViews>
    <workbookView xWindow="-120" yWindow="-120" windowWidth="38640" windowHeight="21120" activeTab="4" xr2:uid="{00000000-000D-0000-FFFF-FFFF00000000}"/>
  </bookViews>
  <sheets>
    <sheet name="Base" sheetId="1" r:id="rId1"/>
    <sheet name="cost_sheet" sheetId="2" r:id="rId2"/>
    <sheet name="locations" sheetId="3" r:id="rId3"/>
    <sheet name="loadfactors" sheetId="4" r:id="rId4"/>
    <sheet name="Technologies" sheetId="5" r:id="rId5"/>
    <sheet name="decommissioning" sheetId="6" r:id="rId6"/>
    <sheet name="dcr" sheetId="7" r:id="rId7"/>
    <sheet name="stocklvl" sheetId="8" r:id="rId8"/>
    <sheet name="installable_capacity" sheetId="9" r:id="rId9"/>
    <sheet name="gas_block" sheetId="10" r:id="rId10"/>
    <sheet name="Tech_Stage_Specs" sheetId="11" r:id="rId11"/>
    <sheet name="Material_Intensity" sheetId="12" r:id="rId12"/>
    <sheet name="Recycling_Costs" sheetId="13" r:id="rId13"/>
    <sheet name="material_blocks" sheetId="14" r:id="rId14"/>
    <sheet name="mining_limit" sheetId="15" r:id="rId15"/>
    <sheet name="mining_cost" sheetId="16" r:id="rId16"/>
    <sheet name="import_cost_mining" sheetId="17" r:id="rId17"/>
    <sheet name="energy_transition_factor" sheetId="18" r:id="rId18"/>
    <sheet name="ore_metal_factor" sheetId="19" r:id="rId19"/>
    <sheet name="Component_Map" sheetId="20" r:id="rId20"/>
    <sheet name="Cost_Data" sheetId="21" r:id="rId21"/>
    <sheet name="Import_Cost_Stage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0" l="1"/>
  <c r="C13" i="10" s="1"/>
  <c r="C17" i="10" s="1"/>
  <c r="C21" i="10" s="1"/>
  <c r="C25" i="10" s="1"/>
  <c r="C29" i="10" s="1"/>
  <c r="C33" i="10" s="1"/>
  <c r="C37" i="10" s="1"/>
  <c r="C41" i="10" s="1"/>
  <c r="C45" i="10" s="1"/>
  <c r="C49" i="10" s="1"/>
  <c r="C53" i="10" s="1"/>
  <c r="C57" i="10" s="1"/>
  <c r="C61" i="10" s="1"/>
  <c r="C65" i="10" s="1"/>
  <c r="C69" i="10" s="1"/>
  <c r="C73" i="10" s="1"/>
  <c r="C77" i="10" s="1"/>
  <c r="C81" i="10" s="1"/>
  <c r="C85" i="10" s="1"/>
  <c r="C89" i="10" s="1"/>
  <c r="C93" i="10" s="1"/>
  <c r="C97" i="10" s="1"/>
  <c r="C101" i="10" s="1"/>
  <c r="C105" i="10" s="1"/>
  <c r="C109" i="10" s="1"/>
</calcChain>
</file>

<file path=xl/sharedStrings.xml><?xml version="1.0" encoding="utf-8"?>
<sst xmlns="http://schemas.openxmlformats.org/spreadsheetml/2006/main" count="743" uniqueCount="216">
  <si>
    <t>Stf</t>
  </si>
  <si>
    <t>EU27_solarPV_low</t>
  </si>
  <si>
    <t>EU27_solarPV_high</t>
  </si>
  <si>
    <t>EU27_windoff_low</t>
  </si>
  <si>
    <t>EU27_windoff_high</t>
  </si>
  <si>
    <t>EU27_windon_low</t>
  </si>
  <si>
    <t>EU27_windon_high</t>
  </si>
  <si>
    <t>EU27_Batteries_low</t>
  </si>
  <si>
    <t>EU27_Batteries_high</t>
  </si>
  <si>
    <t>Param</t>
  </si>
  <si>
    <t>Value</t>
  </si>
  <si>
    <t>Start Year y0</t>
  </si>
  <si>
    <t>End Year yn</t>
  </si>
  <si>
    <t>hours per year</t>
  </si>
  <si>
    <t>import_EU27_solarPV</t>
  </si>
  <si>
    <t>manufacturing_EU27_solarPV</t>
  </si>
  <si>
    <t>remanufacturing_EU27_solarPV</t>
  </si>
  <si>
    <t>recycling_EU27_solarPV</t>
  </si>
  <si>
    <t>oandm_EU27_solarPV</t>
  </si>
  <si>
    <t>import_EU27_windoff</t>
  </si>
  <si>
    <t>manufacturing_EU27_windoff</t>
  </si>
  <si>
    <t>remanufacturing_EU27_windoff</t>
  </si>
  <si>
    <t>recycling_EU27_windoff</t>
  </si>
  <si>
    <t>oandm_EU27_windoff</t>
  </si>
  <si>
    <t>import_EU27_windon</t>
  </si>
  <si>
    <t>manufacturing_EU27_windon</t>
  </si>
  <si>
    <t>remanufacturing_EU27_windon</t>
  </si>
  <si>
    <t>recycling_EU27_windon</t>
  </si>
  <si>
    <t>oandm_EU27_windon</t>
  </si>
  <si>
    <t>import_EU27_Batteries</t>
  </si>
  <si>
    <t>manufacturing_EU27_Batteries</t>
  </si>
  <si>
    <t>remanufacturing_EU27_Batteries</t>
  </si>
  <si>
    <t>recycling_EU27_Batteries</t>
  </si>
  <si>
    <t>oandm_EU27_Batteries</t>
  </si>
  <si>
    <t>Locations:</t>
  </si>
  <si>
    <t>EU27</t>
  </si>
  <si>
    <t>timestep</t>
  </si>
  <si>
    <t>EU27_solarPV</t>
  </si>
  <si>
    <t>EU27_windoff</t>
  </si>
  <si>
    <t>EU27_windon</t>
  </si>
  <si>
    <t>EU27_Batteries</t>
  </si>
  <si>
    <t>Technologies</t>
  </si>
  <si>
    <t>InitialCapacity</t>
  </si>
  <si>
    <t>InitialStockpile</t>
  </si>
  <si>
    <t>Storagecost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</si>
  <si>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</si>
  <si>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</si>
  <si>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</si>
  <si>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</si>
  <si>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</si>
  <si>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</si>
  <si>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</si>
  <si>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DR Secondary</t>
  </si>
  <si>
    <t>l</t>
  </si>
  <si>
    <t>n turnover stockpile</t>
  </si>
  <si>
    <t>logisticcost</t>
  </si>
  <si>
    <t>scrap</t>
  </si>
  <si>
    <t xml:space="preserve">mining </t>
  </si>
  <si>
    <t>recycling_efficiency</t>
  </si>
  <si>
    <t>IR_recycling</t>
  </si>
  <si>
    <t>Initial_decommisions</t>
  </si>
  <si>
    <t>Initial_secondary_cap</t>
  </si>
  <si>
    <t>price_reduction_init</t>
  </si>
  <si>
    <t>last_prim_cap</t>
  </si>
  <si>
    <t>last_sec_cap</t>
  </si>
  <si>
    <t>factor_bess</t>
  </si>
  <si>
    <t>capacity_scrap_total</t>
  </si>
  <si>
    <t>total_facility_cap_initial</t>
  </si>
  <si>
    <t>EU27.solarPV</t>
  </si>
  <si>
    <t>EU27.windoff</t>
  </si>
  <si>
    <t>EU27.windon</t>
  </si>
  <si>
    <t>EU27.Batteries</t>
  </si>
  <si>
    <t>Year</t>
  </si>
  <si>
    <t>solarPV</t>
  </si>
  <si>
    <t>windon</t>
  </si>
  <si>
    <t>windoff</t>
  </si>
  <si>
    <t>Installed wind energy capacity</t>
  </si>
  <si>
    <t>stf</t>
  </si>
  <si>
    <t>block</t>
  </si>
  <si>
    <t>limit</t>
  </si>
  <si>
    <t>price</t>
  </si>
  <si>
    <t>NZ_LNG</t>
  </si>
  <si>
    <t>NM_LNG</t>
  </si>
  <si>
    <t>WTF_LNG</t>
  </si>
  <si>
    <t>pipegas</t>
  </si>
  <si>
    <t>Location</t>
  </si>
  <si>
    <t>Technology</t>
  </si>
  <si>
    <t>Stage</t>
  </si>
  <si>
    <t>build_time_lag</t>
  </si>
  <si>
    <t>energy_needs</t>
  </si>
  <si>
    <t>init_cap</t>
  </si>
  <si>
    <t>is_final_stage</t>
  </si>
  <si>
    <t xml:space="preserve">note </t>
  </si>
  <si>
    <t>Polysilicon</t>
  </si>
  <si>
    <t>Wafer</t>
  </si>
  <si>
    <t>Cell</t>
  </si>
  <si>
    <t>Module</t>
  </si>
  <si>
    <t>finished</t>
  </si>
  <si>
    <t>BladeOn</t>
  </si>
  <si>
    <t>host</t>
  </si>
  <si>
    <t>TowerOn</t>
  </si>
  <si>
    <t>NacelleOn</t>
  </si>
  <si>
    <t>AssemblyOn</t>
  </si>
  <si>
    <t>finished, happens on-site so no limitation, will be limited by installable capacity</t>
  </si>
  <si>
    <t>BladeOff</t>
  </si>
  <si>
    <t>unique</t>
  </si>
  <si>
    <t>TowerOff</t>
  </si>
  <si>
    <t>NacelleOff</t>
  </si>
  <si>
    <t>AssemblyOff</t>
  </si>
  <si>
    <t>Batteries</t>
  </si>
  <si>
    <t>CellBatt</t>
  </si>
  <si>
    <t>Assembly</t>
  </si>
  <si>
    <t>Material</t>
  </si>
  <si>
    <t>intensity</t>
  </si>
  <si>
    <t>scrap_content</t>
  </si>
  <si>
    <t>rec_efficiency</t>
  </si>
  <si>
    <t>aluminum</t>
  </si>
  <si>
    <t>glass</t>
  </si>
  <si>
    <t>polymers</t>
  </si>
  <si>
    <t>copper</t>
  </si>
  <si>
    <t>silver</t>
  </si>
  <si>
    <t>silicon</t>
  </si>
  <si>
    <t>blade_bulk_on</t>
  </si>
  <si>
    <t>tower_bulk_on</t>
  </si>
  <si>
    <t>0.95</t>
  </si>
  <si>
    <t>cobalt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</si>
  <si>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</si>
  <si>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</si>
  <si>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</si>
  <si>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</si>
  <si>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</si>
  <si>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</si>
  <si>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</si>
  <si>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</si>
  <si>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</si>
  <si>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</si>
  <si>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</si>
  <si>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</si>
  <si>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blade_bulk_off</t>
  </si>
  <si>
    <t>tower_bulk_off</t>
  </si>
  <si>
    <t>boron</t>
  </si>
  <si>
    <t>molybdenum</t>
  </si>
  <si>
    <t>capex</t>
  </si>
  <si>
    <t>opex_fixed</t>
  </si>
  <si>
    <t>opex_var</t>
  </si>
  <si>
    <t>capex_magnet</t>
  </si>
  <si>
    <t>opex_fixed_magnet</t>
  </si>
  <si>
    <t>opex_var_magnet</t>
  </si>
  <si>
    <t>capex_bulk</t>
  </si>
  <si>
    <t>opex_fixed_bulk</t>
  </si>
  <si>
    <t>opex_var_bulk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</si>
  <si>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</si>
  <si>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</si>
  <si>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</si>
  <si>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</si>
  <si>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</si>
  <si>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</si>
  <si>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</si>
  <si>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</si>
  <si>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</si>
  <si>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 xml:space="preserve"> glass</t>
  </si>
  <si>
    <t xml:space="preserve"> polymers</t>
  </si>
  <si>
    <t xml:space="preserve"> copper</t>
  </si>
  <si>
    <t xml:space="preserve"> silver</t>
  </si>
  <si>
    <t xml:space="preserve"> silicon</t>
  </si>
  <si>
    <t xml:space="preserve"> blade_bulk_on</t>
  </si>
  <si>
    <t xml:space="preserve"> tower_bulk_on</t>
  </si>
  <si>
    <t xml:space="preserve"> cobalt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</si>
  <si>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</si>
  <si>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</si>
  <si>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</si>
  <si>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</si>
  <si>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</si>
  <si>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</si>
  <si>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</si>
  <si>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</si>
  <si>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</si>
  <si>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</si>
  <si>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</si>
  <si>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</si>
  <si>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</si>
  <si>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</si>
  <si>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</si>
  <si>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</si>
  <si>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>Cons_Tech</t>
  </si>
  <si>
    <t>Cons_Stage</t>
  </si>
  <si>
    <t>Input_Tech</t>
  </si>
  <si>
    <t>Input_Stage</t>
  </si>
  <si>
    <t>Ratio</t>
  </si>
  <si>
    <t>1.0</t>
  </si>
  <si>
    <t>capex_base</t>
  </si>
  <si>
    <t>opex_var_base</t>
  </si>
  <si>
    <t>material_downstream_manufacturing</t>
  </si>
  <si>
    <t>solarPV_Polysilicon</t>
  </si>
  <si>
    <t>solarPV_Wafer</t>
  </si>
  <si>
    <t>solarPV_Cell</t>
  </si>
  <si>
    <t>solarPV_Module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</si>
  <si>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</si>
  <si>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</si>
  <si>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</si>
  <si>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</si>
  <si>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</si>
  <si>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</si>
  <si>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</si>
  <si>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</si>
  <si>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Batteries_CellBatt</t>
  </si>
  <si>
    <t>Batteries_Assembly</t>
  </si>
  <si>
    <t>capex_solarPV_bos</t>
  </si>
  <si>
    <t>capex_windon_bos</t>
  </si>
  <si>
    <t>capex_windoff_bos</t>
  </si>
  <si>
    <t>opexf_solarPV_bos</t>
  </si>
  <si>
    <t>opexf_windon_bos</t>
  </si>
  <si>
    <t>opexf_windoff_bos</t>
  </si>
  <si>
    <t>opexv_solarPV_bos</t>
  </si>
  <si>
    <t>opexv_windon_bos</t>
  </si>
  <si>
    <t>opexv_windoff_bos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</si>
</sst>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000000"/>
      <name val="Calibri"/>
      <family val="2"/>
    </font>
    <font>
      <u/>
      <sz val="8"/>
      <color theme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7">
    <xf numFmtId="0" fontId="0" fillId="0" borderId="0"/>
    <xf numFmtId="43" fontId="2" fillId="0" borderId="0"/>
    <xf numFmtId="164" fontId="2" fillId="0" borderId="0"/>
    <xf numFmtId="0" fontId="3" fillId="0" borderId="1">
      <alignment vertical="top"/>
    </xf>
    <xf numFmtId="0" fontId="4" fillId="2" borderId="1">
      <alignment vertical="top"/>
    </xf>
    <xf numFmtId="0" fontId="3" fillId="2" borderId="1">
      <alignment vertical="top"/>
    </xf>
    <xf numFmtId="0" fontId="5" fillId="3" borderId="2">
      <alignment vertical="center" wrapText="1"/>
    </xf>
    <xf numFmtId="0" fontId="5" fillId="4" borderId="1">
      <alignment vertical="top"/>
    </xf>
    <xf numFmtId="0" fontId="6" fillId="0" borderId="0">
      <alignment vertical="top"/>
    </xf>
    <xf numFmtId="43" fontId="2" fillId="0" borderId="0"/>
    <xf numFmtId="0" fontId="8" fillId="11" borderId="5">
      <alignment horizontal="right" vertical="center"/>
    </xf>
    <xf numFmtId="0" fontId="9" fillId="0" borderId="0"/>
    <xf numFmtId="0" fontId="10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10" fillId="0" borderId="0"/>
    <xf numFmtId="9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10" fillId="0" borderId="0"/>
    <xf numFmtId="0" fontId="2" fillId="0" borderId="0"/>
    <xf numFmtId="0" fontId="2" fillId="0" borderId="0"/>
    <xf numFmtId="0" fontId="2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7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9" fillId="0" borderId="0" xfId="11"/>
    <xf numFmtId="0" fontId="1" fillId="0" borderId="3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</cellXfs>
  <cellStyles count="27">
    <cellStyle name="Comma 2" xfId="2" xr:uid="{00000000-0005-0000-0000-000002000000}"/>
    <cellStyle name="Comma 2 2" xfId="23" xr:uid="{00000000-0005-0000-0000-000017000000}"/>
    <cellStyle name="Comma 3" xfId="9" xr:uid="{00000000-0005-0000-0000-000009000000}"/>
    <cellStyle name="Komma 2" xfId="1" xr:uid="{00000000-0005-0000-0000-000001000000}"/>
    <cellStyle name="Link" xfId="11" builtinId="8"/>
    <cellStyle name="Link 2" xfId="13" xr:uid="{00000000-0005-0000-0000-00000D000000}"/>
    <cellStyle name="N_CalcSum" xfId="7" xr:uid="{00000000-0005-0000-0000-000007000000}"/>
    <cellStyle name="N_Comment" xfId="8" xr:uid="{00000000-0005-0000-0000-000008000000}"/>
    <cellStyle name="N_Input" xfId="5" xr:uid="{00000000-0005-0000-0000-000005000000}"/>
    <cellStyle name="N_InputCalc" xfId="4" xr:uid="{00000000-0005-0000-0000-000004000000}"/>
    <cellStyle name="N_InputWhite" xfId="3" xr:uid="{00000000-0005-0000-0000-000003000000}"/>
    <cellStyle name="N_Table1_Header" xfId="6" xr:uid="{00000000-0005-0000-0000-000006000000}"/>
    <cellStyle name="Normal 10" xfId="26" xr:uid="{00000000-0005-0000-0000-00001A000000}"/>
    <cellStyle name="Normal 2" xfId="14" xr:uid="{00000000-0005-0000-0000-00000E000000}"/>
    <cellStyle name="Normal 2 2" xfId="25" xr:uid="{00000000-0005-0000-0000-000019000000}"/>
    <cellStyle name="Normal 3" xfId="15" xr:uid="{00000000-0005-0000-0000-00000F000000}"/>
    <cellStyle name="Normal 4" xfId="16" xr:uid="{00000000-0005-0000-0000-000010000000}"/>
    <cellStyle name="Normal 5" xfId="17" xr:uid="{00000000-0005-0000-0000-000011000000}"/>
    <cellStyle name="Normal 6" xfId="19" xr:uid="{00000000-0005-0000-0000-000013000000}"/>
    <cellStyle name="Normal 7" xfId="20" xr:uid="{00000000-0005-0000-0000-000014000000}"/>
    <cellStyle name="Normal 8" xfId="21" xr:uid="{00000000-0005-0000-0000-000015000000}"/>
    <cellStyle name="Normal 9" xfId="22" xr:uid="{00000000-0005-0000-0000-000016000000}"/>
    <cellStyle name="Normal 9 2" xfId="24" xr:uid="{00000000-0005-0000-0000-000018000000}"/>
    <cellStyle name="Percent 2" xfId="18" xr:uid="{00000000-0005-0000-0000-000012000000}"/>
    <cellStyle name="Standard" xfId="0" builtinId="0"/>
    <cellStyle name="Standard 2" xfId="12" xr:uid="{00000000-0005-0000-0000-00000C000000}"/>
    <cellStyle name="Tabelle allgemein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9</v>
      </c>
      <c r="B1" s="1" t="s">
        <v>10</v>
      </c>
    </row>
    <row r="2" spans="1:2" x14ac:dyDescent="0.25">
      <c r="A2" t="s">
        <v>11</v>
      </c>
      <c r="B2">
        <v>2024</v>
      </c>
    </row>
    <row r="3" spans="1:2" x14ac:dyDescent="0.25">
      <c r="A3" t="s">
        <v>12</v>
      </c>
      <c r="B3">
        <v>2050</v>
      </c>
    </row>
    <row r="4" spans="1:2" x14ac:dyDescent="0.25">
      <c r="A4" t="s">
        <v>13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"/>
  <sheetViews>
    <sheetView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</v>
      </c>
      <c r="M3" s="8">
        <v>1660955.641333333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</v>
      </c>
      <c r="H4" s="8">
        <v>2298080.2421333329</v>
      </c>
      <c r="I4" s="8">
        <v>1996946.1610000001</v>
      </c>
      <c r="J4" s="8">
        <v>1000</v>
      </c>
      <c r="K4" s="8">
        <v>44000</v>
      </c>
      <c r="L4" s="8">
        <v>1032916.752</v>
      </c>
      <c r="M4" s="8">
        <v>1648203.5826666669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2278134.1024000002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1013788.664</v>
      </c>
      <c r="M6" s="8">
        <v>1622699.465333333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1594326.1348000001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1426824.2883041601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2179187.00208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1588587.7083999999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1392442.5529223201</v>
      </c>
      <c r="H12" s="8">
        <v>2166150.7750400002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1375251.6852314</v>
      </c>
      <c r="H13" s="8">
        <v>2153114.547999999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1582849.2819999999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1358060.8175404801</v>
      </c>
      <c r="H14" s="8">
        <v>2140078.3209600002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1340869.9498495599</v>
      </c>
      <c r="H15" s="8">
        <v>2127042.093919999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1577110.8555999999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1323679.08215864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</v>
      </c>
      <c r="H17" s="8">
        <v>2100969.6398399989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1571372.4291999999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</v>
      </c>
      <c r="N18" s="8">
        <v>1143231.041</v>
      </c>
      <c r="O18">
        <v>1000</v>
      </c>
      <c r="P18">
        <v>15965.36484629502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1288154.7510168401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1565634.0028000011</v>
      </c>
      <c r="N19" s="8">
        <v>1143231.041</v>
      </c>
      <c r="O19">
        <v>1000</v>
      </c>
      <c r="P19">
        <v>15965.36484629502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1288281.7061012799</v>
      </c>
      <c r="H20" s="8">
        <v>2065921.42288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</v>
      </c>
      <c r="N20" s="8">
        <v>1143231.041</v>
      </c>
      <c r="O20">
        <v>1000</v>
      </c>
      <c r="P20">
        <v>15965.36484629502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</v>
      </c>
      <c r="H21" s="8">
        <v>2054915.4279199999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1559895.5764000011</v>
      </c>
      <c r="N21" s="8">
        <v>1143231.041</v>
      </c>
      <c r="O21">
        <v>1000</v>
      </c>
      <c r="P21">
        <v>15965.36484629502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1288535.6162701601</v>
      </c>
      <c r="H22" s="8">
        <v>2043909.4329599999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</v>
      </c>
      <c r="N22" s="8">
        <v>1143231.041</v>
      </c>
      <c r="O22">
        <v>1000</v>
      </c>
      <c r="P22">
        <v>15965.36484629502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1288662.5713545999</v>
      </c>
      <c r="H23" s="8">
        <v>2032903.438000001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1554157.1500000011</v>
      </c>
      <c r="N23" s="8">
        <v>1143231.041</v>
      </c>
      <c r="O23">
        <v>1000</v>
      </c>
      <c r="P23">
        <v>15965.36484629502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</v>
      </c>
      <c r="H24" s="8">
        <v>2021897.443040001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1551287.936800001</v>
      </c>
      <c r="N24" s="8">
        <v>1143231.041</v>
      </c>
      <c r="O24">
        <v>1000</v>
      </c>
      <c r="P24">
        <v>15965.36484629502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1548418.7236000011</v>
      </c>
      <c r="N25" s="8">
        <v>1143231.041</v>
      </c>
      <c r="O25">
        <v>1000</v>
      </c>
      <c r="P25">
        <v>15965.36484629502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1289043.436607921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1545549.510400001</v>
      </c>
      <c r="N26" s="8">
        <v>1143231.041</v>
      </c>
      <c r="O26">
        <v>1000</v>
      </c>
      <c r="P26">
        <v>15965.36484629502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1289170.3916923599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1542680.2972000011</v>
      </c>
      <c r="N27" s="8">
        <v>1143231.041</v>
      </c>
      <c r="O27">
        <v>1000</v>
      </c>
      <c r="P27">
        <v>15965.36484629502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1977873.4632000001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34</v>
      </c>
    </row>
    <row r="2" spans="1:1" x14ac:dyDescent="0.25">
      <c r="A2" s="3" t="s">
        <v>35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36</v>
      </c>
      <c r="B1" t="s">
        <v>0</v>
      </c>
      <c r="C1" s="3" t="s">
        <v>37</v>
      </c>
      <c r="D1" s="3" t="s">
        <v>38</v>
      </c>
      <c r="E1" t="s">
        <v>39</v>
      </c>
      <c r="F1" t="s">
        <v>40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8"/>
  <sheetViews>
    <sheetView tabSelected="1" workbookViewId="0">
      <selection activeCell="N13" sqref="N13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41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  <c r="H1" s="4" t="s">
        <v>48</v>
      </c>
      <c r="I1" s="4" t="s">
        <v>49</v>
      </c>
      <c r="J1" s="4" t="s">
        <v>50</v>
      </c>
      <c r="K1" s="1" t="s">
        <v>51</v>
      </c>
      <c r="L1" s="1" t="s">
        <v>52</v>
      </c>
      <c r="M1" s="4" t="s">
        <v>53</v>
      </c>
      <c r="N1" s="4" t="s">
        <v>54</v>
      </c>
      <c r="O1" s="4" t="s">
        <v>55</v>
      </c>
      <c r="P1" s="4" t="s">
        <v>56</v>
      </c>
      <c r="Q1" s="4" t="s">
        <v>57</v>
      </c>
      <c r="R1" s="4" t="s">
        <v>58</v>
      </c>
      <c r="S1" s="4" t="s">
        <v>59</v>
      </c>
      <c r="T1" s="4" t="s">
        <v>60</v>
      </c>
      <c r="U1" s="4" t="s">
        <v>61</v>
      </c>
      <c r="V1" s="4" t="s">
        <v>62</v>
      </c>
      <c r="W1" s="4" t="s">
        <v>63</v>
      </c>
      <c r="X1" s="4" t="s">
        <v>64</v>
      </c>
      <c r="Y1" s="4" t="s">
        <v>65</v>
      </c>
      <c r="Z1" s="4" t="s">
        <v>66</v>
      </c>
      <c r="AA1" s="4" t="s">
        <v>67</v>
      </c>
    </row>
    <row r="2" spans="1:27" x14ac:dyDescent="0.25">
      <c r="A2" s="3" t="s">
        <v>68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30</v>
      </c>
      <c r="N2" s="5">
        <v>5</v>
      </c>
      <c r="O2" s="5">
        <v>5</v>
      </c>
      <c r="P2" s="6">
        <v>68.997493000000006</v>
      </c>
      <c r="Q2" s="6">
        <v>68.997493000000006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69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284.42904900000002</v>
      </c>
      <c r="Q3" s="6">
        <v>284.42904900000002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70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201.002072</v>
      </c>
      <c r="Q4" s="6">
        <v>201.002072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71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activeCell="C22" sqref="C22"/>
    </sheetView>
  </sheetViews>
  <sheetFormatPr baseColWidth="10" defaultRowHeight="15" x14ac:dyDescent="0.25"/>
  <sheetData>
    <row r="1" spans="1:8" x14ac:dyDescent="0.25">
      <c r="A1" t="s">
        <v>72</v>
      </c>
      <c r="B1" t="s">
        <v>73</v>
      </c>
      <c r="C1" t="s">
        <v>74</v>
      </c>
      <c r="D1" t="s">
        <v>75</v>
      </c>
      <c r="H1" s="23" t="s">
        <v>76</v>
      </c>
    </row>
    <row r="2" spans="1:8" x14ac:dyDescent="0.25">
      <c r="A2">
        <v>2024</v>
      </c>
      <c r="B2">
        <v>400</v>
      </c>
      <c r="C2">
        <v>5800</v>
      </c>
      <c r="D2">
        <v>100</v>
      </c>
    </row>
    <row r="3" spans="1:8" x14ac:dyDescent="0.25">
      <c r="A3">
        <v>2025</v>
      </c>
      <c r="B3">
        <v>630</v>
      </c>
      <c r="C3">
        <v>5510</v>
      </c>
      <c r="D3">
        <v>100</v>
      </c>
    </row>
    <row r="4" spans="1:8" x14ac:dyDescent="0.25">
      <c r="A4">
        <v>2026</v>
      </c>
      <c r="B4">
        <v>940</v>
      </c>
      <c r="C4">
        <v>6730</v>
      </c>
      <c r="D4">
        <v>100</v>
      </c>
    </row>
    <row r="5" spans="1:8" x14ac:dyDescent="0.25">
      <c r="A5">
        <v>2027</v>
      </c>
      <c r="B5">
        <v>1310</v>
      </c>
      <c r="C5">
        <v>7630</v>
      </c>
      <c r="D5">
        <v>200</v>
      </c>
    </row>
    <row r="6" spans="1:8" x14ac:dyDescent="0.25">
      <c r="A6">
        <v>2028</v>
      </c>
      <c r="B6">
        <v>1750</v>
      </c>
      <c r="C6">
        <v>6440</v>
      </c>
      <c r="D6">
        <v>250</v>
      </c>
    </row>
    <row r="7" spans="1:8" x14ac:dyDescent="0.25">
      <c r="A7">
        <v>2029</v>
      </c>
      <c r="B7">
        <v>2250</v>
      </c>
      <c r="C7">
        <v>10440</v>
      </c>
      <c r="D7">
        <v>300</v>
      </c>
    </row>
    <row r="8" spans="1:8" x14ac:dyDescent="0.25">
      <c r="A8">
        <v>2030</v>
      </c>
      <c r="B8">
        <v>2830</v>
      </c>
      <c r="C8">
        <v>7830</v>
      </c>
      <c r="D8">
        <v>250</v>
      </c>
    </row>
    <row r="9" spans="1:8" x14ac:dyDescent="0.25">
      <c r="A9">
        <v>2031</v>
      </c>
      <c r="B9">
        <v>3470</v>
      </c>
      <c r="C9">
        <v>7970</v>
      </c>
      <c r="D9">
        <v>500</v>
      </c>
    </row>
    <row r="10" spans="1:8" x14ac:dyDescent="0.25">
      <c r="A10">
        <v>2032</v>
      </c>
      <c r="B10">
        <v>4180</v>
      </c>
      <c r="C10">
        <v>9150</v>
      </c>
      <c r="D10">
        <v>600</v>
      </c>
    </row>
    <row r="11" spans="1:8" x14ac:dyDescent="0.25">
      <c r="A11">
        <v>2033</v>
      </c>
      <c r="B11">
        <v>4960</v>
      </c>
      <c r="C11">
        <v>7780</v>
      </c>
      <c r="D11">
        <v>700</v>
      </c>
    </row>
    <row r="12" spans="1:8" x14ac:dyDescent="0.25">
      <c r="A12">
        <v>2034</v>
      </c>
      <c r="B12">
        <v>5810</v>
      </c>
      <c r="C12">
        <v>9090</v>
      </c>
      <c r="D12">
        <v>900</v>
      </c>
    </row>
    <row r="13" spans="1:8" x14ac:dyDescent="0.25">
      <c r="A13">
        <v>2035</v>
      </c>
      <c r="B13">
        <v>6730</v>
      </c>
      <c r="C13">
        <v>10150</v>
      </c>
      <c r="D13">
        <v>1400</v>
      </c>
    </row>
    <row r="14" spans="1:8" x14ac:dyDescent="0.25">
      <c r="A14">
        <v>2036</v>
      </c>
      <c r="B14">
        <v>7720</v>
      </c>
      <c r="C14">
        <v>9600</v>
      </c>
      <c r="D14">
        <v>1200</v>
      </c>
    </row>
    <row r="15" spans="1:8" x14ac:dyDescent="0.25">
      <c r="A15">
        <v>2037</v>
      </c>
      <c r="B15">
        <v>8800</v>
      </c>
      <c r="C15">
        <v>9440</v>
      </c>
      <c r="D15">
        <v>1500</v>
      </c>
    </row>
    <row r="16" spans="1:8" x14ac:dyDescent="0.25">
      <c r="A16">
        <v>2038</v>
      </c>
      <c r="B16">
        <v>9970</v>
      </c>
      <c r="C16">
        <v>6900</v>
      </c>
      <c r="D16">
        <v>1400</v>
      </c>
    </row>
    <row r="17" spans="1:4" x14ac:dyDescent="0.25">
      <c r="A17">
        <v>2039</v>
      </c>
      <c r="B17">
        <v>11230</v>
      </c>
      <c r="C17">
        <v>7830</v>
      </c>
      <c r="D17">
        <v>2100</v>
      </c>
    </row>
    <row r="18" spans="1:4" x14ac:dyDescent="0.25">
      <c r="A18">
        <v>2040</v>
      </c>
      <c r="B18">
        <v>12570</v>
      </c>
      <c r="C18">
        <v>7230</v>
      </c>
      <c r="D18">
        <v>2700</v>
      </c>
    </row>
    <row r="19" spans="1:4" x14ac:dyDescent="0.25">
      <c r="A19">
        <v>2041</v>
      </c>
      <c r="B19">
        <v>14010</v>
      </c>
      <c r="C19">
        <v>9860</v>
      </c>
      <c r="D19">
        <v>1000</v>
      </c>
    </row>
    <row r="20" spans="1:4" x14ac:dyDescent="0.25">
      <c r="A20">
        <v>2042</v>
      </c>
      <c r="B20">
        <v>15530</v>
      </c>
      <c r="C20">
        <v>14890</v>
      </c>
      <c r="D20">
        <v>800</v>
      </c>
    </row>
    <row r="21" spans="1:4" x14ac:dyDescent="0.25">
      <c r="A21">
        <v>2043</v>
      </c>
      <c r="B21">
        <v>17130</v>
      </c>
      <c r="C21">
        <v>13340</v>
      </c>
      <c r="D21">
        <v>1900</v>
      </c>
    </row>
    <row r="22" spans="1:4" x14ac:dyDescent="0.25">
      <c r="A22">
        <v>2044</v>
      </c>
      <c r="B22">
        <v>18830</v>
      </c>
      <c r="C22" s="7">
        <v>11210</v>
      </c>
      <c r="D22" s="7">
        <v>1200</v>
      </c>
    </row>
    <row r="23" spans="1:4" x14ac:dyDescent="0.25">
      <c r="A23">
        <v>2045</v>
      </c>
      <c r="B23">
        <v>20610</v>
      </c>
      <c r="C23">
        <v>0</v>
      </c>
      <c r="D23">
        <v>0</v>
      </c>
    </row>
    <row r="24" spans="1:4" x14ac:dyDescent="0.25">
      <c r="A24">
        <v>2046</v>
      </c>
      <c r="B24">
        <v>22480</v>
      </c>
      <c r="C24">
        <v>0</v>
      </c>
      <c r="D24">
        <v>0</v>
      </c>
    </row>
    <row r="25" spans="1:4" x14ac:dyDescent="0.25">
      <c r="A25">
        <v>2047</v>
      </c>
      <c r="B25">
        <v>24440</v>
      </c>
      <c r="C25">
        <v>0</v>
      </c>
      <c r="D25">
        <v>0</v>
      </c>
    </row>
    <row r="26" spans="1:4" x14ac:dyDescent="0.25">
      <c r="A26">
        <v>2048</v>
      </c>
      <c r="B26">
        <v>26480</v>
      </c>
      <c r="C26">
        <v>0</v>
      </c>
      <c r="D26">
        <v>0</v>
      </c>
    </row>
    <row r="27" spans="1:4" x14ac:dyDescent="0.25">
      <c r="A27">
        <v>2049</v>
      </c>
      <c r="B27">
        <v>28610</v>
      </c>
      <c r="C27">
        <v>0</v>
      </c>
      <c r="D27">
        <v>0</v>
      </c>
    </row>
    <row r="28" spans="1:4" x14ac:dyDescent="0.25">
      <c r="A28">
        <v>2050</v>
      </c>
      <c r="B28">
        <v>30830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00000000-0004-0000-0500-000000000000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0</v>
      </c>
      <c r="B1" s="3" t="s">
        <v>37</v>
      </c>
      <c r="C1" s="3" t="s">
        <v>38</v>
      </c>
      <c r="D1" s="3" t="s">
        <v>39</v>
      </c>
      <c r="E1" s="3" t="s">
        <v>40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0</v>
      </c>
      <c r="B1" s="3" t="s">
        <v>37</v>
      </c>
      <c r="C1" s="3" t="s">
        <v>38</v>
      </c>
      <c r="D1" s="3" t="s">
        <v>39</v>
      </c>
      <c r="E1" s="3" t="s">
        <v>40</v>
      </c>
    </row>
    <row r="2" spans="1:5" x14ac:dyDescent="0.25">
      <c r="A2">
        <v>2024</v>
      </c>
      <c r="B2">
        <v>26229.707719999999</v>
      </c>
      <c r="C2">
        <v>26229.707719999999</v>
      </c>
      <c r="D2">
        <v>26229.707719999999</v>
      </c>
      <c r="E2">
        <v>26229.707719999999</v>
      </c>
    </row>
    <row r="3" spans="1:5" x14ac:dyDescent="0.25">
      <c r="A3">
        <v>2025</v>
      </c>
      <c r="B3">
        <v>26589.17467</v>
      </c>
      <c r="C3">
        <v>26589.17467</v>
      </c>
      <c r="D3">
        <v>26589.17467</v>
      </c>
      <c r="E3">
        <v>26589.17467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202089.00580000001</v>
      </c>
      <c r="C12">
        <v>202089.00580000001</v>
      </c>
      <c r="D12">
        <v>202089.00580000001</v>
      </c>
      <c r="E12">
        <v>202089.00580000001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126654.49770000001</v>
      </c>
      <c r="C14">
        <v>126654.49770000001</v>
      </c>
      <c r="D14">
        <v>126654.49770000001</v>
      </c>
      <c r="E14">
        <v>126654.49770000001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30788.296409999999</v>
      </c>
      <c r="C18">
        <v>30788.296409999999</v>
      </c>
      <c r="D18">
        <v>30788.296409999999</v>
      </c>
      <c r="E18">
        <v>30788.296409999999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35066.675020000002</v>
      </c>
      <c r="C22">
        <v>35066.675020000002</v>
      </c>
      <c r="D22">
        <v>35066.675020000002</v>
      </c>
      <c r="E22">
        <v>35066.675020000002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25310.301889999999</v>
      </c>
      <c r="C24">
        <v>25310.301889999999</v>
      </c>
      <c r="D24">
        <v>25310.301889999999</v>
      </c>
      <c r="E24">
        <v>25310.301889999999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8"/>
  <sheetViews>
    <sheetView workbookViewId="0">
      <selection activeCell="I10" sqref="I10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2024</v>
      </c>
      <c r="B2">
        <v>276715</v>
      </c>
      <c r="C2">
        <v>280000</v>
      </c>
      <c r="D2">
        <v>18800</v>
      </c>
      <c r="E2">
        <v>19500</v>
      </c>
      <c r="F2">
        <v>195370</v>
      </c>
      <c r="G2">
        <v>198000</v>
      </c>
      <c r="H2">
        <v>0</v>
      </c>
      <c r="I2">
        <v>50000</v>
      </c>
    </row>
    <row r="3" spans="1:9" x14ac:dyDescent="0.25">
      <c r="A3">
        <v>2025</v>
      </c>
      <c r="B3">
        <v>341815</v>
      </c>
      <c r="C3">
        <v>348000</v>
      </c>
      <c r="D3">
        <v>22878</v>
      </c>
      <c r="E3">
        <v>23785</v>
      </c>
      <c r="F3">
        <v>212316</v>
      </c>
      <c r="G3">
        <v>216081</v>
      </c>
      <c r="H3">
        <v>0</v>
      </c>
      <c r="I3">
        <v>50000</v>
      </c>
    </row>
    <row r="4" spans="1:9" x14ac:dyDescent="0.25">
      <c r="A4">
        <v>2026</v>
      </c>
      <c r="B4">
        <v>406252</v>
      </c>
      <c r="C4">
        <v>435452</v>
      </c>
      <c r="D4">
        <v>26957</v>
      </c>
      <c r="E4">
        <v>28770</v>
      </c>
      <c r="F4">
        <v>229261</v>
      </c>
      <c r="G4">
        <v>236792</v>
      </c>
      <c r="H4">
        <v>0</v>
      </c>
      <c r="I4">
        <v>50000</v>
      </c>
    </row>
    <row r="5" spans="1:9" x14ac:dyDescent="0.25">
      <c r="A5">
        <v>2027</v>
      </c>
      <c r="B5">
        <v>470689</v>
      </c>
      <c r="C5">
        <v>529089</v>
      </c>
      <c r="D5">
        <v>31036</v>
      </c>
      <c r="E5">
        <v>33754</v>
      </c>
      <c r="F5">
        <v>246206</v>
      </c>
      <c r="G5">
        <v>257504</v>
      </c>
      <c r="H5">
        <v>0</v>
      </c>
      <c r="I5">
        <v>50000</v>
      </c>
    </row>
    <row r="6" spans="1:9" x14ac:dyDescent="0.25">
      <c r="A6">
        <v>2028</v>
      </c>
      <c r="B6">
        <v>535126</v>
      </c>
      <c r="C6">
        <v>622726</v>
      </c>
      <c r="D6">
        <v>35114</v>
      </c>
      <c r="E6">
        <v>38739</v>
      </c>
      <c r="F6">
        <v>263152</v>
      </c>
      <c r="G6">
        <v>278215</v>
      </c>
      <c r="H6">
        <v>0</v>
      </c>
      <c r="I6">
        <v>50000</v>
      </c>
    </row>
    <row r="7" spans="1:9" x14ac:dyDescent="0.25">
      <c r="A7">
        <v>2029</v>
      </c>
      <c r="B7">
        <v>599563</v>
      </c>
      <c r="C7">
        <v>716363</v>
      </c>
      <c r="D7">
        <v>39192</v>
      </c>
      <c r="E7">
        <v>43724</v>
      </c>
      <c r="F7">
        <v>280098</v>
      </c>
      <c r="G7">
        <v>298926</v>
      </c>
      <c r="H7">
        <v>0</v>
      </c>
      <c r="I7">
        <v>50000</v>
      </c>
    </row>
    <row r="8" spans="1:9" x14ac:dyDescent="0.25">
      <c r="A8">
        <v>2030</v>
      </c>
      <c r="B8">
        <v>664000</v>
      </c>
      <c r="C8">
        <v>810000</v>
      </c>
      <c r="D8">
        <v>43271</v>
      </c>
      <c r="E8">
        <v>48709</v>
      </c>
      <c r="F8">
        <v>297043</v>
      </c>
      <c r="G8">
        <v>319637</v>
      </c>
      <c r="H8">
        <v>0</v>
      </c>
      <c r="I8">
        <v>50000</v>
      </c>
    </row>
    <row r="9" spans="1:9" x14ac:dyDescent="0.25">
      <c r="A9">
        <v>2031</v>
      </c>
      <c r="B9">
        <v>675712</v>
      </c>
      <c r="C9">
        <v>873840</v>
      </c>
      <c r="D9">
        <v>65852</v>
      </c>
      <c r="E9">
        <v>89642</v>
      </c>
      <c r="F9">
        <v>305815</v>
      </c>
      <c r="G9">
        <v>350661</v>
      </c>
      <c r="H9">
        <v>0</v>
      </c>
      <c r="I9">
        <v>50000</v>
      </c>
    </row>
    <row r="10" spans="1:9" x14ac:dyDescent="0.25">
      <c r="A10">
        <v>2032</v>
      </c>
      <c r="B10">
        <v>687425</v>
      </c>
      <c r="C10">
        <v>937679</v>
      </c>
      <c r="D10">
        <v>88434</v>
      </c>
      <c r="E10">
        <v>130574</v>
      </c>
      <c r="F10">
        <v>314588</v>
      </c>
      <c r="G10">
        <v>381685</v>
      </c>
      <c r="H10">
        <v>0</v>
      </c>
      <c r="I10">
        <v>50000</v>
      </c>
    </row>
    <row r="11" spans="1:9" x14ac:dyDescent="0.25">
      <c r="A11">
        <v>2033</v>
      </c>
      <c r="B11">
        <v>699137</v>
      </c>
      <c r="C11">
        <v>1001518</v>
      </c>
      <c r="D11">
        <v>111015</v>
      </c>
      <c r="E11">
        <v>171506</v>
      </c>
      <c r="F11">
        <v>323360</v>
      </c>
      <c r="G11">
        <v>412709</v>
      </c>
      <c r="H11">
        <v>0</v>
      </c>
      <c r="I11">
        <v>50000</v>
      </c>
    </row>
    <row r="12" spans="1:9" x14ac:dyDescent="0.25">
      <c r="A12">
        <v>2034</v>
      </c>
      <c r="B12">
        <v>710850</v>
      </c>
      <c r="C12">
        <v>1065358</v>
      </c>
      <c r="D12">
        <v>133596</v>
      </c>
      <c r="E12">
        <v>212439</v>
      </c>
      <c r="F12">
        <v>332133</v>
      </c>
      <c r="G12">
        <v>443733</v>
      </c>
      <c r="H12">
        <v>0</v>
      </c>
      <c r="I12">
        <v>50000</v>
      </c>
    </row>
    <row r="13" spans="1:9" x14ac:dyDescent="0.25">
      <c r="A13">
        <v>2035</v>
      </c>
      <c r="B13">
        <v>722562</v>
      </c>
      <c r="C13">
        <v>1129198</v>
      </c>
      <c r="D13">
        <v>156178</v>
      </c>
      <c r="E13">
        <v>253372</v>
      </c>
      <c r="F13">
        <v>340905</v>
      </c>
      <c r="G13">
        <v>474757</v>
      </c>
      <c r="H13">
        <v>0</v>
      </c>
      <c r="I13">
        <v>50000</v>
      </c>
    </row>
    <row r="14" spans="1:9" x14ac:dyDescent="0.25">
      <c r="A14">
        <v>2036</v>
      </c>
      <c r="B14">
        <v>734274</v>
      </c>
      <c r="C14">
        <v>1193037</v>
      </c>
      <c r="D14">
        <v>178759</v>
      </c>
      <c r="E14">
        <v>294304</v>
      </c>
      <c r="F14">
        <v>349677</v>
      </c>
      <c r="G14">
        <v>505781</v>
      </c>
      <c r="H14">
        <v>0</v>
      </c>
      <c r="I14">
        <v>50000</v>
      </c>
    </row>
    <row r="15" spans="1:9" x14ac:dyDescent="0.25">
      <c r="A15">
        <v>2037</v>
      </c>
      <c r="B15">
        <v>745987</v>
      </c>
      <c r="C15">
        <v>1256876</v>
      </c>
      <c r="D15">
        <v>201340</v>
      </c>
      <c r="E15">
        <v>335236</v>
      </c>
      <c r="F15">
        <v>358450</v>
      </c>
      <c r="G15">
        <v>536805</v>
      </c>
      <c r="H15">
        <v>0</v>
      </c>
      <c r="I15">
        <v>50000</v>
      </c>
    </row>
    <row r="16" spans="1:9" x14ac:dyDescent="0.25">
      <c r="A16">
        <v>2038</v>
      </c>
      <c r="B16">
        <v>757699</v>
      </c>
      <c r="C16">
        <v>1320716</v>
      </c>
      <c r="D16">
        <v>223921</v>
      </c>
      <c r="E16">
        <v>376169</v>
      </c>
      <c r="F16">
        <v>367222</v>
      </c>
      <c r="G16">
        <v>567829</v>
      </c>
      <c r="H16">
        <v>0</v>
      </c>
      <c r="I16">
        <v>50000</v>
      </c>
    </row>
    <row r="17" spans="1:9" x14ac:dyDescent="0.25">
      <c r="A17">
        <v>2039</v>
      </c>
      <c r="B17">
        <v>769412</v>
      </c>
      <c r="C17">
        <v>1384556</v>
      </c>
      <c r="D17">
        <v>246503</v>
      </c>
      <c r="E17">
        <v>417102</v>
      </c>
      <c r="F17">
        <v>375995</v>
      </c>
      <c r="G17">
        <v>598853</v>
      </c>
      <c r="H17">
        <v>0</v>
      </c>
      <c r="I17">
        <v>50000</v>
      </c>
    </row>
    <row r="18" spans="1:9" x14ac:dyDescent="0.25">
      <c r="A18">
        <v>2040</v>
      </c>
      <c r="B18">
        <v>781124</v>
      </c>
      <c r="C18">
        <v>1448395</v>
      </c>
      <c r="D18">
        <v>269084</v>
      </c>
      <c r="E18">
        <v>458034</v>
      </c>
      <c r="F18">
        <v>384767</v>
      </c>
      <c r="G18">
        <v>629877</v>
      </c>
      <c r="H18">
        <v>0</v>
      </c>
      <c r="I18">
        <v>50000</v>
      </c>
    </row>
    <row r="19" spans="1:9" x14ac:dyDescent="0.25">
      <c r="A19">
        <v>2041</v>
      </c>
      <c r="B19">
        <v>800590</v>
      </c>
      <c r="C19">
        <v>1506764</v>
      </c>
      <c r="D19">
        <v>279896</v>
      </c>
      <c r="E19">
        <v>479810</v>
      </c>
      <c r="F19">
        <v>388459</v>
      </c>
      <c r="G19">
        <v>647964</v>
      </c>
      <c r="H19">
        <v>0</v>
      </c>
      <c r="I19">
        <v>50000</v>
      </c>
    </row>
    <row r="20" spans="1:9" x14ac:dyDescent="0.25">
      <c r="A20">
        <v>2042</v>
      </c>
      <c r="B20">
        <v>820056</v>
      </c>
      <c r="C20">
        <v>1565133</v>
      </c>
      <c r="D20">
        <v>290709</v>
      </c>
      <c r="E20">
        <v>501586</v>
      </c>
      <c r="F20">
        <v>392151</v>
      </c>
      <c r="G20">
        <v>666051</v>
      </c>
      <c r="H20">
        <v>0</v>
      </c>
      <c r="I20">
        <v>50000</v>
      </c>
    </row>
    <row r="21" spans="1:9" x14ac:dyDescent="0.25">
      <c r="A21">
        <v>2043</v>
      </c>
      <c r="B21">
        <v>839521</v>
      </c>
      <c r="C21">
        <v>1623501</v>
      </c>
      <c r="D21">
        <v>301522</v>
      </c>
      <c r="E21">
        <v>523363</v>
      </c>
      <c r="F21">
        <v>395843</v>
      </c>
      <c r="G21">
        <v>684138</v>
      </c>
      <c r="H21">
        <v>0</v>
      </c>
      <c r="I21">
        <v>50000</v>
      </c>
    </row>
    <row r="22" spans="1:9" x14ac:dyDescent="0.25">
      <c r="A22">
        <v>2044</v>
      </c>
      <c r="B22">
        <v>858987</v>
      </c>
      <c r="C22">
        <v>1681870</v>
      </c>
      <c r="D22">
        <v>312334</v>
      </c>
      <c r="E22">
        <v>545139</v>
      </c>
      <c r="F22">
        <v>399535</v>
      </c>
      <c r="G22">
        <v>702225</v>
      </c>
      <c r="H22">
        <v>0</v>
      </c>
      <c r="I22">
        <v>50000</v>
      </c>
    </row>
    <row r="23" spans="1:9" x14ac:dyDescent="0.25">
      <c r="A23">
        <v>2045</v>
      </c>
      <c r="B23">
        <v>878453</v>
      </c>
      <c r="C23">
        <v>1740239</v>
      </c>
      <c r="D23">
        <v>323146</v>
      </c>
      <c r="E23">
        <v>566915</v>
      </c>
      <c r="F23">
        <v>403227</v>
      </c>
      <c r="G23">
        <v>720312</v>
      </c>
      <c r="H23">
        <v>0</v>
      </c>
      <c r="I23">
        <v>50000</v>
      </c>
    </row>
    <row r="24" spans="1:9" x14ac:dyDescent="0.25">
      <c r="A24">
        <v>2046</v>
      </c>
      <c r="B24">
        <v>897919</v>
      </c>
      <c r="C24">
        <v>1798608</v>
      </c>
      <c r="D24">
        <v>333959</v>
      </c>
      <c r="E24">
        <v>588691</v>
      </c>
      <c r="F24">
        <v>406919</v>
      </c>
      <c r="G24">
        <v>738400</v>
      </c>
      <c r="H24">
        <v>0</v>
      </c>
      <c r="I24">
        <v>50000</v>
      </c>
    </row>
    <row r="25" spans="1:9" x14ac:dyDescent="0.25">
      <c r="A25">
        <v>2047</v>
      </c>
      <c r="B25">
        <v>917385</v>
      </c>
      <c r="C25">
        <v>1856977</v>
      </c>
      <c r="D25">
        <v>344772</v>
      </c>
      <c r="E25">
        <v>610467</v>
      </c>
      <c r="F25">
        <v>410611</v>
      </c>
      <c r="G25">
        <v>756487</v>
      </c>
      <c r="H25">
        <v>0</v>
      </c>
      <c r="I25">
        <v>50000</v>
      </c>
    </row>
    <row r="26" spans="1:9" x14ac:dyDescent="0.25">
      <c r="A26">
        <v>2048</v>
      </c>
      <c r="B26">
        <v>936850</v>
      </c>
      <c r="C26">
        <v>1915345</v>
      </c>
      <c r="D26">
        <v>355584</v>
      </c>
      <c r="E26">
        <v>632244</v>
      </c>
      <c r="F26">
        <v>414303</v>
      </c>
      <c r="G26">
        <v>774574</v>
      </c>
      <c r="H26">
        <v>0</v>
      </c>
      <c r="I26">
        <v>50000</v>
      </c>
    </row>
    <row r="27" spans="1:9" x14ac:dyDescent="0.25">
      <c r="A27">
        <v>2049</v>
      </c>
      <c r="B27">
        <v>956316</v>
      </c>
      <c r="C27">
        <v>1973714</v>
      </c>
      <c r="D27">
        <v>366396</v>
      </c>
      <c r="E27">
        <v>654020</v>
      </c>
      <c r="F27">
        <v>417995</v>
      </c>
      <c r="G27">
        <v>792661</v>
      </c>
      <c r="H27">
        <v>0</v>
      </c>
      <c r="I27">
        <v>50000</v>
      </c>
    </row>
    <row r="28" spans="1:9" x14ac:dyDescent="0.25">
      <c r="A28">
        <v>2050</v>
      </c>
      <c r="B28">
        <v>975782</v>
      </c>
      <c r="C28">
        <v>2032083</v>
      </c>
      <c r="D28">
        <v>377209</v>
      </c>
      <c r="E28">
        <v>675796</v>
      </c>
      <c r="F28">
        <v>421687</v>
      </c>
      <c r="G28">
        <v>810748</v>
      </c>
      <c r="H28">
        <v>0</v>
      </c>
      <c r="I28">
        <v>50000</v>
      </c>
    </row>
  </sheetData>
  <pageMargins left="0.7" right="0.7" top="0.78740157499999996" bottom="0.78740157499999996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9"/>
  <sheetViews>
    <sheetView workbookViewId="0">
      <selection activeCell="I11" sqref="I11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77</v>
      </c>
      <c r="B1" s="11" t="s">
        <v>78</v>
      </c>
      <c r="C1" s="11" t="s">
        <v>79</v>
      </c>
      <c r="D1" s="11" t="s">
        <v>80</v>
      </c>
    </row>
    <row r="2" spans="1:5" x14ac:dyDescent="0.25">
      <c r="A2" s="24">
        <v>2024</v>
      </c>
      <c r="B2" s="11" t="s">
        <v>81</v>
      </c>
      <c r="C2" s="2">
        <v>270613611.10000002</v>
      </c>
      <c r="D2">
        <v>29.19</v>
      </c>
    </row>
    <row r="3" spans="1:5" x14ac:dyDescent="0.25">
      <c r="A3" s="25"/>
      <c r="B3" s="11" t="s">
        <v>82</v>
      </c>
      <c r="C3" s="2">
        <v>1047284444</v>
      </c>
      <c r="D3">
        <v>42.69</v>
      </c>
      <c r="E3" s="2"/>
    </row>
    <row r="4" spans="1:5" x14ac:dyDescent="0.25">
      <c r="A4" s="25"/>
      <c r="B4" s="11" t="s">
        <v>83</v>
      </c>
      <c r="C4" s="2">
        <v>2930833333</v>
      </c>
      <c r="D4">
        <v>150</v>
      </c>
    </row>
    <row r="5" spans="1:5" x14ac:dyDescent="0.25">
      <c r="A5" s="26"/>
      <c r="B5" s="11" t="s">
        <v>84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81</v>
      </c>
      <c r="C6" s="2">
        <v>270613611.10000002</v>
      </c>
      <c r="D6">
        <v>29.19</v>
      </c>
    </row>
    <row r="7" spans="1:5" x14ac:dyDescent="0.25">
      <c r="A7" s="25"/>
      <c r="B7" s="11" t="s">
        <v>82</v>
      </c>
      <c r="C7" s="2">
        <v>1047284444</v>
      </c>
      <c r="D7">
        <v>42.69</v>
      </c>
    </row>
    <row r="8" spans="1:5" x14ac:dyDescent="0.25">
      <c r="A8" s="25"/>
      <c r="B8" s="11" t="s">
        <v>83</v>
      </c>
      <c r="C8" s="2">
        <v>2930833333</v>
      </c>
      <c r="D8">
        <v>150</v>
      </c>
    </row>
    <row r="9" spans="1:5" x14ac:dyDescent="0.25">
      <c r="A9" s="26"/>
      <c r="B9" s="11" t="s">
        <v>84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81</v>
      </c>
      <c r="C10" s="2">
        <v>270613611.10000002</v>
      </c>
      <c r="D10">
        <v>29.19</v>
      </c>
    </row>
    <row r="11" spans="1:5" x14ac:dyDescent="0.25">
      <c r="A11" s="25"/>
      <c r="B11" s="11" t="s">
        <v>82</v>
      </c>
      <c r="C11" s="2">
        <v>1047284444</v>
      </c>
      <c r="D11">
        <v>42.69</v>
      </c>
    </row>
    <row r="12" spans="1:5" x14ac:dyDescent="0.25">
      <c r="A12" s="25"/>
      <c r="B12" s="11" t="s">
        <v>83</v>
      </c>
      <c r="C12" s="2">
        <v>2930833333</v>
      </c>
      <c r="D12">
        <v>150</v>
      </c>
    </row>
    <row r="13" spans="1:5" x14ac:dyDescent="0.25">
      <c r="A13" s="26"/>
      <c r="B13" s="11" t="s">
        <v>84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81</v>
      </c>
      <c r="C14" s="2">
        <v>270613611.10000002</v>
      </c>
      <c r="D14">
        <v>29.19</v>
      </c>
    </row>
    <row r="15" spans="1:5" x14ac:dyDescent="0.25">
      <c r="A15" s="25"/>
      <c r="B15" s="11" t="s">
        <v>82</v>
      </c>
      <c r="C15" s="2">
        <v>1047284444</v>
      </c>
      <c r="D15">
        <v>42.69</v>
      </c>
    </row>
    <row r="16" spans="1:5" x14ac:dyDescent="0.25">
      <c r="A16" s="25"/>
      <c r="B16" s="11" t="s">
        <v>83</v>
      </c>
      <c r="C16" s="2">
        <v>2930833333</v>
      </c>
      <c r="D16">
        <v>150</v>
      </c>
    </row>
    <row r="17" spans="1:4" x14ac:dyDescent="0.25">
      <c r="A17" s="26"/>
      <c r="B17" s="11" t="s">
        <v>84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81</v>
      </c>
      <c r="C18" s="2">
        <v>270613611.10000002</v>
      </c>
      <c r="D18">
        <v>29.19</v>
      </c>
    </row>
    <row r="19" spans="1:4" x14ac:dyDescent="0.25">
      <c r="A19" s="25"/>
      <c r="B19" s="11" t="s">
        <v>82</v>
      </c>
      <c r="C19" s="2">
        <v>1047284444</v>
      </c>
      <c r="D19">
        <v>42.69</v>
      </c>
    </row>
    <row r="20" spans="1:4" x14ac:dyDescent="0.25">
      <c r="A20" s="25"/>
      <c r="B20" s="11" t="s">
        <v>83</v>
      </c>
      <c r="C20" s="2">
        <v>2930833333</v>
      </c>
      <c r="D20">
        <v>150</v>
      </c>
    </row>
    <row r="21" spans="1:4" x14ac:dyDescent="0.25">
      <c r="A21" s="26"/>
      <c r="B21" s="11" t="s">
        <v>84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81</v>
      </c>
      <c r="C22" s="2">
        <v>270613611.10000002</v>
      </c>
      <c r="D22">
        <v>29.19</v>
      </c>
    </row>
    <row r="23" spans="1:4" x14ac:dyDescent="0.25">
      <c r="A23" s="25"/>
      <c r="B23" s="11" t="s">
        <v>82</v>
      </c>
      <c r="C23" s="2">
        <v>1047284444</v>
      </c>
      <c r="D23">
        <v>42.69</v>
      </c>
    </row>
    <row r="24" spans="1:4" x14ac:dyDescent="0.25">
      <c r="A24" s="25"/>
      <c r="B24" s="11" t="s">
        <v>83</v>
      </c>
      <c r="C24" s="2">
        <v>2930833333</v>
      </c>
      <c r="D24">
        <v>150</v>
      </c>
    </row>
    <row r="25" spans="1:4" x14ac:dyDescent="0.25">
      <c r="A25" s="26"/>
      <c r="B25" s="11" t="s">
        <v>84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81</v>
      </c>
      <c r="C26" s="2">
        <v>270613611.10000002</v>
      </c>
      <c r="D26">
        <v>29.19</v>
      </c>
    </row>
    <row r="27" spans="1:4" x14ac:dyDescent="0.25">
      <c r="A27" s="25"/>
      <c r="B27" s="11" t="s">
        <v>82</v>
      </c>
      <c r="C27" s="2">
        <v>1047284444</v>
      </c>
      <c r="D27">
        <v>42.69</v>
      </c>
    </row>
    <row r="28" spans="1:4" x14ac:dyDescent="0.25">
      <c r="A28" s="25"/>
      <c r="B28" s="11" t="s">
        <v>83</v>
      </c>
      <c r="C28" s="2">
        <v>2930833333</v>
      </c>
      <c r="D28">
        <v>150</v>
      </c>
    </row>
    <row r="29" spans="1:4" x14ac:dyDescent="0.25">
      <c r="A29" s="26"/>
      <c r="B29" s="11" t="s">
        <v>84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81</v>
      </c>
      <c r="C30" s="2">
        <v>270613611.10000002</v>
      </c>
      <c r="D30">
        <v>29.19</v>
      </c>
    </row>
    <row r="31" spans="1:4" x14ac:dyDescent="0.25">
      <c r="A31" s="25"/>
      <c r="B31" s="11" t="s">
        <v>82</v>
      </c>
      <c r="C31" s="2">
        <v>1047284444</v>
      </c>
      <c r="D31">
        <v>42.69</v>
      </c>
    </row>
    <row r="32" spans="1:4" x14ac:dyDescent="0.25">
      <c r="A32" s="25"/>
      <c r="B32" s="11" t="s">
        <v>83</v>
      </c>
      <c r="C32" s="2">
        <v>2930833333</v>
      </c>
      <c r="D32">
        <v>150</v>
      </c>
    </row>
    <row r="33" spans="1:4" x14ac:dyDescent="0.25">
      <c r="A33" s="26"/>
      <c r="B33" s="11" t="s">
        <v>84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81</v>
      </c>
      <c r="C34" s="2">
        <v>270613611.10000002</v>
      </c>
      <c r="D34">
        <v>29.19</v>
      </c>
    </row>
    <row r="35" spans="1:4" x14ac:dyDescent="0.25">
      <c r="A35" s="25"/>
      <c r="B35" s="11" t="s">
        <v>82</v>
      </c>
      <c r="C35" s="2">
        <v>1047284444</v>
      </c>
      <c r="D35">
        <v>42.69</v>
      </c>
    </row>
    <row r="36" spans="1:4" x14ac:dyDescent="0.25">
      <c r="A36" s="25"/>
      <c r="B36" s="11" t="s">
        <v>83</v>
      </c>
      <c r="C36" s="2">
        <v>2930833333</v>
      </c>
      <c r="D36">
        <v>150</v>
      </c>
    </row>
    <row r="37" spans="1:4" x14ac:dyDescent="0.25">
      <c r="A37" s="26"/>
      <c r="B37" s="11" t="s">
        <v>84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81</v>
      </c>
      <c r="C38" s="2">
        <v>270613611.10000002</v>
      </c>
      <c r="D38">
        <v>29.19</v>
      </c>
    </row>
    <row r="39" spans="1:4" x14ac:dyDescent="0.25">
      <c r="A39" s="25"/>
      <c r="B39" s="11" t="s">
        <v>82</v>
      </c>
      <c r="C39" s="2">
        <v>1047284444</v>
      </c>
      <c r="D39">
        <v>42.69</v>
      </c>
    </row>
    <row r="40" spans="1:4" x14ac:dyDescent="0.25">
      <c r="A40" s="25"/>
      <c r="B40" s="11" t="s">
        <v>83</v>
      </c>
      <c r="C40" s="2">
        <v>2930833333</v>
      </c>
      <c r="D40">
        <v>150</v>
      </c>
    </row>
    <row r="41" spans="1:4" x14ac:dyDescent="0.25">
      <c r="A41" s="26"/>
      <c r="B41" s="11" t="s">
        <v>84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81</v>
      </c>
      <c r="C42" s="2">
        <v>270613611.10000002</v>
      </c>
      <c r="D42">
        <v>29.19</v>
      </c>
    </row>
    <row r="43" spans="1:4" x14ac:dyDescent="0.25">
      <c r="A43" s="25"/>
      <c r="B43" s="11" t="s">
        <v>82</v>
      </c>
      <c r="C43" s="2">
        <v>1047284444</v>
      </c>
      <c r="D43">
        <v>42.69</v>
      </c>
    </row>
    <row r="44" spans="1:4" x14ac:dyDescent="0.25">
      <c r="A44" s="25"/>
      <c r="B44" s="11" t="s">
        <v>83</v>
      </c>
      <c r="C44" s="2">
        <v>2930833333</v>
      </c>
      <c r="D44">
        <v>150</v>
      </c>
    </row>
    <row r="45" spans="1:4" x14ac:dyDescent="0.25">
      <c r="A45" s="26"/>
      <c r="B45" s="11" t="s">
        <v>84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81</v>
      </c>
      <c r="C46" s="2">
        <v>270613611.10000002</v>
      </c>
      <c r="D46">
        <v>29.19</v>
      </c>
    </row>
    <row r="47" spans="1:4" x14ac:dyDescent="0.25">
      <c r="A47" s="25"/>
      <c r="B47" s="11" t="s">
        <v>82</v>
      </c>
      <c r="C47" s="2">
        <v>1047284444</v>
      </c>
      <c r="D47">
        <v>42.69</v>
      </c>
    </row>
    <row r="48" spans="1:4" x14ac:dyDescent="0.25">
      <c r="A48" s="25"/>
      <c r="B48" s="11" t="s">
        <v>83</v>
      </c>
      <c r="C48" s="2">
        <v>2930833333</v>
      </c>
      <c r="D48">
        <v>150</v>
      </c>
    </row>
    <row r="49" spans="1:4" x14ac:dyDescent="0.25">
      <c r="A49" s="26"/>
      <c r="B49" s="11" t="s">
        <v>84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81</v>
      </c>
      <c r="C50" s="2">
        <v>270613611.10000002</v>
      </c>
      <c r="D50">
        <v>29.19</v>
      </c>
    </row>
    <row r="51" spans="1:4" x14ac:dyDescent="0.25">
      <c r="A51" s="25"/>
      <c r="B51" s="11" t="s">
        <v>82</v>
      </c>
      <c r="C51" s="2">
        <v>1047284444</v>
      </c>
      <c r="D51">
        <v>42.69</v>
      </c>
    </row>
    <row r="52" spans="1:4" x14ac:dyDescent="0.25">
      <c r="A52" s="25"/>
      <c r="B52" s="11" t="s">
        <v>83</v>
      </c>
      <c r="C52" s="2">
        <v>2930833333</v>
      </c>
      <c r="D52">
        <v>150</v>
      </c>
    </row>
    <row r="53" spans="1:4" x14ac:dyDescent="0.25">
      <c r="A53" s="26"/>
      <c r="B53" s="11" t="s">
        <v>84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81</v>
      </c>
      <c r="C54" s="2">
        <v>270613611.10000002</v>
      </c>
      <c r="D54">
        <v>29.19</v>
      </c>
    </row>
    <row r="55" spans="1:4" x14ac:dyDescent="0.25">
      <c r="A55" s="25"/>
      <c r="B55" s="11" t="s">
        <v>82</v>
      </c>
      <c r="C55" s="2">
        <v>1047284444</v>
      </c>
      <c r="D55">
        <v>42.69</v>
      </c>
    </row>
    <row r="56" spans="1:4" x14ac:dyDescent="0.25">
      <c r="A56" s="25"/>
      <c r="B56" s="11" t="s">
        <v>83</v>
      </c>
      <c r="C56" s="2">
        <v>2930833333</v>
      </c>
      <c r="D56">
        <v>150</v>
      </c>
    </row>
    <row r="57" spans="1:4" x14ac:dyDescent="0.25">
      <c r="A57" s="26"/>
      <c r="B57" s="11" t="s">
        <v>84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81</v>
      </c>
      <c r="C58" s="2">
        <v>270613611.10000002</v>
      </c>
      <c r="D58">
        <v>29.19</v>
      </c>
    </row>
    <row r="59" spans="1:4" x14ac:dyDescent="0.25">
      <c r="A59" s="25"/>
      <c r="B59" s="11" t="s">
        <v>82</v>
      </c>
      <c r="C59" s="2">
        <v>1047284444</v>
      </c>
      <c r="D59">
        <v>42.69</v>
      </c>
    </row>
    <row r="60" spans="1:4" x14ac:dyDescent="0.25">
      <c r="A60" s="25"/>
      <c r="B60" s="11" t="s">
        <v>83</v>
      </c>
      <c r="C60" s="2">
        <v>2930833333</v>
      </c>
      <c r="D60">
        <v>150</v>
      </c>
    </row>
    <row r="61" spans="1:4" x14ac:dyDescent="0.25">
      <c r="A61" s="26"/>
      <c r="B61" s="11" t="s">
        <v>84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81</v>
      </c>
      <c r="C62" s="2">
        <v>270613611.10000002</v>
      </c>
      <c r="D62">
        <v>29.19</v>
      </c>
    </row>
    <row r="63" spans="1:4" x14ac:dyDescent="0.25">
      <c r="A63" s="25"/>
      <c r="B63" s="11" t="s">
        <v>82</v>
      </c>
      <c r="C63" s="2">
        <v>1047284444</v>
      </c>
      <c r="D63">
        <v>42.69</v>
      </c>
    </row>
    <row r="64" spans="1:4" x14ac:dyDescent="0.25">
      <c r="A64" s="25"/>
      <c r="B64" s="11" t="s">
        <v>83</v>
      </c>
      <c r="C64" s="2">
        <v>2930833333</v>
      </c>
      <c r="D64">
        <v>150</v>
      </c>
    </row>
    <row r="65" spans="1:4" x14ac:dyDescent="0.25">
      <c r="A65" s="26"/>
      <c r="B65" s="11" t="s">
        <v>84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81</v>
      </c>
      <c r="C66" s="2">
        <v>270613611.10000002</v>
      </c>
      <c r="D66">
        <v>29.19</v>
      </c>
    </row>
    <row r="67" spans="1:4" x14ac:dyDescent="0.25">
      <c r="A67" s="25"/>
      <c r="B67" s="11" t="s">
        <v>82</v>
      </c>
      <c r="C67" s="2">
        <v>1047284444</v>
      </c>
      <c r="D67">
        <v>42.69</v>
      </c>
    </row>
    <row r="68" spans="1:4" x14ac:dyDescent="0.25">
      <c r="A68" s="25"/>
      <c r="B68" s="11" t="s">
        <v>83</v>
      </c>
      <c r="C68" s="2">
        <v>2930833333</v>
      </c>
      <c r="D68">
        <v>150</v>
      </c>
    </row>
    <row r="69" spans="1:4" x14ac:dyDescent="0.25">
      <c r="A69" s="26"/>
      <c r="B69" s="11" t="s">
        <v>84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81</v>
      </c>
      <c r="C70" s="2">
        <v>270613611.10000002</v>
      </c>
      <c r="D70">
        <v>29.19</v>
      </c>
    </row>
    <row r="71" spans="1:4" x14ac:dyDescent="0.25">
      <c r="A71" s="25"/>
      <c r="B71" s="11" t="s">
        <v>82</v>
      </c>
      <c r="C71" s="2">
        <v>1047284444</v>
      </c>
      <c r="D71">
        <v>42.69</v>
      </c>
    </row>
    <row r="72" spans="1:4" x14ac:dyDescent="0.25">
      <c r="A72" s="25"/>
      <c r="B72" s="11" t="s">
        <v>83</v>
      </c>
      <c r="C72" s="2">
        <v>2930833333</v>
      </c>
      <c r="D72">
        <v>150</v>
      </c>
    </row>
    <row r="73" spans="1:4" x14ac:dyDescent="0.25">
      <c r="A73" s="26"/>
      <c r="B73" s="11" t="s">
        <v>84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81</v>
      </c>
      <c r="C74" s="2">
        <v>270613611.10000002</v>
      </c>
      <c r="D74">
        <v>29.19</v>
      </c>
    </row>
    <row r="75" spans="1:4" x14ac:dyDescent="0.25">
      <c r="A75" s="25"/>
      <c r="B75" s="11" t="s">
        <v>82</v>
      </c>
      <c r="C75" s="2">
        <v>1047284444</v>
      </c>
      <c r="D75">
        <v>42.69</v>
      </c>
    </row>
    <row r="76" spans="1:4" x14ac:dyDescent="0.25">
      <c r="A76" s="25"/>
      <c r="B76" s="11" t="s">
        <v>83</v>
      </c>
      <c r="C76" s="2">
        <v>2930833333</v>
      </c>
      <c r="D76">
        <v>150</v>
      </c>
    </row>
    <row r="77" spans="1:4" x14ac:dyDescent="0.25">
      <c r="A77" s="26"/>
      <c r="B77" s="11" t="s">
        <v>84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81</v>
      </c>
      <c r="C78" s="2">
        <v>270613611.10000002</v>
      </c>
      <c r="D78">
        <v>29.19</v>
      </c>
    </row>
    <row r="79" spans="1:4" x14ac:dyDescent="0.25">
      <c r="A79" s="25"/>
      <c r="B79" s="11" t="s">
        <v>82</v>
      </c>
      <c r="C79" s="2">
        <v>1047284444</v>
      </c>
      <c r="D79">
        <v>42.69</v>
      </c>
    </row>
    <row r="80" spans="1:4" x14ac:dyDescent="0.25">
      <c r="A80" s="25"/>
      <c r="B80" s="11" t="s">
        <v>83</v>
      </c>
      <c r="C80" s="2">
        <v>2930833333</v>
      </c>
      <c r="D80">
        <v>150</v>
      </c>
    </row>
    <row r="81" spans="1:4" x14ac:dyDescent="0.25">
      <c r="A81" s="26"/>
      <c r="B81" s="11" t="s">
        <v>84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81</v>
      </c>
      <c r="C82" s="2">
        <v>270613611.10000002</v>
      </c>
      <c r="D82">
        <v>29.19</v>
      </c>
    </row>
    <row r="83" spans="1:4" x14ac:dyDescent="0.25">
      <c r="A83" s="25"/>
      <c r="B83" s="11" t="s">
        <v>82</v>
      </c>
      <c r="C83" s="2">
        <v>1047284444</v>
      </c>
      <c r="D83">
        <v>42.69</v>
      </c>
    </row>
    <row r="84" spans="1:4" x14ac:dyDescent="0.25">
      <c r="A84" s="25"/>
      <c r="B84" s="11" t="s">
        <v>83</v>
      </c>
      <c r="C84" s="2">
        <v>2930833333</v>
      </c>
      <c r="D84">
        <v>150</v>
      </c>
    </row>
    <row r="85" spans="1:4" x14ac:dyDescent="0.25">
      <c r="A85" s="26"/>
      <c r="B85" s="11" t="s">
        <v>84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81</v>
      </c>
      <c r="C86" s="2">
        <v>270613611.10000002</v>
      </c>
      <c r="D86">
        <v>29.19</v>
      </c>
    </row>
    <row r="87" spans="1:4" x14ac:dyDescent="0.25">
      <c r="A87" s="25"/>
      <c r="B87" s="11" t="s">
        <v>82</v>
      </c>
      <c r="C87" s="2">
        <v>1047284444</v>
      </c>
      <c r="D87">
        <v>42.69</v>
      </c>
    </row>
    <row r="88" spans="1:4" x14ac:dyDescent="0.25">
      <c r="A88" s="25"/>
      <c r="B88" s="11" t="s">
        <v>83</v>
      </c>
      <c r="C88" s="2">
        <v>2930833333</v>
      </c>
      <c r="D88">
        <v>150</v>
      </c>
    </row>
    <row r="89" spans="1:4" x14ac:dyDescent="0.25">
      <c r="A89" s="26"/>
      <c r="B89" s="11" t="s">
        <v>84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81</v>
      </c>
      <c r="C90" s="2">
        <v>270613611.10000002</v>
      </c>
      <c r="D90">
        <v>29.19</v>
      </c>
    </row>
    <row r="91" spans="1:4" x14ac:dyDescent="0.25">
      <c r="A91" s="25"/>
      <c r="B91" s="11" t="s">
        <v>82</v>
      </c>
      <c r="C91" s="2">
        <v>1047284444</v>
      </c>
      <c r="D91">
        <v>42.69</v>
      </c>
    </row>
    <row r="92" spans="1:4" x14ac:dyDescent="0.25">
      <c r="A92" s="25"/>
      <c r="B92" s="11" t="s">
        <v>83</v>
      </c>
      <c r="C92" s="2">
        <v>2930833333</v>
      </c>
      <c r="D92">
        <v>150</v>
      </c>
    </row>
    <row r="93" spans="1:4" x14ac:dyDescent="0.25">
      <c r="A93" s="26"/>
      <c r="B93" s="11" t="s">
        <v>84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81</v>
      </c>
      <c r="C94" s="2">
        <v>270613611.10000002</v>
      </c>
      <c r="D94">
        <v>29.19</v>
      </c>
    </row>
    <row r="95" spans="1:4" x14ac:dyDescent="0.25">
      <c r="A95" s="25"/>
      <c r="B95" s="11" t="s">
        <v>82</v>
      </c>
      <c r="C95" s="2">
        <v>1047284444</v>
      </c>
      <c r="D95">
        <v>42.69</v>
      </c>
    </row>
    <row r="96" spans="1:4" x14ac:dyDescent="0.25">
      <c r="A96" s="25"/>
      <c r="B96" s="11" t="s">
        <v>83</v>
      </c>
      <c r="C96" s="2">
        <v>2930833333</v>
      </c>
      <c r="D96">
        <v>150</v>
      </c>
    </row>
    <row r="97" spans="1:4" x14ac:dyDescent="0.25">
      <c r="A97" s="26"/>
      <c r="B97" s="11" t="s">
        <v>84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81</v>
      </c>
      <c r="C98" s="2">
        <v>270613611.10000002</v>
      </c>
      <c r="D98">
        <v>29.19</v>
      </c>
    </row>
    <row r="99" spans="1:4" x14ac:dyDescent="0.25">
      <c r="A99" s="25"/>
      <c r="B99" s="11" t="s">
        <v>82</v>
      </c>
      <c r="C99" s="2">
        <v>1047284444</v>
      </c>
      <c r="D99">
        <v>42.69</v>
      </c>
    </row>
    <row r="100" spans="1:4" x14ac:dyDescent="0.25">
      <c r="A100" s="25"/>
      <c r="B100" s="11" t="s">
        <v>83</v>
      </c>
      <c r="C100" s="2">
        <v>2930833333</v>
      </c>
      <c r="D100">
        <v>150</v>
      </c>
    </row>
    <row r="101" spans="1:4" x14ac:dyDescent="0.25">
      <c r="A101" s="26"/>
      <c r="B101" s="11" t="s">
        <v>84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81</v>
      </c>
      <c r="C102" s="2">
        <v>270613611.10000002</v>
      </c>
      <c r="D102">
        <v>29.19</v>
      </c>
    </row>
    <row r="103" spans="1:4" x14ac:dyDescent="0.25">
      <c r="A103" s="25"/>
      <c r="B103" s="11" t="s">
        <v>82</v>
      </c>
      <c r="C103" s="2">
        <v>1047284444</v>
      </c>
      <c r="D103">
        <v>42.69</v>
      </c>
    </row>
    <row r="104" spans="1:4" x14ac:dyDescent="0.25">
      <c r="A104" s="25"/>
      <c r="B104" s="11" t="s">
        <v>83</v>
      </c>
      <c r="C104" s="2">
        <v>2930833333</v>
      </c>
      <c r="D104">
        <v>150</v>
      </c>
    </row>
    <row r="105" spans="1:4" x14ac:dyDescent="0.25">
      <c r="A105" s="26"/>
      <c r="B105" s="11" t="s">
        <v>84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81</v>
      </c>
      <c r="C106" s="2">
        <v>270613611.10000002</v>
      </c>
      <c r="D106">
        <v>29.19</v>
      </c>
    </row>
    <row r="107" spans="1:4" x14ac:dyDescent="0.25">
      <c r="A107" s="25"/>
      <c r="B107" s="11" t="s">
        <v>82</v>
      </c>
      <c r="C107" s="2">
        <v>1047284444</v>
      </c>
      <c r="D107">
        <v>42.69</v>
      </c>
    </row>
    <row r="108" spans="1:4" x14ac:dyDescent="0.25">
      <c r="A108" s="25"/>
      <c r="B108" s="11" t="s">
        <v>83</v>
      </c>
      <c r="C108" s="2">
        <v>2930833333</v>
      </c>
      <c r="D108">
        <v>150</v>
      </c>
    </row>
    <row r="109" spans="1:4" x14ac:dyDescent="0.25">
      <c r="A109" s="26"/>
      <c r="B109" s="11" t="s">
        <v>84</v>
      </c>
      <c r="C109" s="2">
        <f>SUM(C105*(1-0.04052))</f>
        <v>165114469.33889231</v>
      </c>
      <c r="D109">
        <v>20.52</v>
      </c>
    </row>
  </sheetData>
  <mergeCells count="27">
    <mergeCell ref="A106:A109"/>
    <mergeCell ref="A62:A65"/>
    <mergeCell ref="A102:A105"/>
    <mergeCell ref="A38:A41"/>
    <mergeCell ref="A34:A37"/>
    <mergeCell ref="A82:A85"/>
    <mergeCell ref="A58:A61"/>
    <mergeCell ref="A98:A101"/>
    <mergeCell ref="A2:A5"/>
    <mergeCell ref="A42:A45"/>
    <mergeCell ref="A14:A17"/>
    <mergeCell ref="A10:A13"/>
    <mergeCell ref="A22:A25"/>
    <mergeCell ref="A6:A9"/>
    <mergeCell ref="A86:A89"/>
    <mergeCell ref="A18:A21"/>
    <mergeCell ref="A46:A49"/>
    <mergeCell ref="A26:A29"/>
    <mergeCell ref="A94:A97"/>
    <mergeCell ref="A70:A73"/>
    <mergeCell ref="A78:A81"/>
    <mergeCell ref="A30:A33"/>
    <mergeCell ref="A54:A57"/>
    <mergeCell ref="A90:A93"/>
    <mergeCell ref="A66:A69"/>
    <mergeCell ref="A74:A77"/>
    <mergeCell ref="A50:A53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</row>
    <row r="2" spans="1:8" x14ac:dyDescent="0.25">
      <c r="A2" t="s">
        <v>35</v>
      </c>
      <c r="B2" t="s">
        <v>73</v>
      </c>
      <c r="C2" t="s">
        <v>93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35</v>
      </c>
      <c r="B3" t="s">
        <v>73</v>
      </c>
      <c r="C3" t="s">
        <v>94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35</v>
      </c>
      <c r="B4" t="s">
        <v>73</v>
      </c>
      <c r="C4" t="s">
        <v>95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35</v>
      </c>
      <c r="B5" t="s">
        <v>73</v>
      </c>
      <c r="C5" t="s">
        <v>96</v>
      </c>
      <c r="D5">
        <v>1</v>
      </c>
      <c r="E5" s="12">
        <v>75</v>
      </c>
      <c r="F5" s="7">
        <v>22000</v>
      </c>
      <c r="G5">
        <v>1</v>
      </c>
      <c r="H5" t="s">
        <v>97</v>
      </c>
    </row>
    <row r="6" spans="1:8" x14ac:dyDescent="0.25">
      <c r="A6" t="s">
        <v>35</v>
      </c>
      <c r="B6" t="s">
        <v>74</v>
      </c>
      <c r="C6" t="s">
        <v>98</v>
      </c>
      <c r="D6">
        <v>1</v>
      </c>
      <c r="E6" s="12">
        <v>60</v>
      </c>
      <c r="F6" s="20">
        <v>18000</v>
      </c>
      <c r="G6">
        <v>0</v>
      </c>
      <c r="H6" t="s">
        <v>99</v>
      </c>
    </row>
    <row r="7" spans="1:8" x14ac:dyDescent="0.25">
      <c r="A7" t="s">
        <v>35</v>
      </c>
      <c r="B7" t="s">
        <v>74</v>
      </c>
      <c r="C7" t="s">
        <v>100</v>
      </c>
      <c r="D7">
        <v>1</v>
      </c>
      <c r="E7" s="12">
        <v>55</v>
      </c>
      <c r="F7" s="20">
        <v>14000</v>
      </c>
      <c r="G7">
        <v>0</v>
      </c>
      <c r="H7" t="s">
        <v>99</v>
      </c>
    </row>
    <row r="8" spans="1:8" x14ac:dyDescent="0.25">
      <c r="A8" t="s">
        <v>35</v>
      </c>
      <c r="B8" t="s">
        <v>74</v>
      </c>
      <c r="C8" t="s">
        <v>101</v>
      </c>
      <c r="D8">
        <v>1</v>
      </c>
      <c r="E8" s="12">
        <v>35</v>
      </c>
      <c r="F8" s="20">
        <v>13000</v>
      </c>
      <c r="G8">
        <v>0</v>
      </c>
      <c r="H8" t="s">
        <v>99</v>
      </c>
    </row>
    <row r="9" spans="1:8" x14ac:dyDescent="0.25">
      <c r="A9" t="s">
        <v>35</v>
      </c>
      <c r="B9" t="s">
        <v>74</v>
      </c>
      <c r="C9" t="s">
        <v>102</v>
      </c>
      <c r="D9">
        <v>1</v>
      </c>
      <c r="E9" s="12">
        <v>0</v>
      </c>
      <c r="F9" s="7">
        <v>999999</v>
      </c>
      <c r="G9">
        <v>1</v>
      </c>
      <c r="H9" t="s">
        <v>103</v>
      </c>
    </row>
    <row r="10" spans="1:8" x14ac:dyDescent="0.25">
      <c r="A10" t="s">
        <v>35</v>
      </c>
      <c r="B10" t="s">
        <v>75</v>
      </c>
      <c r="C10" t="s">
        <v>104</v>
      </c>
      <c r="D10">
        <v>1</v>
      </c>
      <c r="E10" s="12">
        <v>60</v>
      </c>
      <c r="F10" s="20">
        <v>5000</v>
      </c>
      <c r="G10">
        <v>0</v>
      </c>
      <c r="H10" t="s">
        <v>105</v>
      </c>
    </row>
    <row r="11" spans="1:8" x14ac:dyDescent="0.25">
      <c r="A11" t="s">
        <v>35</v>
      </c>
      <c r="B11" t="s">
        <v>75</v>
      </c>
      <c r="C11" t="s">
        <v>106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35</v>
      </c>
      <c r="B12" t="s">
        <v>75</v>
      </c>
      <c r="C12" t="s">
        <v>107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35</v>
      </c>
      <c r="B13" t="s">
        <v>75</v>
      </c>
      <c r="C13" t="s">
        <v>108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35</v>
      </c>
      <c r="B14" t="s">
        <v>109</v>
      </c>
      <c r="C14" t="s">
        <v>110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35</v>
      </c>
      <c r="B15" t="s">
        <v>109</v>
      </c>
      <c r="C15" t="s">
        <v>111</v>
      </c>
      <c r="D15">
        <v>1</v>
      </c>
      <c r="E15" s="12">
        <v>0</v>
      </c>
      <c r="F15" s="12">
        <v>0</v>
      </c>
      <c r="G15">
        <v>1</v>
      </c>
      <c r="H15" t="s">
        <v>103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6"/>
  <sheetViews>
    <sheetView workbookViewId="0">
      <selection sqref="A1:F25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86</v>
      </c>
      <c r="B1" t="s">
        <v>87</v>
      </c>
      <c r="C1" t="s">
        <v>112</v>
      </c>
      <c r="D1" t="s">
        <v>113</v>
      </c>
      <c r="E1" t="s">
        <v>114</v>
      </c>
      <c r="F1" t="s">
        <v>115</v>
      </c>
    </row>
    <row r="2" spans="1:6" x14ac:dyDescent="0.25">
      <c r="A2" s="12" t="s">
        <v>73</v>
      </c>
      <c r="B2" s="12" t="s">
        <v>96</v>
      </c>
      <c r="C2" s="12" t="s">
        <v>116</v>
      </c>
      <c r="D2" s="12">
        <v>11.08059701492537</v>
      </c>
      <c r="E2" s="12">
        <v>11.08059701492537</v>
      </c>
      <c r="F2">
        <v>0.99399999999999999</v>
      </c>
    </row>
    <row r="3" spans="1:6" x14ac:dyDescent="0.25">
      <c r="A3" s="12" t="s">
        <v>73</v>
      </c>
      <c r="B3" s="12" t="s">
        <v>96</v>
      </c>
      <c r="C3" s="12" t="s">
        <v>117</v>
      </c>
      <c r="D3" s="12">
        <v>46.4</v>
      </c>
      <c r="E3" s="12">
        <v>46.4</v>
      </c>
      <c r="F3">
        <v>0.92100000000000004</v>
      </c>
    </row>
    <row r="4" spans="1:6" x14ac:dyDescent="0.25">
      <c r="A4" s="12" t="s">
        <v>73</v>
      </c>
      <c r="B4" s="12" t="s">
        <v>96</v>
      </c>
      <c r="C4" s="12" t="s">
        <v>118</v>
      </c>
      <c r="D4" s="12">
        <v>7.6179104477611936</v>
      </c>
      <c r="E4" s="12">
        <v>7.6179104477611936</v>
      </c>
      <c r="F4">
        <v>0.27400000000000002</v>
      </c>
    </row>
    <row r="5" spans="1:6" x14ac:dyDescent="0.25">
      <c r="A5" s="12" t="s">
        <v>73</v>
      </c>
      <c r="B5" s="12" t="s">
        <v>96</v>
      </c>
      <c r="C5" s="12" t="s">
        <v>119</v>
      </c>
      <c r="D5" s="12">
        <v>0.62328358208955215</v>
      </c>
      <c r="E5" s="12">
        <v>0.62328358208955215</v>
      </c>
      <c r="F5">
        <v>0.97</v>
      </c>
    </row>
    <row r="6" spans="1:6" x14ac:dyDescent="0.25">
      <c r="A6" s="12" t="s">
        <v>73</v>
      </c>
      <c r="B6" s="12" t="s">
        <v>95</v>
      </c>
      <c r="C6" s="12" t="s">
        <v>120</v>
      </c>
      <c r="D6" s="12">
        <v>2.0776119402985072E-2</v>
      </c>
      <c r="E6" s="12">
        <v>2.0776119402985072E-2</v>
      </c>
      <c r="F6">
        <v>0.68100000000000005</v>
      </c>
    </row>
    <row r="7" spans="1:6" x14ac:dyDescent="0.25">
      <c r="A7" s="12" t="s">
        <v>73</v>
      </c>
      <c r="B7" s="12" t="s">
        <v>93</v>
      </c>
      <c r="C7" s="12" t="s">
        <v>121</v>
      </c>
      <c r="D7" s="12">
        <v>3.047164179104477</v>
      </c>
      <c r="E7" s="12">
        <v>3.047164179104477</v>
      </c>
      <c r="F7">
        <v>0.88900000000000001</v>
      </c>
    </row>
    <row r="8" spans="1:6" x14ac:dyDescent="0.25">
      <c r="A8" s="12" t="s">
        <v>73</v>
      </c>
      <c r="B8" s="12" t="s">
        <v>95</v>
      </c>
      <c r="C8" s="12" t="s">
        <v>116</v>
      </c>
      <c r="D8" s="12">
        <v>0.20776119402985069</v>
      </c>
      <c r="E8" s="12">
        <v>0.20776119402985069</v>
      </c>
      <c r="F8">
        <v>0.1</v>
      </c>
    </row>
    <row r="9" spans="1:6" x14ac:dyDescent="0.25">
      <c r="A9" s="12" t="s">
        <v>74</v>
      </c>
      <c r="B9" s="12" t="s">
        <v>98</v>
      </c>
      <c r="C9" s="12" t="s">
        <v>122</v>
      </c>
      <c r="D9" s="12">
        <v>15</v>
      </c>
      <c r="E9" s="12">
        <v>15</v>
      </c>
      <c r="F9" s="9">
        <v>0</v>
      </c>
    </row>
    <row r="10" spans="1:6" x14ac:dyDescent="0.25">
      <c r="A10" s="12" t="s">
        <v>74</v>
      </c>
      <c r="B10" s="12" t="s">
        <v>100</v>
      </c>
      <c r="C10" s="12" t="s">
        <v>123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74</v>
      </c>
      <c r="B11" s="12" t="s">
        <v>101</v>
      </c>
      <c r="C11" s="12" t="s">
        <v>116</v>
      </c>
      <c r="D11" s="12">
        <v>0.80645121600000003</v>
      </c>
      <c r="E11" s="12">
        <v>0.80645121600000003</v>
      </c>
      <c r="F11" t="s">
        <v>124</v>
      </c>
    </row>
    <row r="12" spans="1:6" x14ac:dyDescent="0.25">
      <c r="A12" s="12" t="s">
        <v>74</v>
      </c>
      <c r="B12" s="12" t="s">
        <v>101</v>
      </c>
      <c r="C12" s="12" t="s">
        <v>125</v>
      </c>
      <c r="D12" s="12">
        <v>2.441776000000001E-3</v>
      </c>
      <c r="E12" s="12">
        <v>2.441776000000001E-3</v>
      </c>
      <c r="F12" t="s">
        <v>124</v>
      </c>
    </row>
    <row r="13" spans="1:6" x14ac:dyDescent="0.25">
      <c r="A13" s="12" t="s">
        <v>74</v>
      </c>
      <c r="B13" s="12" t="s">
        <v>101</v>
      </c>
      <c r="C13" s="12" t="s">
        <v>119</v>
      </c>
      <c r="D13" s="12">
        <v>0.99598527400000014</v>
      </c>
      <c r="E13" s="12">
        <v>0.99598527400000014</v>
      </c>
      <c r="F13" t="s">
        <v>124</v>
      </c>
    </row>
    <row r="14" spans="1:6" x14ac:dyDescent="0.25">
      <c r="A14" s="12" t="s">
        <v>74</v>
      </c>
      <c r="B14" s="12" t="s">
        <v>101</v>
      </c>
      <c r="C14" s="12" t="s">
        <v>126</v>
      </c>
      <c r="D14" s="12">
        <v>1.88752E-3</v>
      </c>
      <c r="E14" s="12">
        <v>1.88752E-3</v>
      </c>
      <c r="F14" t="s">
        <v>124</v>
      </c>
    </row>
    <row r="15" spans="1:6" x14ac:dyDescent="0.25">
      <c r="A15" s="12" t="s">
        <v>74</v>
      </c>
      <c r="B15" s="12" t="s">
        <v>101</v>
      </c>
      <c r="C15" s="12" t="s">
        <v>127</v>
      </c>
      <c r="D15" s="12">
        <v>4.4819000000000013E-5</v>
      </c>
      <c r="E15" s="12">
        <v>4.4819000000000013E-5</v>
      </c>
      <c r="F15" t="s">
        <v>124</v>
      </c>
    </row>
    <row r="16" spans="1:6" x14ac:dyDescent="0.25">
      <c r="A16" s="12" t="s">
        <v>74</v>
      </c>
      <c r="B16" s="12" t="s">
        <v>100</v>
      </c>
      <c r="C16" s="12" t="s">
        <v>128</v>
      </c>
      <c r="D16" s="12">
        <v>4.6005630000000002E-3</v>
      </c>
      <c r="E16" s="12">
        <v>4.6005630000000002E-3</v>
      </c>
      <c r="F16" t="s">
        <v>124</v>
      </c>
    </row>
    <row r="17" spans="1:6" x14ac:dyDescent="0.25">
      <c r="A17" s="12" t="s">
        <v>74</v>
      </c>
      <c r="B17" s="12" t="s">
        <v>100</v>
      </c>
      <c r="C17" s="12" t="s">
        <v>129</v>
      </c>
      <c r="D17" s="12">
        <v>9.0565300000000008E-4</v>
      </c>
      <c r="E17" s="12">
        <v>9.0565300000000008E-4</v>
      </c>
      <c r="F17" t="s">
        <v>124</v>
      </c>
    </row>
    <row r="18" spans="1:6" x14ac:dyDescent="0.25">
      <c r="A18" s="12" t="s">
        <v>74</v>
      </c>
      <c r="B18" s="12" t="s">
        <v>101</v>
      </c>
      <c r="C18" s="12" t="s">
        <v>130</v>
      </c>
      <c r="D18" s="12">
        <v>1.9774658839999999</v>
      </c>
      <c r="E18" s="12">
        <v>1.9774658839999999</v>
      </c>
      <c r="F18" t="s">
        <v>124</v>
      </c>
    </row>
    <row r="19" spans="1:6" x14ac:dyDescent="0.25">
      <c r="A19" s="12" t="s">
        <v>74</v>
      </c>
      <c r="B19" s="12" t="s">
        <v>101</v>
      </c>
      <c r="C19" s="12" t="s">
        <v>131</v>
      </c>
      <c r="D19" s="12">
        <v>3.9663748000000013E-2</v>
      </c>
      <c r="E19" s="12">
        <v>3.9663748000000013E-2</v>
      </c>
      <c r="F19" t="s">
        <v>124</v>
      </c>
    </row>
    <row r="20" spans="1:6" x14ac:dyDescent="0.25">
      <c r="A20" s="12" t="s">
        <v>74</v>
      </c>
      <c r="B20" s="12" t="s">
        <v>101</v>
      </c>
      <c r="C20" s="12" t="s">
        <v>132</v>
      </c>
      <c r="D20" s="12">
        <v>2.1210528160000002</v>
      </c>
      <c r="E20" s="12">
        <v>2.1210528160000002</v>
      </c>
      <c r="F20" t="s">
        <v>124</v>
      </c>
    </row>
    <row r="21" spans="1:6" x14ac:dyDescent="0.25">
      <c r="A21" s="12" t="s">
        <v>74</v>
      </c>
      <c r="B21" s="12" t="s">
        <v>101</v>
      </c>
      <c r="C21" s="12" t="s">
        <v>133</v>
      </c>
      <c r="D21" s="12">
        <v>3.0464199999999999E-4</v>
      </c>
      <c r="E21" s="12">
        <v>3.0464199999999999E-4</v>
      </c>
      <c r="F21" t="s">
        <v>124</v>
      </c>
    </row>
    <row r="22" spans="1:6" x14ac:dyDescent="0.25">
      <c r="A22" s="12" t="s">
        <v>74</v>
      </c>
      <c r="B22" s="12" t="s">
        <v>101</v>
      </c>
      <c r="C22" s="12" t="s">
        <v>134</v>
      </c>
      <c r="D22" s="12">
        <v>5.3289600000000004E-4</v>
      </c>
      <c r="E22" s="12">
        <v>5.3289600000000004E-4</v>
      </c>
      <c r="F22" t="s">
        <v>124</v>
      </c>
    </row>
    <row r="23" spans="1:6" x14ac:dyDescent="0.25">
      <c r="A23" s="12" t="s">
        <v>74</v>
      </c>
      <c r="B23" s="12" t="s">
        <v>101</v>
      </c>
      <c r="C23" s="12" t="s">
        <v>135</v>
      </c>
      <c r="D23" s="12">
        <v>2.3000000000000001E-8</v>
      </c>
      <c r="E23" s="12">
        <v>2.3000000000000001E-8</v>
      </c>
      <c r="F23" t="s">
        <v>124</v>
      </c>
    </row>
    <row r="24" spans="1:6" x14ac:dyDescent="0.25">
      <c r="A24" s="12" t="s">
        <v>74</v>
      </c>
      <c r="B24" s="12" t="s">
        <v>101</v>
      </c>
      <c r="C24" s="12" t="s">
        <v>136</v>
      </c>
      <c r="D24" s="12">
        <v>5.0735241E-2</v>
      </c>
      <c r="E24" s="12">
        <v>5.0735241E-2</v>
      </c>
      <c r="F24" t="s">
        <v>124</v>
      </c>
    </row>
    <row r="25" spans="1:6" x14ac:dyDescent="0.25">
      <c r="A25" s="12" t="s">
        <v>74</v>
      </c>
      <c r="B25" s="12" t="s">
        <v>101</v>
      </c>
      <c r="C25" s="12" t="s">
        <v>137</v>
      </c>
      <c r="D25" s="12">
        <v>1.5200000000000001E-7</v>
      </c>
      <c r="E25" s="12">
        <v>1.5200000000000001E-7</v>
      </c>
      <c r="F25" t="s">
        <v>124</v>
      </c>
    </row>
    <row r="26" spans="1:6" x14ac:dyDescent="0.25">
      <c r="A26" s="12" t="s">
        <v>75</v>
      </c>
      <c r="B26" s="12" t="s">
        <v>104</v>
      </c>
      <c r="C26" s="12" t="s">
        <v>138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75</v>
      </c>
      <c r="B27" s="12" t="s">
        <v>106</v>
      </c>
      <c r="C27" s="12" t="s">
        <v>139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75</v>
      </c>
      <c r="B28" s="12" t="s">
        <v>107</v>
      </c>
      <c r="C28" s="12" t="s">
        <v>116</v>
      </c>
      <c r="D28" s="12">
        <v>0.76185761500000004</v>
      </c>
      <c r="E28" s="12">
        <v>0.76185761500000004</v>
      </c>
      <c r="F28" t="s">
        <v>124</v>
      </c>
    </row>
    <row r="29" spans="1:6" x14ac:dyDescent="0.25">
      <c r="A29" s="12" t="s">
        <v>75</v>
      </c>
      <c r="B29" s="12" t="s">
        <v>107</v>
      </c>
      <c r="C29" s="12" t="s">
        <v>140</v>
      </c>
      <c r="D29" s="12">
        <v>2.0542469999999991E-3</v>
      </c>
      <c r="E29" s="12">
        <v>2.0542469999999991E-3</v>
      </c>
      <c r="F29" t="s">
        <v>124</v>
      </c>
    </row>
    <row r="30" spans="1:6" x14ac:dyDescent="0.25">
      <c r="A30" s="12" t="s">
        <v>75</v>
      </c>
      <c r="B30" s="12" t="s">
        <v>107</v>
      </c>
      <c r="C30" s="12" t="s">
        <v>125</v>
      </c>
      <c r="D30" s="12">
        <v>1.331902E-3</v>
      </c>
      <c r="E30" s="12">
        <v>1.331902E-3</v>
      </c>
      <c r="F30" t="s">
        <v>124</v>
      </c>
    </row>
    <row r="31" spans="1:6" x14ac:dyDescent="0.25">
      <c r="A31" s="12" t="s">
        <v>75</v>
      </c>
      <c r="B31" s="12" t="s">
        <v>107</v>
      </c>
      <c r="C31" s="12" t="s">
        <v>119</v>
      </c>
      <c r="D31" s="12">
        <v>1.553453376</v>
      </c>
      <c r="E31" s="12">
        <v>1.553453376</v>
      </c>
      <c r="F31" t="s">
        <v>124</v>
      </c>
    </row>
    <row r="32" spans="1:6" x14ac:dyDescent="0.25">
      <c r="A32" s="12" t="s">
        <v>75</v>
      </c>
      <c r="B32" s="12" t="s">
        <v>107</v>
      </c>
      <c r="C32" s="12" t="s">
        <v>126</v>
      </c>
      <c r="D32" s="12">
        <v>6.5629390000000003E-3</v>
      </c>
      <c r="E32" s="12">
        <v>6.5629390000000003E-3</v>
      </c>
      <c r="F32" t="s">
        <v>124</v>
      </c>
    </row>
    <row r="33" spans="1:6" x14ac:dyDescent="0.25">
      <c r="A33" s="12" t="s">
        <v>75</v>
      </c>
      <c r="B33" s="12" t="s">
        <v>107</v>
      </c>
      <c r="C33" s="12" t="s">
        <v>127</v>
      </c>
      <c r="D33" s="12">
        <v>1.592E-5</v>
      </c>
      <c r="E33" s="12">
        <v>1.592E-5</v>
      </c>
      <c r="F33" t="s">
        <v>124</v>
      </c>
    </row>
    <row r="34" spans="1:6" x14ac:dyDescent="0.25">
      <c r="A34" s="12" t="s">
        <v>75</v>
      </c>
      <c r="B34" s="12" t="s">
        <v>106</v>
      </c>
      <c r="C34" s="12" t="s">
        <v>128</v>
      </c>
      <c r="D34" s="12">
        <v>6.3938059999999993E-3</v>
      </c>
      <c r="E34" s="12">
        <v>6.3938059999999993E-3</v>
      </c>
      <c r="F34" t="s">
        <v>124</v>
      </c>
    </row>
    <row r="35" spans="1:6" x14ac:dyDescent="0.25">
      <c r="A35" s="12" t="s">
        <v>75</v>
      </c>
      <c r="B35" s="12" t="s">
        <v>106</v>
      </c>
      <c r="C35" s="12" t="s">
        <v>129</v>
      </c>
      <c r="D35" s="12">
        <v>1.265682E-3</v>
      </c>
      <c r="E35" s="12">
        <v>1.265682E-3</v>
      </c>
      <c r="F35" t="s">
        <v>124</v>
      </c>
    </row>
    <row r="36" spans="1:6" x14ac:dyDescent="0.25">
      <c r="A36" s="12" t="s">
        <v>75</v>
      </c>
      <c r="B36" s="12" t="s">
        <v>107</v>
      </c>
      <c r="C36" s="12" t="s">
        <v>130</v>
      </c>
      <c r="D36" s="12">
        <v>1.0573537260000001</v>
      </c>
      <c r="E36" s="12">
        <v>1.0573537260000001</v>
      </c>
      <c r="F36" t="s">
        <v>124</v>
      </c>
    </row>
    <row r="37" spans="1:6" x14ac:dyDescent="0.25">
      <c r="A37" s="12" t="s">
        <v>75</v>
      </c>
      <c r="B37" s="12" t="s">
        <v>107</v>
      </c>
      <c r="C37" s="12" t="s">
        <v>141</v>
      </c>
      <c r="D37" s="12">
        <v>3.7349900000000001E-4</v>
      </c>
      <c r="E37" s="12">
        <v>3.7349900000000001E-4</v>
      </c>
      <c r="F37" t="s">
        <v>124</v>
      </c>
    </row>
    <row r="38" spans="1:6" x14ac:dyDescent="0.25">
      <c r="A38" s="12" t="s">
        <v>75</v>
      </c>
      <c r="B38" s="12" t="s">
        <v>107</v>
      </c>
      <c r="C38" s="12" t="s">
        <v>131</v>
      </c>
      <c r="D38" s="12">
        <v>0.10560918699999999</v>
      </c>
      <c r="E38" s="12">
        <v>0.10560918699999999</v>
      </c>
      <c r="F38" t="s">
        <v>124</v>
      </c>
    </row>
    <row r="39" spans="1:6" x14ac:dyDescent="0.25">
      <c r="A39" s="12" t="s">
        <v>75</v>
      </c>
      <c r="B39" s="12" t="s">
        <v>107</v>
      </c>
      <c r="C39" s="12" t="s">
        <v>132</v>
      </c>
      <c r="D39" s="12">
        <v>0.86241605300000002</v>
      </c>
      <c r="E39" s="12">
        <v>0.86241605300000002</v>
      </c>
      <c r="F39" t="s">
        <v>124</v>
      </c>
    </row>
    <row r="40" spans="1:6" x14ac:dyDescent="0.25">
      <c r="A40" s="12" t="s">
        <v>75</v>
      </c>
      <c r="B40" s="12" t="s">
        <v>107</v>
      </c>
      <c r="C40" s="12" t="s">
        <v>133</v>
      </c>
      <c r="D40" s="12">
        <v>1.59808E-4</v>
      </c>
      <c r="E40" s="12">
        <v>1.59808E-4</v>
      </c>
      <c r="F40" t="s">
        <v>124</v>
      </c>
    </row>
    <row r="41" spans="1:6" x14ac:dyDescent="0.25">
      <c r="A41" s="12" t="s">
        <v>75</v>
      </c>
      <c r="B41" s="12" t="s">
        <v>107</v>
      </c>
      <c r="C41" s="12" t="s">
        <v>134</v>
      </c>
      <c r="D41" s="12">
        <v>4.3179210000000003E-2</v>
      </c>
      <c r="E41" s="12">
        <v>4.3179210000000003E-2</v>
      </c>
      <c r="F41" t="s">
        <v>124</v>
      </c>
    </row>
    <row r="42" spans="1:6" x14ac:dyDescent="0.25">
      <c r="A42" s="12" t="s">
        <v>75</v>
      </c>
      <c r="B42" s="12" t="s">
        <v>107</v>
      </c>
      <c r="C42" s="12" t="s">
        <v>135</v>
      </c>
      <c r="D42" s="12">
        <v>3.7350900000000011E-4</v>
      </c>
      <c r="E42" s="12">
        <v>3.7350900000000011E-4</v>
      </c>
      <c r="F42" t="s">
        <v>124</v>
      </c>
    </row>
    <row r="43" spans="1:6" x14ac:dyDescent="0.25">
      <c r="A43" s="12" t="s">
        <v>75</v>
      </c>
      <c r="B43" s="12" t="s">
        <v>107</v>
      </c>
      <c r="C43" s="12" t="s">
        <v>136</v>
      </c>
      <c r="D43" s="12">
        <v>2.6648077999999999E-2</v>
      </c>
      <c r="E43" s="12">
        <v>2.6648077999999999E-2</v>
      </c>
      <c r="F43" t="s">
        <v>124</v>
      </c>
    </row>
    <row r="44" spans="1:6" x14ac:dyDescent="0.25">
      <c r="A44" s="12" t="s">
        <v>75</v>
      </c>
      <c r="B44" s="12" t="s">
        <v>107</v>
      </c>
      <c r="C44" s="12" t="s">
        <v>137</v>
      </c>
      <c r="D44" s="12">
        <v>4.3999999999999997E-8</v>
      </c>
      <c r="E44" s="12">
        <v>4.3999999999999997E-8</v>
      </c>
      <c r="F44" t="s">
        <v>124</v>
      </c>
    </row>
    <row r="45" spans="1:6" x14ac:dyDescent="0.25">
      <c r="A45" t="s">
        <v>109</v>
      </c>
      <c r="B45" t="s">
        <v>110</v>
      </c>
      <c r="C45" s="19" t="s">
        <v>129</v>
      </c>
      <c r="D45">
        <v>0</v>
      </c>
      <c r="E45">
        <v>0</v>
      </c>
      <c r="F45">
        <v>0</v>
      </c>
    </row>
    <row r="46" spans="1:6" x14ac:dyDescent="0.25">
      <c r="A46" t="s">
        <v>109</v>
      </c>
      <c r="B46" t="s">
        <v>110</v>
      </c>
      <c r="C46" s="18" t="s">
        <v>125</v>
      </c>
      <c r="D46">
        <v>0</v>
      </c>
      <c r="E46">
        <v>0</v>
      </c>
      <c r="F46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selection activeCell="E17" sqref="E17"/>
    </sheetView>
  </sheetViews>
  <sheetFormatPr baseColWidth="10" defaultRowHeight="15" x14ac:dyDescent="0.25"/>
  <sheetData>
    <row r="1" spans="1:11" x14ac:dyDescent="0.25">
      <c r="A1" t="s">
        <v>85</v>
      </c>
      <c r="B1" t="s">
        <v>86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</row>
    <row r="2" spans="1:11" x14ac:dyDescent="0.25">
      <c r="A2" t="s">
        <v>35</v>
      </c>
      <c r="B2" t="s">
        <v>74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122.5</v>
      </c>
      <c r="K2">
        <v>122.5</v>
      </c>
    </row>
    <row r="3" spans="1:11" x14ac:dyDescent="0.25">
      <c r="A3" t="s">
        <v>35</v>
      </c>
      <c r="B3" t="s">
        <v>75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122.5</v>
      </c>
      <c r="K3">
        <v>122.5</v>
      </c>
    </row>
    <row r="4" spans="1:11" x14ac:dyDescent="0.25">
      <c r="A4" t="s">
        <v>35</v>
      </c>
      <c r="B4" t="s">
        <v>73</v>
      </c>
      <c r="C4">
        <v>365.87143333333341</v>
      </c>
      <c r="D4">
        <v>75</v>
      </c>
      <c r="E4">
        <v>670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35</v>
      </c>
      <c r="B5" t="s">
        <v>109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</row>
    <row r="2" spans="1:9" x14ac:dyDescent="0.25">
      <c r="A2" t="s">
        <v>116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v>2250</v>
      </c>
      <c r="I2">
        <v>3375</v>
      </c>
    </row>
    <row r="3" spans="1:9" x14ac:dyDescent="0.25">
      <c r="A3" t="s">
        <v>117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v>450</v>
      </c>
      <c r="I3">
        <v>675</v>
      </c>
    </row>
    <row r="4" spans="1:9" x14ac:dyDescent="0.25">
      <c r="A4" t="s">
        <v>118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v>2200</v>
      </c>
      <c r="I4">
        <v>3300</v>
      </c>
    </row>
    <row r="5" spans="1:9" x14ac:dyDescent="0.25">
      <c r="A5" t="s">
        <v>119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v>5625</v>
      </c>
      <c r="I5">
        <v>8437.5</v>
      </c>
    </row>
    <row r="6" spans="1:9" x14ac:dyDescent="0.25">
      <c r="A6" t="s">
        <v>120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v>3125000</v>
      </c>
      <c r="I6">
        <v>4687500</v>
      </c>
    </row>
    <row r="7" spans="1:9" x14ac:dyDescent="0.25">
      <c r="A7" t="s">
        <v>121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v>3105</v>
      </c>
      <c r="I7">
        <v>4657.5</v>
      </c>
    </row>
    <row r="8" spans="1:9" x14ac:dyDescent="0.25">
      <c r="A8" t="s">
        <v>125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v>42500</v>
      </c>
      <c r="I8">
        <v>63750</v>
      </c>
    </row>
    <row r="9" spans="1:9" x14ac:dyDescent="0.25">
      <c r="A9" t="s">
        <v>126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v>437500</v>
      </c>
      <c r="I9">
        <v>656250</v>
      </c>
    </row>
    <row r="10" spans="1:9" x14ac:dyDescent="0.25">
      <c r="A10" t="s">
        <v>127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v>562500</v>
      </c>
      <c r="I10">
        <v>843750</v>
      </c>
    </row>
    <row r="11" spans="1:9" x14ac:dyDescent="0.25">
      <c r="A11" t="s">
        <v>128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v>1500</v>
      </c>
      <c r="I11">
        <v>2250</v>
      </c>
    </row>
    <row r="12" spans="1:9" x14ac:dyDescent="0.25">
      <c r="A12" t="s">
        <v>129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v>6250</v>
      </c>
      <c r="I12">
        <v>9375</v>
      </c>
    </row>
    <row r="13" spans="1:9" x14ac:dyDescent="0.25">
      <c r="A13" t="s">
        <v>130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v>2125</v>
      </c>
      <c r="I13">
        <v>3187.5</v>
      </c>
    </row>
    <row r="14" spans="1:9" x14ac:dyDescent="0.25">
      <c r="A14" t="s">
        <v>131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v>57500</v>
      </c>
      <c r="I14">
        <v>86250</v>
      </c>
    </row>
    <row r="15" spans="1:9" x14ac:dyDescent="0.25">
      <c r="A15" t="s">
        <v>132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v>15625</v>
      </c>
      <c r="I15">
        <v>23437.5</v>
      </c>
    </row>
    <row r="16" spans="1:9" x14ac:dyDescent="0.25">
      <c r="A16" t="s">
        <v>133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v>32200</v>
      </c>
      <c r="I16">
        <v>48300</v>
      </c>
    </row>
    <row r="17" spans="1:9" x14ac:dyDescent="0.25">
      <c r="A17" t="s">
        <v>134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v>57500</v>
      </c>
      <c r="I17">
        <v>86250</v>
      </c>
    </row>
    <row r="18" spans="1:9" x14ac:dyDescent="0.25">
      <c r="A18" t="s">
        <v>135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v>68750</v>
      </c>
      <c r="I18">
        <v>103125</v>
      </c>
    </row>
    <row r="19" spans="1:9" x14ac:dyDescent="0.25">
      <c r="A19" t="s">
        <v>136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v>11.25</v>
      </c>
      <c r="I19">
        <v>16.875</v>
      </c>
    </row>
    <row r="20" spans="1:9" x14ac:dyDescent="0.25">
      <c r="A20" t="s">
        <v>137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v>12500</v>
      </c>
      <c r="I20">
        <v>18750</v>
      </c>
    </row>
    <row r="21" spans="1:9" x14ac:dyDescent="0.25">
      <c r="A21" t="s">
        <v>140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v>400</v>
      </c>
      <c r="I21">
        <v>600</v>
      </c>
    </row>
    <row r="22" spans="1:9" x14ac:dyDescent="0.25">
      <c r="A22" t="s">
        <v>141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v>25000</v>
      </c>
      <c r="I22">
        <v>37500</v>
      </c>
    </row>
    <row r="23" spans="1:9" x14ac:dyDescent="0.25">
      <c r="A23" t="s">
        <v>138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v>1.25</v>
      </c>
      <c r="I23">
        <v>1.875</v>
      </c>
    </row>
    <row r="24" spans="1:9" x14ac:dyDescent="0.25">
      <c r="A24" t="s">
        <v>122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v>1.25</v>
      </c>
      <c r="I24">
        <v>1.875</v>
      </c>
    </row>
    <row r="25" spans="1:9" x14ac:dyDescent="0.25">
      <c r="A25" t="s">
        <v>139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v>1.25</v>
      </c>
      <c r="I25">
        <v>1.875</v>
      </c>
    </row>
    <row r="26" spans="1:9" x14ac:dyDescent="0.25">
      <c r="A26" t="s">
        <v>123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v>1.25</v>
      </c>
      <c r="I26"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8"/>
  <sheetViews>
    <sheetView workbookViewId="0">
      <selection activeCell="G2" sqref="G2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>
        <v>3.1422977119900268E-2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1.0031552557202001E-2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3.1422977119900268E-2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1.0031552557202001E-2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3.1422977119900268E-2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1.0031552557202001E-2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3.1422977119900268E-2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1.0031552557202001E-2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3.1422977119900268E-2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1.0031552557202001E-2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3.1422977119900268E-2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1.0031552557202001E-2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3.1422977119900268E-2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1.0031552557202001E-2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3.1422977119900268E-2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1.0031552557202001E-2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3.1422977119900268E-2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1.0031552557202001E-2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3.1422977119900268E-2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1.0031552557202001E-2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3.1422977119900268E-2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1.0031552557202001E-2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3.1422977119900268E-2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1.0031552557202001E-2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3.1422977119900268E-2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1.0031552557202001E-2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3.1422977119900268E-2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1.0031552557202001E-2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3.1422977119900268E-2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1.0031552557202001E-2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3.1422977119900268E-2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1.0031552557202001E-2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3.1422977119900268E-2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1.0031552557202001E-2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3.1422977119900268E-2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1.0031552557202001E-2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3.1422977119900268E-2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1.0031552557202001E-2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3.1422977119900268E-2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1.0031552557202001E-2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3.1422977119900268E-2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1.0031552557202001E-2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3.1422977119900268E-2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1.0031552557202001E-2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3.1422977119900268E-2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1.0031552557202001E-2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3.1422977119900268E-2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1.0031552557202001E-2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3.1422977119900268E-2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1.0031552557202001E-2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3.1422977119900268E-2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1.0031552557202001E-2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3.1422977119900268E-2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1.0031552557202001E-2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141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184</v>
      </c>
      <c r="B1" t="s">
        <v>185</v>
      </c>
      <c r="C1" t="s">
        <v>186</v>
      </c>
      <c r="D1" t="s">
        <v>187</v>
      </c>
      <c r="E1" t="s">
        <v>188</v>
      </c>
    </row>
    <row r="2" spans="1:5" x14ac:dyDescent="0.25">
      <c r="A2" t="s">
        <v>73</v>
      </c>
      <c r="B2" t="s">
        <v>94</v>
      </c>
      <c r="C2" t="s">
        <v>73</v>
      </c>
      <c r="D2" t="s">
        <v>93</v>
      </c>
      <c r="E2" t="s">
        <v>189</v>
      </c>
    </row>
    <row r="3" spans="1:5" x14ac:dyDescent="0.25">
      <c r="A3" t="s">
        <v>73</v>
      </c>
      <c r="B3" t="s">
        <v>95</v>
      </c>
      <c r="C3" t="s">
        <v>73</v>
      </c>
      <c r="D3" t="s">
        <v>94</v>
      </c>
      <c r="E3" t="s">
        <v>189</v>
      </c>
    </row>
    <row r="4" spans="1:5" x14ac:dyDescent="0.25">
      <c r="A4" t="s">
        <v>73</v>
      </c>
      <c r="B4" t="s">
        <v>96</v>
      </c>
      <c r="C4" t="s">
        <v>73</v>
      </c>
      <c r="D4" t="s">
        <v>95</v>
      </c>
      <c r="E4" t="s">
        <v>189</v>
      </c>
    </row>
    <row r="5" spans="1:5" x14ac:dyDescent="0.25">
      <c r="A5" t="s">
        <v>109</v>
      </c>
      <c r="B5" t="s">
        <v>111</v>
      </c>
      <c r="C5" t="s">
        <v>109</v>
      </c>
      <c r="D5" t="s">
        <v>110</v>
      </c>
      <c r="E5" t="s">
        <v>189</v>
      </c>
    </row>
    <row r="6" spans="1:5" x14ac:dyDescent="0.25">
      <c r="A6" t="s">
        <v>74</v>
      </c>
      <c r="B6" t="s">
        <v>102</v>
      </c>
      <c r="C6" t="s">
        <v>74</v>
      </c>
      <c r="D6" t="s">
        <v>98</v>
      </c>
      <c r="E6" t="s">
        <v>189</v>
      </c>
    </row>
    <row r="7" spans="1:5" x14ac:dyDescent="0.25">
      <c r="A7" t="s">
        <v>74</v>
      </c>
      <c r="B7" t="s">
        <v>102</v>
      </c>
      <c r="C7" t="s">
        <v>74</v>
      </c>
      <c r="D7" t="s">
        <v>100</v>
      </c>
      <c r="E7" t="s">
        <v>189</v>
      </c>
    </row>
    <row r="8" spans="1:5" x14ac:dyDescent="0.25">
      <c r="A8" t="s">
        <v>74</v>
      </c>
      <c r="B8" t="s">
        <v>102</v>
      </c>
      <c r="C8" t="s">
        <v>74</v>
      </c>
      <c r="D8" t="s">
        <v>101</v>
      </c>
      <c r="E8" t="s">
        <v>189</v>
      </c>
    </row>
    <row r="9" spans="1:5" x14ac:dyDescent="0.25">
      <c r="A9" t="s">
        <v>75</v>
      </c>
      <c r="B9" t="s">
        <v>108</v>
      </c>
      <c r="C9" t="s">
        <v>75</v>
      </c>
      <c r="D9" t="s">
        <v>104</v>
      </c>
      <c r="E9" t="s">
        <v>189</v>
      </c>
    </row>
    <row r="10" spans="1:5" x14ac:dyDescent="0.25">
      <c r="A10" t="s">
        <v>75</v>
      </c>
      <c r="B10" t="s">
        <v>108</v>
      </c>
      <c r="C10" t="s">
        <v>75</v>
      </c>
      <c r="D10" t="s">
        <v>106</v>
      </c>
      <c r="E10" t="s">
        <v>189</v>
      </c>
    </row>
    <row r="11" spans="1:5" x14ac:dyDescent="0.25">
      <c r="A11" t="s">
        <v>75</v>
      </c>
      <c r="B11" t="s">
        <v>108</v>
      </c>
      <c r="C11" t="s">
        <v>75</v>
      </c>
      <c r="D11" t="s">
        <v>107</v>
      </c>
      <c r="E11" t="s">
        <v>189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72</v>
      </c>
      <c r="B1" t="s">
        <v>85</v>
      </c>
      <c r="C1" t="s">
        <v>86</v>
      </c>
      <c r="D1" t="s">
        <v>87</v>
      </c>
      <c r="E1" t="s">
        <v>190</v>
      </c>
      <c r="F1" t="s">
        <v>191</v>
      </c>
      <c r="G1" t="s">
        <v>143</v>
      </c>
      <c r="H1" t="s">
        <v>192</v>
      </c>
    </row>
    <row r="2" spans="1:8" x14ac:dyDescent="0.25">
      <c r="A2">
        <v>2024</v>
      </c>
      <c r="B2" t="s">
        <v>35</v>
      </c>
      <c r="C2" t="s">
        <v>73</v>
      </c>
      <c r="D2" t="s">
        <v>93</v>
      </c>
      <c r="E2" s="12">
        <v>64400.000000000007</v>
      </c>
      <c r="F2" s="12">
        <v>1449</v>
      </c>
      <c r="G2" s="12">
        <v>3220</v>
      </c>
      <c r="H2" s="12">
        <v>0</v>
      </c>
    </row>
    <row r="3" spans="1:8" x14ac:dyDescent="0.25">
      <c r="A3">
        <v>2024</v>
      </c>
      <c r="B3" t="s">
        <v>35</v>
      </c>
      <c r="C3" t="s">
        <v>73</v>
      </c>
      <c r="D3" t="s">
        <v>94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35</v>
      </c>
      <c r="C4" t="s">
        <v>73</v>
      </c>
      <c r="D4" t="s">
        <v>95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35</v>
      </c>
      <c r="C5" t="s">
        <v>73</v>
      </c>
      <c r="D5" t="s">
        <v>96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35</v>
      </c>
      <c r="C6" t="s">
        <v>74</v>
      </c>
      <c r="D6" t="s">
        <v>98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35</v>
      </c>
      <c r="C7" t="s">
        <v>74</v>
      </c>
      <c r="D7" t="s">
        <v>100</v>
      </c>
      <c r="E7" s="12">
        <v>82800</v>
      </c>
      <c r="F7" s="12">
        <v>7866</v>
      </c>
      <c r="G7" s="12">
        <v>4140</v>
      </c>
      <c r="H7" s="12">
        <v>264948.33858154097</v>
      </c>
    </row>
    <row r="8" spans="1:8" x14ac:dyDescent="0.25">
      <c r="A8">
        <v>2024</v>
      </c>
      <c r="B8" t="s">
        <v>35</v>
      </c>
      <c r="C8" t="s">
        <v>74</v>
      </c>
      <c r="D8" t="s">
        <v>101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35</v>
      </c>
      <c r="C9" t="s">
        <v>74</v>
      </c>
      <c r="D9" t="s">
        <v>102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35</v>
      </c>
      <c r="C10" t="s">
        <v>75</v>
      </c>
      <c r="D10" t="s">
        <v>104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35</v>
      </c>
      <c r="C11" t="s">
        <v>75</v>
      </c>
      <c r="D11" t="s">
        <v>106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35</v>
      </c>
      <c r="C12" t="s">
        <v>75</v>
      </c>
      <c r="D12" t="s">
        <v>107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35</v>
      </c>
      <c r="C13" t="s">
        <v>75</v>
      </c>
      <c r="D13" t="s">
        <v>108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35</v>
      </c>
      <c r="C14" t="s">
        <v>109</v>
      </c>
      <c r="D14" t="s">
        <v>110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35</v>
      </c>
      <c r="C15" t="s">
        <v>109</v>
      </c>
      <c r="D15" t="s">
        <v>111</v>
      </c>
      <c r="E15">
        <v>1</v>
      </c>
      <c r="F15">
        <v>1</v>
      </c>
      <c r="G15">
        <v>1</v>
      </c>
      <c r="H15" s="12">
        <v>0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4"/>
  <sheetViews>
    <sheetView workbookViewId="0">
      <selection activeCell="R22" sqref="R22"/>
    </sheetView>
  </sheetViews>
  <sheetFormatPr baseColWidth="10" defaultRowHeight="15" x14ac:dyDescent="0.25"/>
  <sheetData>
    <row r="1" spans="1:24" x14ac:dyDescent="0.25">
      <c r="A1" t="s">
        <v>0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</row>
    <row r="2" spans="1:24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866000</v>
      </c>
      <c r="J2">
        <v>0</v>
      </c>
      <c r="K2">
        <v>0</v>
      </c>
      <c r="L2">
        <v>479917.1</v>
      </c>
      <c r="M2">
        <v>1242000</v>
      </c>
      <c r="N2">
        <v>0</v>
      </c>
      <c r="O2">
        <v>280439.83</v>
      </c>
      <c r="P2">
        <v>439000</v>
      </c>
      <c r="Q2">
        <v>320000</v>
      </c>
      <c r="R2">
        <v>1590000</v>
      </c>
      <c r="S2">
        <v>10030</v>
      </c>
      <c r="T2">
        <v>17386.63</v>
      </c>
      <c r="U2">
        <v>44000</v>
      </c>
      <c r="V2">
        <v>0</v>
      </c>
      <c r="W2">
        <v>2.0610029999999999</v>
      </c>
      <c r="X2">
        <v>4.41</v>
      </c>
    </row>
    <row r="3" spans="1:24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377021.45649999997</v>
      </c>
      <c r="I3">
        <v>860000</v>
      </c>
      <c r="J3">
        <v>0</v>
      </c>
      <c r="K3">
        <v>0</v>
      </c>
      <c r="L3">
        <v>472718.34350000002</v>
      </c>
      <c r="M3">
        <v>1190000</v>
      </c>
      <c r="N3">
        <v>0</v>
      </c>
      <c r="O3">
        <v>274754.90999999997</v>
      </c>
      <c r="P3">
        <v>436500</v>
      </c>
      <c r="Q3">
        <v>320000</v>
      </c>
      <c r="R3">
        <v>1568333</v>
      </c>
      <c r="S3">
        <v>10005</v>
      </c>
      <c r="T3">
        <v>17265.97</v>
      </c>
      <c r="U3">
        <v>42333</v>
      </c>
      <c r="V3">
        <v>0</v>
      </c>
      <c r="W3">
        <v>2.0467</v>
      </c>
      <c r="X3">
        <v>4.25</v>
      </c>
    </row>
    <row r="4" spans="1:24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371366.1347</v>
      </c>
      <c r="I4">
        <v>854000</v>
      </c>
      <c r="J4">
        <v>0</v>
      </c>
      <c r="K4">
        <v>0</v>
      </c>
      <c r="L4">
        <v>465627.56829999998</v>
      </c>
      <c r="M4">
        <v>1138000</v>
      </c>
      <c r="N4">
        <v>0</v>
      </c>
      <c r="O4">
        <v>269179.44</v>
      </c>
      <c r="P4">
        <v>434000</v>
      </c>
      <c r="Q4">
        <v>320000</v>
      </c>
      <c r="R4">
        <v>1546667</v>
      </c>
      <c r="S4">
        <v>9980</v>
      </c>
      <c r="T4">
        <v>17145.310000000001</v>
      </c>
      <c r="U4">
        <v>40666</v>
      </c>
      <c r="V4">
        <v>0</v>
      </c>
      <c r="W4">
        <v>2.032397</v>
      </c>
      <c r="X4">
        <v>4.09</v>
      </c>
    </row>
    <row r="5" spans="1:24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365795.64260000002</v>
      </c>
      <c r="I5">
        <v>848000</v>
      </c>
      <c r="J5">
        <v>0</v>
      </c>
      <c r="K5">
        <v>0</v>
      </c>
      <c r="L5">
        <v>458643.15480000002</v>
      </c>
      <c r="M5">
        <v>1086000</v>
      </c>
      <c r="N5">
        <v>0</v>
      </c>
      <c r="O5">
        <v>263711.78000000003</v>
      </c>
      <c r="P5">
        <v>431500</v>
      </c>
      <c r="Q5">
        <v>320000</v>
      </c>
      <c r="R5">
        <v>1525000</v>
      </c>
      <c r="S5">
        <v>9955</v>
      </c>
      <c r="T5">
        <v>17024.650000000001</v>
      </c>
      <c r="U5">
        <v>39000</v>
      </c>
      <c r="V5">
        <v>0</v>
      </c>
      <c r="W5">
        <v>2.0180940000000001</v>
      </c>
      <c r="X5">
        <v>3.93</v>
      </c>
    </row>
    <row r="6" spans="1:24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360308.70799999998</v>
      </c>
      <c r="I6">
        <v>842000</v>
      </c>
      <c r="J6">
        <v>0</v>
      </c>
      <c r="K6">
        <v>0</v>
      </c>
      <c r="L6">
        <v>451763.50750000001</v>
      </c>
      <c r="M6">
        <v>1034000</v>
      </c>
      <c r="N6">
        <v>0</v>
      </c>
      <c r="O6">
        <v>258350.32</v>
      </c>
      <c r="P6">
        <v>429000</v>
      </c>
      <c r="Q6">
        <v>320000</v>
      </c>
      <c r="R6">
        <v>1503333</v>
      </c>
      <c r="S6">
        <v>9930</v>
      </c>
      <c r="T6">
        <v>16903.990000000002</v>
      </c>
      <c r="U6">
        <v>37333</v>
      </c>
      <c r="V6">
        <v>0</v>
      </c>
      <c r="W6">
        <v>2.0037910000000001</v>
      </c>
      <c r="X6">
        <v>3.77</v>
      </c>
    </row>
    <row r="7" spans="1:24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354904.07740000001</v>
      </c>
      <c r="I7">
        <v>836000</v>
      </c>
      <c r="J7">
        <v>0</v>
      </c>
      <c r="K7">
        <v>0</v>
      </c>
      <c r="L7">
        <v>444987.05489999999</v>
      </c>
      <c r="M7">
        <v>982000</v>
      </c>
      <c r="N7">
        <v>0</v>
      </c>
      <c r="O7">
        <v>253093.46</v>
      </c>
      <c r="P7">
        <v>426500</v>
      </c>
      <c r="Q7">
        <v>320000</v>
      </c>
      <c r="R7">
        <v>1481667</v>
      </c>
      <c r="S7">
        <v>9905</v>
      </c>
      <c r="T7">
        <v>16783.330000000002</v>
      </c>
      <c r="U7">
        <v>35666</v>
      </c>
      <c r="V7">
        <v>0</v>
      </c>
      <c r="W7">
        <v>1.9894879999999999</v>
      </c>
      <c r="X7">
        <v>3.61</v>
      </c>
    </row>
    <row r="8" spans="1:24" x14ac:dyDescent="0.25">
      <c r="A8">
        <v>2030</v>
      </c>
      <c r="B8">
        <v>35290.230966636627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349580.51620000001</v>
      </c>
      <c r="I8">
        <v>830000</v>
      </c>
      <c r="J8">
        <v>0</v>
      </c>
      <c r="K8">
        <v>0</v>
      </c>
      <c r="L8">
        <v>438312.24910000002</v>
      </c>
      <c r="M8">
        <v>930000</v>
      </c>
      <c r="N8">
        <v>0</v>
      </c>
      <c r="O8">
        <v>247939.65</v>
      </c>
      <c r="P8">
        <v>424000</v>
      </c>
      <c r="Q8">
        <v>320000</v>
      </c>
      <c r="R8">
        <v>1460000</v>
      </c>
      <c r="S8">
        <v>9880</v>
      </c>
      <c r="T8">
        <v>16662.669999999998</v>
      </c>
      <c r="U8">
        <v>34000</v>
      </c>
      <c r="V8">
        <v>0</v>
      </c>
      <c r="W8">
        <v>1.9751840000000001</v>
      </c>
      <c r="X8">
        <v>3.45</v>
      </c>
    </row>
    <row r="9" spans="1:24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344336.80849999998</v>
      </c>
      <c r="I9">
        <v>826000</v>
      </c>
      <c r="J9">
        <v>0</v>
      </c>
      <c r="K9">
        <v>0</v>
      </c>
      <c r="L9">
        <v>431737.56530000002</v>
      </c>
      <c r="M9">
        <v>914000</v>
      </c>
      <c r="N9">
        <v>0</v>
      </c>
      <c r="O9">
        <v>242887.37</v>
      </c>
      <c r="P9">
        <v>420000</v>
      </c>
      <c r="Q9">
        <v>320000</v>
      </c>
      <c r="R9">
        <v>1446000</v>
      </c>
      <c r="S9">
        <v>9852</v>
      </c>
      <c r="T9">
        <v>16592.939999999999</v>
      </c>
      <c r="U9">
        <v>33600</v>
      </c>
      <c r="V9">
        <v>0</v>
      </c>
      <c r="W9">
        <v>1.9669190000000001</v>
      </c>
      <c r="X9">
        <v>3.3919999999999999</v>
      </c>
    </row>
    <row r="10" spans="1:24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339171.75630000001</v>
      </c>
      <c r="I10">
        <v>822000</v>
      </c>
      <c r="J10">
        <v>0</v>
      </c>
      <c r="K10">
        <v>0</v>
      </c>
      <c r="L10">
        <v>425261.50180000003</v>
      </c>
      <c r="M10">
        <v>898000</v>
      </c>
      <c r="N10">
        <v>0</v>
      </c>
      <c r="O10">
        <v>237935.1</v>
      </c>
      <c r="P10">
        <v>416000</v>
      </c>
      <c r="Q10">
        <v>320000</v>
      </c>
      <c r="R10">
        <v>1432000</v>
      </c>
      <c r="S10">
        <v>9824</v>
      </c>
      <c r="T10">
        <v>16523.21</v>
      </c>
      <c r="U10">
        <v>33200</v>
      </c>
      <c r="V10">
        <v>0</v>
      </c>
      <c r="W10">
        <v>1.958653</v>
      </c>
      <c r="X10">
        <v>3.3340000000000001</v>
      </c>
    </row>
    <row r="11" spans="1:24" x14ac:dyDescent="0.25">
      <c r="A11">
        <v>2033</v>
      </c>
      <c r="B11">
        <v>33725.872374510953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334084.18</v>
      </c>
      <c r="I11">
        <v>818000</v>
      </c>
      <c r="J11">
        <v>0</v>
      </c>
      <c r="K11">
        <v>0</v>
      </c>
      <c r="L11">
        <v>418882.57929999998</v>
      </c>
      <c r="M11">
        <v>882000</v>
      </c>
      <c r="N11">
        <v>0</v>
      </c>
      <c r="O11">
        <v>233081.4</v>
      </c>
      <c r="P11">
        <v>412000</v>
      </c>
      <c r="Q11">
        <v>320000</v>
      </c>
      <c r="R11">
        <v>1418000</v>
      </c>
      <c r="S11">
        <v>9796</v>
      </c>
      <c r="T11">
        <v>16453.48</v>
      </c>
      <c r="U11">
        <v>32800</v>
      </c>
      <c r="V11">
        <v>0</v>
      </c>
      <c r="W11">
        <v>1.9503870000000001</v>
      </c>
      <c r="X11">
        <v>3.2759999999999998</v>
      </c>
    </row>
    <row r="12" spans="1:24" x14ac:dyDescent="0.25">
      <c r="A12">
        <v>2034</v>
      </c>
      <c r="B12">
        <v>33219.984288893284</v>
      </c>
      <c r="C12">
        <v>47457.120412704688</v>
      </c>
      <c r="D12">
        <v>71185.68061905705</v>
      </c>
      <c r="E12">
        <v>136160</v>
      </c>
      <c r="F12">
        <v>0</v>
      </c>
      <c r="G12">
        <v>0</v>
      </c>
      <c r="H12">
        <v>329072.91729999997</v>
      </c>
      <c r="I12">
        <v>814000</v>
      </c>
      <c r="J12">
        <v>0</v>
      </c>
      <c r="K12">
        <v>0</v>
      </c>
      <c r="L12">
        <v>412599.3406</v>
      </c>
      <c r="M12">
        <v>866000</v>
      </c>
      <c r="N12">
        <v>0</v>
      </c>
      <c r="O12">
        <v>228324.82</v>
      </c>
      <c r="P12">
        <v>408000</v>
      </c>
      <c r="Q12">
        <v>320000</v>
      </c>
      <c r="R12">
        <v>1404000</v>
      </c>
      <c r="S12">
        <v>9768</v>
      </c>
      <c r="T12">
        <v>16383.75</v>
      </c>
      <c r="U12">
        <v>32400</v>
      </c>
      <c r="V12">
        <v>0</v>
      </c>
      <c r="W12">
        <v>1.942121</v>
      </c>
      <c r="X12">
        <v>3.218</v>
      </c>
    </row>
    <row r="13" spans="1:24" x14ac:dyDescent="0.25">
      <c r="A13">
        <v>2035</v>
      </c>
      <c r="B13">
        <v>32721.684524559889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324136.8235</v>
      </c>
      <c r="I13">
        <v>810000</v>
      </c>
      <c r="J13">
        <v>0</v>
      </c>
      <c r="K13">
        <v>0</v>
      </c>
      <c r="L13">
        <v>406410.3505</v>
      </c>
      <c r="M13">
        <v>850000</v>
      </c>
      <c r="N13">
        <v>0</v>
      </c>
      <c r="O13">
        <v>223663.91</v>
      </c>
      <c r="P13">
        <v>404000</v>
      </c>
      <c r="Q13">
        <v>320000</v>
      </c>
      <c r="R13">
        <v>1390000</v>
      </c>
      <c r="S13">
        <v>9740</v>
      </c>
      <c r="T13">
        <v>16314.02</v>
      </c>
      <c r="U13">
        <v>32000</v>
      </c>
      <c r="V13">
        <v>0</v>
      </c>
      <c r="W13">
        <v>1.933856</v>
      </c>
      <c r="X13">
        <v>3.16</v>
      </c>
    </row>
    <row r="14" spans="1:24" x14ac:dyDescent="0.25">
      <c r="A14">
        <v>2036</v>
      </c>
      <c r="B14">
        <v>32230.859256691481</v>
      </c>
      <c r="C14">
        <v>46044.084652416423</v>
      </c>
      <c r="D14">
        <v>69066.126978624627</v>
      </c>
      <c r="E14">
        <v>133400</v>
      </c>
      <c r="F14">
        <v>0</v>
      </c>
      <c r="G14">
        <v>0</v>
      </c>
      <c r="H14">
        <v>319274.77120000002</v>
      </c>
      <c r="I14">
        <v>806000</v>
      </c>
      <c r="J14">
        <v>0</v>
      </c>
      <c r="K14">
        <v>0</v>
      </c>
      <c r="L14">
        <v>400314.19530000002</v>
      </c>
      <c r="M14">
        <v>842000</v>
      </c>
      <c r="N14">
        <v>0</v>
      </c>
      <c r="O14">
        <v>219097.32</v>
      </c>
      <c r="P14">
        <v>400600</v>
      </c>
      <c r="Q14">
        <v>318000</v>
      </c>
      <c r="R14">
        <v>1378000</v>
      </c>
      <c r="S14">
        <v>9722</v>
      </c>
      <c r="T14">
        <v>16244.29</v>
      </c>
      <c r="U14">
        <v>31600</v>
      </c>
      <c r="V14">
        <v>0</v>
      </c>
      <c r="W14">
        <v>1.9255899999999999</v>
      </c>
      <c r="X14">
        <v>3.1259999999999999</v>
      </c>
    </row>
    <row r="15" spans="1:24" x14ac:dyDescent="0.25">
      <c r="A15">
        <v>2037</v>
      </c>
      <c r="B15">
        <v>31747.396367841109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314485.6496</v>
      </c>
      <c r="I15">
        <v>802000</v>
      </c>
      <c r="J15">
        <v>0</v>
      </c>
      <c r="K15">
        <v>0</v>
      </c>
      <c r="L15">
        <v>394309.48229999997</v>
      </c>
      <c r="M15">
        <v>834000</v>
      </c>
      <c r="N15">
        <v>0</v>
      </c>
      <c r="O15">
        <v>214623.65</v>
      </c>
      <c r="P15">
        <v>397200</v>
      </c>
      <c r="Q15">
        <v>316000</v>
      </c>
      <c r="R15">
        <v>1366000</v>
      </c>
      <c r="S15">
        <v>9704</v>
      </c>
      <c r="T15">
        <v>16174.56</v>
      </c>
      <c r="U15">
        <v>31200</v>
      </c>
      <c r="V15">
        <v>0</v>
      </c>
      <c r="W15">
        <v>1.917324</v>
      </c>
      <c r="X15">
        <v>3.0920000000000001</v>
      </c>
    </row>
    <row r="16" spans="1:24" x14ac:dyDescent="0.25">
      <c r="A16">
        <v>2038</v>
      </c>
      <c r="B16">
        <v>31271.185422323499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309768.36489999999</v>
      </c>
      <c r="I16">
        <v>798000</v>
      </c>
      <c r="J16">
        <v>0</v>
      </c>
      <c r="K16">
        <v>0</v>
      </c>
      <c r="L16">
        <v>388394.84009999997</v>
      </c>
      <c r="M16">
        <v>826000</v>
      </c>
      <c r="N16">
        <v>0</v>
      </c>
      <c r="O16">
        <v>210241.6</v>
      </c>
      <c r="P16">
        <v>393800</v>
      </c>
      <c r="Q16">
        <v>314000</v>
      </c>
      <c r="R16">
        <v>1354000</v>
      </c>
      <c r="S16">
        <v>9686</v>
      </c>
      <c r="T16">
        <v>16104.83</v>
      </c>
      <c r="U16">
        <v>30800</v>
      </c>
      <c r="V16">
        <v>0</v>
      </c>
      <c r="W16">
        <v>1.9090579999999999</v>
      </c>
      <c r="X16">
        <v>3.0579999999999998</v>
      </c>
    </row>
    <row r="17" spans="1:24" x14ac:dyDescent="0.25">
      <c r="A17">
        <v>2039</v>
      </c>
      <c r="B17">
        <v>30802.117640988639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305121.8394</v>
      </c>
      <c r="I17">
        <v>794000</v>
      </c>
      <c r="J17">
        <v>0</v>
      </c>
      <c r="K17">
        <v>0</v>
      </c>
      <c r="L17">
        <v>382568.91749999998</v>
      </c>
      <c r="M17">
        <v>818000</v>
      </c>
      <c r="N17">
        <v>0</v>
      </c>
      <c r="O17">
        <v>205949.84</v>
      </c>
      <c r="P17">
        <v>390400</v>
      </c>
      <c r="Q17">
        <v>312000</v>
      </c>
      <c r="R17">
        <v>1342000</v>
      </c>
      <c r="S17">
        <v>9668</v>
      </c>
      <c r="T17">
        <v>16035.1</v>
      </c>
      <c r="U17">
        <v>30400</v>
      </c>
      <c r="V17">
        <v>0</v>
      </c>
      <c r="W17">
        <v>1.900792</v>
      </c>
      <c r="X17">
        <v>3.024</v>
      </c>
    </row>
    <row r="18" spans="1:24" x14ac:dyDescent="0.25">
      <c r="A18">
        <v>2040</v>
      </c>
      <c r="B18">
        <v>30340.085876373811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300545.01179999998</v>
      </c>
      <c r="I18">
        <v>790000</v>
      </c>
      <c r="J18">
        <v>0</v>
      </c>
      <c r="K18">
        <v>0</v>
      </c>
      <c r="L18">
        <v>376830.38370000001</v>
      </c>
      <c r="M18">
        <v>810000</v>
      </c>
      <c r="N18">
        <v>0</v>
      </c>
      <c r="O18">
        <v>201747.12</v>
      </c>
      <c r="P18">
        <v>387000</v>
      </c>
      <c r="Q18">
        <v>310000</v>
      </c>
      <c r="R18">
        <v>1330000</v>
      </c>
      <c r="S18">
        <v>9650</v>
      </c>
      <c r="T18">
        <v>15965.36</v>
      </c>
      <c r="U18">
        <v>30000</v>
      </c>
      <c r="V18">
        <v>0</v>
      </c>
      <c r="W18">
        <v>1.8925270000000001</v>
      </c>
      <c r="X18">
        <v>2.99</v>
      </c>
    </row>
    <row r="19" spans="1:24" x14ac:dyDescent="0.25">
      <c r="A19">
        <v>2041</v>
      </c>
      <c r="B19">
        <v>29884.98458822821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296036.83659999998</v>
      </c>
      <c r="I19">
        <v>789000</v>
      </c>
      <c r="J19">
        <v>0</v>
      </c>
      <c r="K19">
        <v>0</v>
      </c>
      <c r="L19">
        <v>371177.92800000001</v>
      </c>
      <c r="M19">
        <v>804000</v>
      </c>
      <c r="N19">
        <v>0</v>
      </c>
      <c r="O19">
        <v>197632.19</v>
      </c>
      <c r="P19">
        <v>384600</v>
      </c>
      <c r="Q19">
        <v>310000</v>
      </c>
      <c r="R19">
        <v>1320000</v>
      </c>
      <c r="S19">
        <v>9643</v>
      </c>
      <c r="T19">
        <v>15929.04</v>
      </c>
      <c r="U19">
        <v>29800</v>
      </c>
      <c r="V19">
        <v>0</v>
      </c>
      <c r="W19">
        <v>1.88822</v>
      </c>
      <c r="X19">
        <v>2.9689999999999999</v>
      </c>
    </row>
    <row r="20" spans="1:24" x14ac:dyDescent="0.25">
      <c r="A20">
        <v>2042</v>
      </c>
      <c r="B20">
        <v>29436.709819404779</v>
      </c>
      <c r="C20">
        <v>42052.442599149697</v>
      </c>
      <c r="D20">
        <v>63078.663898724539</v>
      </c>
      <c r="E20">
        <v>125120</v>
      </c>
      <c r="F20">
        <v>0</v>
      </c>
      <c r="G20">
        <v>0</v>
      </c>
      <c r="H20">
        <v>291596.28409999999</v>
      </c>
      <c r="I20">
        <v>788000</v>
      </c>
      <c r="J20">
        <v>0</v>
      </c>
      <c r="K20">
        <v>0</v>
      </c>
      <c r="L20">
        <v>365610.25910000002</v>
      </c>
      <c r="M20">
        <v>798000</v>
      </c>
      <c r="N20">
        <v>0</v>
      </c>
      <c r="O20">
        <v>193603.83</v>
      </c>
      <c r="P20">
        <v>382200</v>
      </c>
      <c r="Q20">
        <v>310000</v>
      </c>
      <c r="R20">
        <v>1310000</v>
      </c>
      <c r="S20">
        <v>9636</v>
      </c>
      <c r="T20">
        <v>15892.71</v>
      </c>
      <c r="U20">
        <v>29600</v>
      </c>
      <c r="V20">
        <v>0</v>
      </c>
      <c r="W20">
        <v>1.8839140000000001</v>
      </c>
      <c r="X20">
        <v>2.948</v>
      </c>
    </row>
    <row r="21" spans="1:24" x14ac:dyDescent="0.25">
      <c r="A21">
        <v>2043</v>
      </c>
      <c r="B21">
        <v>28995.159172113708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287222.33980000002</v>
      </c>
      <c r="I21">
        <v>787000</v>
      </c>
      <c r="J21">
        <v>0</v>
      </c>
      <c r="K21">
        <v>0</v>
      </c>
      <c r="L21">
        <v>360126.10519999999</v>
      </c>
      <c r="M21">
        <v>792000</v>
      </c>
      <c r="N21">
        <v>0</v>
      </c>
      <c r="O21">
        <v>189660.87</v>
      </c>
      <c r="P21">
        <v>379800</v>
      </c>
      <c r="Q21">
        <v>310000</v>
      </c>
      <c r="R21">
        <v>1300000</v>
      </c>
      <c r="S21">
        <v>9629</v>
      </c>
      <c r="T21">
        <v>15856.38</v>
      </c>
      <c r="U21">
        <v>29400</v>
      </c>
      <c r="V21">
        <v>0</v>
      </c>
      <c r="W21">
        <v>1.879607</v>
      </c>
      <c r="X21">
        <v>2.927</v>
      </c>
    </row>
    <row r="22" spans="1:24" x14ac:dyDescent="0.25">
      <c r="A22">
        <v>2044</v>
      </c>
      <c r="B22">
        <v>28560.23178453201</v>
      </c>
      <c r="C22">
        <v>40800.331120760027</v>
      </c>
      <c r="D22">
        <v>61200.496681140023</v>
      </c>
      <c r="E22">
        <v>122360</v>
      </c>
      <c r="F22">
        <v>0</v>
      </c>
      <c r="G22">
        <v>0</v>
      </c>
      <c r="H22">
        <v>282914.00469999999</v>
      </c>
      <c r="I22">
        <v>786000</v>
      </c>
      <c r="J22">
        <v>0</v>
      </c>
      <c r="K22">
        <v>0</v>
      </c>
      <c r="L22">
        <v>354724.21360000002</v>
      </c>
      <c r="M22">
        <v>786000</v>
      </c>
      <c r="N22">
        <v>0</v>
      </c>
      <c r="O22">
        <v>185802.14</v>
      </c>
      <c r="P22">
        <v>377400</v>
      </c>
      <c r="Q22">
        <v>310000</v>
      </c>
      <c r="R22">
        <v>1290000</v>
      </c>
      <c r="S22">
        <v>9622</v>
      </c>
      <c r="T22">
        <v>15820.05</v>
      </c>
      <c r="U22">
        <v>29200</v>
      </c>
      <c r="V22">
        <v>0</v>
      </c>
      <c r="W22">
        <v>1.8753010000000001</v>
      </c>
      <c r="X22">
        <v>2.9060000000000001</v>
      </c>
    </row>
    <row r="23" spans="1:24" x14ac:dyDescent="0.25">
      <c r="A23">
        <v>2045</v>
      </c>
      <c r="B23">
        <v>28131.82830776403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278670.29470000003</v>
      </c>
      <c r="I23">
        <v>785000</v>
      </c>
      <c r="J23">
        <v>0</v>
      </c>
      <c r="K23">
        <v>0</v>
      </c>
      <c r="L23">
        <v>349403.3504</v>
      </c>
      <c r="M23">
        <v>780000</v>
      </c>
      <c r="N23">
        <v>0</v>
      </c>
      <c r="O23">
        <v>182026.51</v>
      </c>
      <c r="P23">
        <v>375000</v>
      </c>
      <c r="Q23">
        <v>310000</v>
      </c>
      <c r="R23">
        <v>1280000</v>
      </c>
      <c r="S23">
        <v>9615</v>
      </c>
      <c r="T23">
        <v>15783.72</v>
      </c>
      <c r="U23">
        <v>29000</v>
      </c>
      <c r="V23">
        <v>0</v>
      </c>
      <c r="W23">
        <v>1.870994</v>
      </c>
      <c r="X23">
        <v>2.8849999999999998</v>
      </c>
    </row>
    <row r="24" spans="1:24" x14ac:dyDescent="0.25">
      <c r="A24">
        <v>2046</v>
      </c>
      <c r="B24">
        <v>27709.85088314757</v>
      </c>
      <c r="C24">
        <v>39585.501261639387</v>
      </c>
      <c r="D24">
        <v>59378.251892459069</v>
      </c>
      <c r="E24">
        <v>119600</v>
      </c>
      <c r="F24">
        <v>0</v>
      </c>
      <c r="G24">
        <v>0</v>
      </c>
      <c r="H24">
        <v>274490.2402</v>
      </c>
      <c r="I24">
        <v>784000</v>
      </c>
      <c r="J24">
        <v>0</v>
      </c>
      <c r="K24">
        <v>0</v>
      </c>
      <c r="L24">
        <v>344162.30009999999</v>
      </c>
      <c r="M24">
        <v>774000</v>
      </c>
      <c r="N24">
        <v>0</v>
      </c>
      <c r="O24">
        <v>178332.87</v>
      </c>
      <c r="P24">
        <v>372600</v>
      </c>
      <c r="Q24">
        <v>310000</v>
      </c>
      <c r="R24">
        <v>1270000</v>
      </c>
      <c r="S24">
        <v>9608</v>
      </c>
      <c r="T24">
        <v>15747.39</v>
      </c>
      <c r="U24">
        <v>28800</v>
      </c>
      <c r="V24">
        <v>0</v>
      </c>
      <c r="W24">
        <v>1.8666879999999999</v>
      </c>
      <c r="X24">
        <v>2.8639999999999999</v>
      </c>
    </row>
    <row r="25" spans="1:24" x14ac:dyDescent="0.25">
      <c r="A25">
        <v>2047</v>
      </c>
      <c r="B25">
        <v>27294.20311990035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270372.88660000003</v>
      </c>
      <c r="I25">
        <v>783000</v>
      </c>
      <c r="J25">
        <v>0</v>
      </c>
      <c r="K25">
        <v>0</v>
      </c>
      <c r="L25">
        <v>338999.86560000002</v>
      </c>
      <c r="M25">
        <v>768000</v>
      </c>
      <c r="N25">
        <v>0</v>
      </c>
      <c r="O25">
        <v>174720.11</v>
      </c>
      <c r="P25">
        <v>370200</v>
      </c>
      <c r="Q25">
        <v>310000</v>
      </c>
      <c r="R25">
        <v>1260000</v>
      </c>
      <c r="S25">
        <v>9601</v>
      </c>
      <c r="T25">
        <v>15711.06</v>
      </c>
      <c r="U25">
        <v>28600</v>
      </c>
      <c r="V25">
        <v>0</v>
      </c>
      <c r="W25">
        <v>1.8623810000000001</v>
      </c>
      <c r="X25">
        <v>2.843</v>
      </c>
    </row>
    <row r="26" spans="1:24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266317.29330000002</v>
      </c>
      <c r="I26">
        <v>782000</v>
      </c>
      <c r="J26">
        <v>0</v>
      </c>
      <c r="K26">
        <v>0</v>
      </c>
      <c r="L26">
        <v>333914.8676</v>
      </c>
      <c r="M26">
        <v>762000</v>
      </c>
      <c r="N26">
        <v>0</v>
      </c>
      <c r="O26">
        <v>171187.17</v>
      </c>
      <c r="P26">
        <v>367800</v>
      </c>
      <c r="Q26">
        <v>310000</v>
      </c>
      <c r="R26">
        <v>1250000</v>
      </c>
      <c r="S26">
        <v>9594</v>
      </c>
      <c r="T26">
        <v>15674.73</v>
      </c>
      <c r="U26">
        <v>28400</v>
      </c>
      <c r="V26">
        <v>0</v>
      </c>
      <c r="W26">
        <v>1.8580749999999999</v>
      </c>
      <c r="X26">
        <v>2.8220000000000001</v>
      </c>
    </row>
    <row r="27" spans="1:24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262322.53389999998</v>
      </c>
      <c r="I27">
        <v>781000</v>
      </c>
      <c r="J27">
        <v>0</v>
      </c>
      <c r="K27">
        <v>0</v>
      </c>
      <c r="L27">
        <v>328906.1446</v>
      </c>
      <c r="M27">
        <v>756000</v>
      </c>
      <c r="N27">
        <v>0</v>
      </c>
      <c r="O27">
        <v>167732.98000000001</v>
      </c>
      <c r="P27">
        <v>365400</v>
      </c>
      <c r="Q27">
        <v>310000</v>
      </c>
      <c r="R27">
        <v>1240000</v>
      </c>
      <c r="S27">
        <v>9587</v>
      </c>
      <c r="T27">
        <v>15638.4</v>
      </c>
      <c r="U27">
        <v>28200</v>
      </c>
      <c r="V27">
        <v>0</v>
      </c>
      <c r="W27">
        <v>1.8537680000000001</v>
      </c>
      <c r="X27">
        <v>2.8010000000000002</v>
      </c>
    </row>
    <row r="28" spans="1:24" x14ac:dyDescent="0.25">
      <c r="A28">
        <v>2050</v>
      </c>
      <c r="B28">
        <v>26084.295448675239</v>
      </c>
      <c r="C28">
        <v>37263.279212393223</v>
      </c>
      <c r="D28">
        <v>55894.918818589787</v>
      </c>
      <c r="E28">
        <v>114080</v>
      </c>
      <c r="F28">
        <v>0</v>
      </c>
      <c r="G28">
        <v>0</v>
      </c>
      <c r="H28">
        <v>258387.69589999999</v>
      </c>
      <c r="I28">
        <v>780000</v>
      </c>
      <c r="J28">
        <v>0</v>
      </c>
      <c r="K28">
        <v>0</v>
      </c>
      <c r="L28">
        <v>323972.55249999999</v>
      </c>
      <c r="M28">
        <v>750000</v>
      </c>
      <c r="N28">
        <v>0</v>
      </c>
      <c r="O28">
        <v>164356.51999999999</v>
      </c>
      <c r="P28">
        <v>363000</v>
      </c>
      <c r="Q28">
        <v>310000</v>
      </c>
      <c r="R28">
        <v>1230000</v>
      </c>
      <c r="S28">
        <v>9580</v>
      </c>
      <c r="T28">
        <v>15602.07</v>
      </c>
      <c r="U28">
        <v>28000</v>
      </c>
      <c r="V28">
        <v>0</v>
      </c>
      <c r="W28">
        <v>1.8494619999999999</v>
      </c>
      <c r="X28">
        <v>2.78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2026-10-27T15:44:14Z</dcterms:modified>
</cp:coreProperties>
</file>