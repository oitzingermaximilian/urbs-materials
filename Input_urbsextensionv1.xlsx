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7385" tabRatio="600" firstSheet="1" activeTab="4" autoFilterDateGrouping="1"/>
  </bookViews>
  <sheets>
    <sheet name="Base" sheetId="1" state="visible" r:id="rId1"/>
    <sheet name="cost_sheet" sheetId="2" state="visible" r:id="rId2"/>
    <sheet name="locations" sheetId="3" state="visible" r:id="rId3"/>
    <sheet name="loadfactors" sheetId="4" state="visible" r:id="rId4"/>
    <sheet name="Technologies" sheetId="5" state="visible" r:id="rId5"/>
    <sheet name="decommissioning" sheetId="6" state="visible" r:id="rId6"/>
    <sheet name="dcr" sheetId="7" state="visible" r:id="rId7"/>
    <sheet name="stocklvl" sheetId="8" state="visible" r:id="rId8"/>
    <sheet name="installable_capacity" sheetId="9" state="visible" r:id="rId9"/>
    <sheet name="gas_block" sheetId="10" state="visible" r:id="rId10"/>
    <sheet name="Tech_Stage_Specs" sheetId="11" state="visible" r:id="rId11"/>
    <sheet name="Material_Intensity" sheetId="12" state="visible" r:id="rId12"/>
    <sheet name="Recycling_Costs" sheetId="13" state="visible" r:id="rId13"/>
    <sheet name="material_blocks" sheetId="14" state="visible" r:id="rId14"/>
    <sheet name="mining_limit" sheetId="15" state="visible" r:id="rId15"/>
    <sheet name="mining_cost" sheetId="16" state="visible" r:id="rId16"/>
    <sheet name="import_cost_mining" sheetId="17" state="visible" r:id="rId17"/>
    <sheet name="energy_transition_factor" sheetId="18" state="visible" r:id="rId18"/>
    <sheet name="ore_metal_factor" sheetId="19" state="visible" r:id="rId19"/>
    <sheet name="Component_Map" sheetId="20" state="visible" r:id="rId20"/>
    <sheet name="Cost_Data" sheetId="21" state="visible" r:id="rId21"/>
    <sheet name="Import_Cost_Stage" sheetId="22" state="visible" r:id="rId22"/>
  </sheets>
  <definedNames>
    <definedName name="_xlnm._FilterDatabase" localSheetId="9" hidden="1">'gas_block'!$B$1:$B$109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\ _€_-;\-* #,##0.00\ _€_-;_-* &quot;-&quot;??\ _€_-;_-@_-"/>
  </numFmts>
  <fonts count="11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sz val="8"/>
    </font>
    <font>
      <name val="Arial"/>
      <family val="2"/>
      <color rgb="FF4A6A00"/>
      <sz val="8"/>
    </font>
    <font>
      <name val="Arial"/>
      <family val="2"/>
      <b val="1"/>
      <color rgb="FFFFFFFF"/>
      <sz val="8"/>
    </font>
    <font>
      <name val="Arial"/>
      <family val="2"/>
      <color rgb="FF648C1A"/>
      <sz val="8"/>
    </font>
    <font>
      <name val="Aptos Narrow"/>
      <family val="2"/>
      <sz val="8"/>
      <scheme val="minor"/>
    </font>
    <font>
      <name val="Calibri"/>
      <family val="2"/>
      <b val="1"/>
      <sz val="11"/>
    </font>
    <font>
      <name val="Times New Roman"/>
      <family val="1"/>
      <color theme="1"/>
      <sz val="10.5"/>
    </font>
    <font>
      <name val="Aptos Narrow"/>
      <family val="2"/>
      <color theme="10"/>
      <sz val="11"/>
      <u val="single"/>
      <scheme val="minor"/>
    </font>
  </fonts>
  <fills count="13">
    <fill>
      <patternFill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gradientFill type="linear"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2">
    <xf numFmtId="0" fontId="2" fillId="0" borderId="0"/>
    <xf numFmtId="43" fontId="2" fillId="0" borderId="0"/>
    <xf numFmtId="164" fontId="2" fillId="0" borderId="0"/>
    <xf numFmtId="0" fontId="3" fillId="0" borderId="1" applyAlignment="1">
      <alignment vertical="top"/>
    </xf>
    <xf numFmtId="0" fontId="4" fillId="2" borderId="1" applyAlignment="1">
      <alignment vertical="top"/>
    </xf>
    <xf numFmtId="0" fontId="3" fillId="2" borderId="1" applyAlignment="1">
      <alignment vertical="top"/>
    </xf>
    <xf numFmtId="0" fontId="5" fillId="3" borderId="2" applyAlignment="1">
      <alignment vertical="center" wrapText="1"/>
    </xf>
    <xf numFmtId="0" fontId="5" fillId="4" borderId="1" applyAlignment="1">
      <alignment vertical="top"/>
    </xf>
    <xf numFmtId="0" fontId="6" fillId="0" borderId="0" applyAlignment="1">
      <alignment vertical="top"/>
    </xf>
    <xf numFmtId="43" fontId="2" fillId="0" borderId="0"/>
    <xf numFmtId="0" fontId="9" fillId="11" borderId="5" applyAlignment="1">
      <alignment horizontal="right" vertical="center"/>
    </xf>
    <xf numFmtId="0" fontId="1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5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6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6" borderId="0" applyAlignment="1" pivotButton="0" quotePrefix="0" xfId="0">
      <alignment horizontal="right"/>
    </xf>
    <xf numFmtId="0" fontId="1" fillId="0" borderId="3" applyAlignment="1" pivotButton="0" quotePrefix="0" xfId="0">
      <alignment horizontal="center" vertical="top"/>
    </xf>
    <xf numFmtId="0" fontId="0" fillId="7" borderId="0" pivotButton="0" quotePrefix="0" xfId="0"/>
    <xf numFmtId="0" fontId="0" fillId="8" borderId="0" applyAlignment="1" pivotButton="0" quotePrefix="0" xfId="0">
      <alignment horizontal="center"/>
    </xf>
    <xf numFmtId="0" fontId="8" fillId="0" borderId="3" applyAlignment="1" pivotButton="0" quotePrefix="0" xfId="0">
      <alignment horizontal="center" vertical="top"/>
    </xf>
    <xf numFmtId="0" fontId="0" fillId="8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wrapText="1"/>
    </xf>
    <xf numFmtId="0" fontId="0" fillId="7" borderId="4" pivotButton="0" quotePrefix="0" xfId="0"/>
    <xf numFmtId="0" fontId="0" fillId="9" borderId="4" pivotButton="0" quotePrefix="0" xfId="0"/>
    <xf numFmtId="0" fontId="0" fillId="10" borderId="0" pivotButton="0" quotePrefix="0" xfId="0"/>
    <xf numFmtId="0" fontId="0" fillId="9" borderId="0" pivotButton="0" quotePrefix="0" xfId="0"/>
    <xf numFmtId="0" fontId="2" fillId="12" borderId="6" applyAlignment="1" pivotButton="0" quotePrefix="0" xfId="10">
      <alignment horizontal="right" vertical="center"/>
    </xf>
    <xf numFmtId="0" fontId="10" fillId="0" borderId="0" pivotButton="0" quotePrefix="0" xfId="11"/>
    <xf numFmtId="0" fontId="1" fillId="0" borderId="3" applyAlignment="1" pivotButton="0" quotePrefix="0" xfId="0">
      <alignment horizontal="center" vertical="top"/>
    </xf>
    <xf numFmtId="0" fontId="0" fillId="0" borderId="8" pivotButton="0" quotePrefix="0" xfId="0"/>
    <xf numFmtId="0" fontId="0" fillId="0" borderId="9" pivotButton="0" quotePrefix="0" xfId="0"/>
  </cellXfs>
  <cellStyles count="12">
    <cellStyle name="Standard" xfId="0" builtinId="0"/>
    <cellStyle name="Komma 2" xfId="1"/>
    <cellStyle name="Comma 2" xfId="2"/>
    <cellStyle name="N_InputWhite" xfId="3"/>
    <cellStyle name="N_InputCalc" xfId="4"/>
    <cellStyle name="N_Input" xfId="5"/>
    <cellStyle name="N_Table1_Header" xfId="6"/>
    <cellStyle name="N_CalcSum" xfId="7"/>
    <cellStyle name="N_Comment" xfId="8"/>
    <cellStyle name="Comma 3" xfId="9"/>
    <cellStyle name="Tabelle allgemein" xfId="10"/>
    <cellStyle name="Link" xfId="1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Relationships xmlns="http://schemas.openxmlformats.org/package/2006/relationships"><Relationship Type="http://schemas.openxmlformats.org/officeDocument/2006/relationships/hyperlink" Target="https://ourworldindata.org/grapher/cumulative-installed-wind-energy-capacity-gigawatts?time=earliest..2024&amp;country=~OWID_EU27&amp;tableFilter=countrie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15" sqref="B15"/>
    </sheetView>
  </sheetViews>
  <sheetFormatPr baseColWidth="10" defaultRowHeight="15"/>
  <sheetData>
    <row r="1">
      <c r="A1" s="1" t="inlineStr">
        <is>
          <t>Param</t>
        </is>
      </c>
      <c r="B1" s="1" t="inlineStr">
        <is>
          <t>Value</t>
        </is>
      </c>
    </row>
    <row r="2">
      <c r="A2" t="inlineStr">
        <is>
          <t>Start Year y0</t>
        </is>
      </c>
      <c r="B2" t="n">
        <v>2024</v>
      </c>
    </row>
    <row r="3">
      <c r="A3" t="inlineStr">
        <is>
          <t>End Year yn</t>
        </is>
      </c>
      <c r="B3" t="n">
        <v>2050</v>
      </c>
    </row>
    <row r="4">
      <c r="A4" t="inlineStr">
        <is>
          <t>hours per year</t>
        </is>
      </c>
      <c r="B4" t="n">
        <v>730</v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selection activeCell="T34" sqref="T34"/>
    </sheetView>
  </sheetViews>
  <sheetFormatPr baseColWidth="10" defaultRowHeight="15"/>
  <cols>
    <col width="13.7109375" customWidth="1" min="2" max="2"/>
    <col width="26.7109375" customWidth="1" min="3" max="3"/>
    <col width="37.28515625" customWidth="1" min="4" max="5"/>
    <col width="29.85546875" customWidth="1" min="6" max="6"/>
    <col width="39.85546875" customWidth="1" min="7" max="7"/>
    <col width="21.42578125" customWidth="1" min="8" max="8"/>
    <col width="22.5703125" customWidth="1" min="10" max="11"/>
    <col width="24.140625" customWidth="1" min="12" max="12"/>
    <col width="27.7109375" customWidth="1" min="13" max="13"/>
    <col width="22.85546875" customWidth="1" min="14" max="14"/>
    <col width="20.140625" customWidth="1" min="15" max="16"/>
    <col width="32.7109375" customWidth="1" min="18" max="18"/>
    <col width="35.28515625" customWidth="1" min="19" max="19"/>
    <col width="31.42578125" customWidth="1" min="20" max="20"/>
  </cols>
  <sheetData>
    <row r="1">
      <c r="A1" t="inlineStr">
        <is>
          <t>Stf</t>
        </is>
      </c>
      <c r="B1" t="inlineStr">
        <is>
          <t>import_EU27_solarPV</t>
        </is>
      </c>
      <c r="C1" t="inlineStr">
        <is>
          <t>manufacturing_EU27_solarPV</t>
        </is>
      </c>
      <c r="D1" t="inlineStr">
        <is>
          <t>remanufacturing_EU27_solarPV</t>
        </is>
      </c>
      <c r="E1" t="inlineStr">
        <is>
          <t>recycling_EU27_solarPV</t>
        </is>
      </c>
      <c r="F1" t="inlineStr">
        <is>
          <t>oandm_EU27_solarPV</t>
        </is>
      </c>
      <c r="G1" t="inlineStr">
        <is>
          <t>import_EU27_windoff</t>
        </is>
      </c>
      <c r="H1" t="inlineStr">
        <is>
          <t>manufacturing_EU27_windoff</t>
        </is>
      </c>
      <c r="I1" t="inlineStr">
        <is>
          <t>remanufacturing_EU27_windoff</t>
        </is>
      </c>
      <c r="J1" t="inlineStr">
        <is>
          <t>recycling_EU27_windoff</t>
        </is>
      </c>
      <c r="K1" t="inlineStr">
        <is>
          <t>oandm_EU27_windoff</t>
        </is>
      </c>
      <c r="L1" t="inlineStr">
        <is>
          <t>import_EU27_windon</t>
        </is>
      </c>
      <c r="M1" t="inlineStr">
        <is>
          <t>manufacturing_EU27_windon</t>
        </is>
      </c>
      <c r="N1" t="inlineStr">
        <is>
          <t>remanufacturing_EU27_windon</t>
        </is>
      </c>
      <c r="O1" t="inlineStr">
        <is>
          <t>recycling_EU27_windon</t>
        </is>
      </c>
      <c r="P1" t="inlineStr">
        <is>
          <t>oandm_EU27_windon</t>
        </is>
      </c>
      <c r="Q1" t="inlineStr">
        <is>
          <t>import_EU27_Batteries</t>
        </is>
      </c>
      <c r="R1" t="inlineStr">
        <is>
          <t>manufacturing_EU27_Batteries</t>
        </is>
      </c>
      <c r="S1" t="inlineStr">
        <is>
          <t>remanufacturing_EU27_Batteries</t>
        </is>
      </c>
      <c r="T1" t="inlineStr">
        <is>
          <t>recycling_EU27_Batteries</t>
        </is>
      </c>
      <c r="U1" t="inlineStr">
        <is>
          <t>oandm_EU27_Batteries</t>
        </is>
      </c>
    </row>
    <row r="2">
      <c r="A2" t="n">
        <v>2024</v>
      </c>
      <c r="B2" t="n">
        <v>250240</v>
      </c>
      <c r="C2" t="n">
        <v>303600</v>
      </c>
      <c r="D2" s="8" t="n">
        <v>257700</v>
      </c>
      <c r="E2" s="8" t="n">
        <v>1000</v>
      </c>
      <c r="F2" s="8" t="n">
        <v>4400</v>
      </c>
      <c r="G2" s="8" t="n">
        <v>1775265.641732</v>
      </c>
      <c r="H2" s="8" t="n">
        <v>2337972.5216</v>
      </c>
      <c r="I2" s="8" t="n">
        <v>1996946.161</v>
      </c>
      <c r="J2" s="8" t="n">
        <v>1000</v>
      </c>
      <c r="K2" s="8" t="n">
        <v>44000</v>
      </c>
      <c r="L2" s="8" t="n">
        <v>1052044.84</v>
      </c>
      <c r="M2" s="8" t="n">
        <v>1673707.7</v>
      </c>
      <c r="N2" s="8" t="n">
        <v>1143231.041</v>
      </c>
      <c r="O2" t="n">
        <v>1000</v>
      </c>
      <c r="P2" t="n">
        <v>17386.63391824554</v>
      </c>
      <c r="Q2" t="n">
        <v>280439.83</v>
      </c>
      <c r="R2" t="n">
        <v>1</v>
      </c>
      <c r="S2" s="8" t="n">
        <v>1</v>
      </c>
      <c r="T2" t="n">
        <v>1</v>
      </c>
      <c r="U2" t="n">
        <v>1</v>
      </c>
    </row>
    <row r="3">
      <c r="A3" t="n">
        <v>2025</v>
      </c>
      <c r="B3" t="n">
        <v>246486.4</v>
      </c>
      <c r="C3" t="n">
        <v>299045.4</v>
      </c>
      <c r="D3" s="8" t="n">
        <v>257700</v>
      </c>
      <c r="E3" s="8" t="n">
        <v>1000</v>
      </c>
      <c r="F3" s="8" t="n">
        <v>4400</v>
      </c>
      <c r="G3" s="8" t="n">
        <v>1722922.372057667</v>
      </c>
      <c r="H3" s="8" t="n">
        <v>2318026.381866667</v>
      </c>
      <c r="I3" s="8" t="n">
        <v>1996946.161</v>
      </c>
      <c r="J3" s="8" t="n">
        <v>1000</v>
      </c>
      <c r="K3" s="8" t="n">
        <v>44000</v>
      </c>
      <c r="L3" s="8" t="n">
        <v>1042480.796</v>
      </c>
      <c r="M3" s="8" t="n">
        <v>1660955.641333333</v>
      </c>
      <c r="N3" s="8" t="n">
        <v>1143231.041</v>
      </c>
      <c r="O3" t="n">
        <v>1000</v>
      </c>
      <c r="P3" t="n">
        <v>17386.63391824554</v>
      </c>
      <c r="Q3" t="n">
        <v>274754.91</v>
      </c>
      <c r="R3" t="n">
        <v>1</v>
      </c>
      <c r="S3" s="8" t="n">
        <v>1</v>
      </c>
      <c r="T3" t="n">
        <v>1</v>
      </c>
      <c r="U3" t="n">
        <v>1</v>
      </c>
    </row>
    <row r="4">
      <c r="A4" t="n">
        <v>2026</v>
      </c>
      <c r="B4" t="n">
        <v>242789.104</v>
      </c>
      <c r="C4" t="n">
        <v>294559.719</v>
      </c>
      <c r="D4" s="8" t="n">
        <v>257700</v>
      </c>
      <c r="E4" s="8" t="n">
        <v>1000</v>
      </c>
      <c r="F4" s="8" t="n">
        <v>4400</v>
      </c>
      <c r="G4" s="8" t="n">
        <v>1670579.102383333</v>
      </c>
      <c r="H4" s="8" t="n">
        <v>2298080.242133333</v>
      </c>
      <c r="I4" s="8" t="n">
        <v>1996946.161</v>
      </c>
      <c r="J4" s="8" t="n">
        <v>1000</v>
      </c>
      <c r="K4" s="8" t="n">
        <v>44000</v>
      </c>
      <c r="L4" s="8" t="n">
        <v>1032916.752</v>
      </c>
      <c r="M4" s="8" t="n">
        <v>1648203.582666667</v>
      </c>
      <c r="N4" s="8" t="n">
        <v>1143231.041</v>
      </c>
      <c r="O4" t="n">
        <v>1000</v>
      </c>
      <c r="P4" t="n">
        <v>17386.63391824554</v>
      </c>
      <c r="Q4" t="n">
        <v>269179.44</v>
      </c>
      <c r="R4" t="n">
        <v>1</v>
      </c>
      <c r="S4" s="8" t="n">
        <v>1</v>
      </c>
      <c r="T4" t="n">
        <v>1</v>
      </c>
      <c r="U4" t="n">
        <v>1</v>
      </c>
    </row>
    <row r="5">
      <c r="A5" t="n">
        <v>2027</v>
      </c>
      <c r="B5" t="n">
        <v>239147.2674</v>
      </c>
      <c r="C5" t="n">
        <v>290141.3232</v>
      </c>
      <c r="D5" s="8" t="n">
        <v>257700</v>
      </c>
      <c r="E5" s="8" t="n">
        <v>1000</v>
      </c>
      <c r="F5" s="8" t="n">
        <v>4400</v>
      </c>
      <c r="G5" s="8" t="n">
        <v>1618235.832709</v>
      </c>
      <c r="H5" s="8" t="n">
        <v>2278134.1024</v>
      </c>
      <c r="I5" s="8" t="n">
        <v>1996946.161</v>
      </c>
      <c r="J5" s="8" t="n">
        <v>1000</v>
      </c>
      <c r="K5" s="8" t="n">
        <v>44000</v>
      </c>
      <c r="L5" s="8" t="n">
        <v>1023352.708</v>
      </c>
      <c r="M5" s="8" t="n">
        <v>1635451.524</v>
      </c>
      <c r="N5" s="8" t="n">
        <v>1143231.041</v>
      </c>
      <c r="O5" t="n">
        <v>1000</v>
      </c>
      <c r="P5" t="n">
        <v>17386.63391824554</v>
      </c>
      <c r="Q5" t="n">
        <v>263711.78</v>
      </c>
      <c r="R5" t="n">
        <v>1</v>
      </c>
      <c r="S5" s="8" t="n">
        <v>1</v>
      </c>
      <c r="T5" t="n">
        <v>1</v>
      </c>
      <c r="U5" t="n">
        <v>1</v>
      </c>
    </row>
    <row r="6">
      <c r="A6" t="n">
        <v>2028</v>
      </c>
      <c r="B6" t="n">
        <v>235560.0584</v>
      </c>
      <c r="C6" t="n">
        <v>285788.2034</v>
      </c>
      <c r="D6" s="8" t="n">
        <v>257700</v>
      </c>
      <c r="E6" s="8" t="n">
        <v>1000</v>
      </c>
      <c r="F6" s="8" t="n">
        <v>4400</v>
      </c>
      <c r="G6" s="8" t="n">
        <v>1565892.563034666</v>
      </c>
      <c r="H6" s="8" t="n">
        <v>2258187.962666666</v>
      </c>
      <c r="I6" s="8" t="n">
        <v>1996946.161</v>
      </c>
      <c r="J6" s="8" t="n">
        <v>1000</v>
      </c>
      <c r="K6" s="8" t="n">
        <v>44000</v>
      </c>
      <c r="L6" s="8" t="n">
        <v>1013788.664</v>
      </c>
      <c r="M6" s="8" t="n">
        <v>1622699.465333333</v>
      </c>
      <c r="N6" s="8" t="n">
        <v>1143231.041</v>
      </c>
      <c r="O6" t="n">
        <v>1000</v>
      </c>
      <c r="P6" t="n">
        <v>17386.63391824554</v>
      </c>
      <c r="Q6" t="n">
        <v>258350.32</v>
      </c>
      <c r="R6" t="n">
        <v>1</v>
      </c>
      <c r="S6" s="8" t="n">
        <v>1</v>
      </c>
      <c r="T6" t="n">
        <v>1</v>
      </c>
      <c r="U6" t="n">
        <v>1</v>
      </c>
    </row>
    <row r="7">
      <c r="A7" t="n">
        <v>2029</v>
      </c>
      <c r="B7" t="n">
        <v>232026.6576</v>
      </c>
      <c r="C7" t="n">
        <v>281498.4804</v>
      </c>
      <c r="D7" s="8" t="n">
        <v>257700</v>
      </c>
      <c r="E7" s="8" t="n">
        <v>1000</v>
      </c>
      <c r="F7" s="8" t="n">
        <v>4400</v>
      </c>
      <c r="G7" s="8" t="n">
        <v>1513549.293360333</v>
      </c>
      <c r="H7" s="8" t="n">
        <v>2238241.82293333</v>
      </c>
      <c r="I7" s="8" t="n">
        <v>1996946.161</v>
      </c>
      <c r="J7" s="8" t="n">
        <v>1000</v>
      </c>
      <c r="K7" s="8" t="n">
        <v>44000</v>
      </c>
      <c r="L7" s="8" t="n">
        <v>1004224.62</v>
      </c>
      <c r="M7" s="8" t="n">
        <v>1609947.406666667</v>
      </c>
      <c r="N7" s="8" t="n">
        <v>1143231.041</v>
      </c>
      <c r="O7" t="n">
        <v>1000</v>
      </c>
      <c r="P7" t="n">
        <v>17386.63391824554</v>
      </c>
      <c r="Q7" t="n">
        <v>253093.46</v>
      </c>
      <c r="R7" t="n">
        <v>1</v>
      </c>
      <c r="S7" s="8" t="n">
        <v>1</v>
      </c>
      <c r="T7" t="n">
        <v>1</v>
      </c>
      <c r="U7" t="n">
        <v>1</v>
      </c>
    </row>
    <row r="8">
      <c r="A8" t="n">
        <v>2030</v>
      </c>
      <c r="B8" t="n">
        <v>228546.2577</v>
      </c>
      <c r="C8" t="n">
        <v>277270.3442</v>
      </c>
      <c r="D8" s="8" t="n">
        <v>257700</v>
      </c>
      <c r="E8" s="8" t="n">
        <v>1000</v>
      </c>
      <c r="F8" s="8" t="n">
        <v>3900</v>
      </c>
      <c r="G8" s="8" t="n">
        <v>1461206.023686</v>
      </c>
      <c r="H8" s="8" t="n">
        <v>2218295.6832</v>
      </c>
      <c r="I8" s="8" t="n">
        <v>1996946.161</v>
      </c>
      <c r="J8" s="8" t="n">
        <v>1000</v>
      </c>
      <c r="K8" s="8" t="n">
        <v>34000</v>
      </c>
      <c r="L8" s="8" t="n">
        <v>994660.5760000001</v>
      </c>
      <c r="M8" s="8" t="n">
        <v>1597195.348</v>
      </c>
      <c r="N8" s="8" t="n">
        <v>1143231.041</v>
      </c>
      <c r="O8" t="n">
        <v>1000</v>
      </c>
      <c r="P8" t="n">
        <v>16662.66796409161</v>
      </c>
      <c r="Q8" t="n">
        <v>247939.65</v>
      </c>
      <c r="R8" t="n">
        <v>1</v>
      </c>
      <c r="S8" s="8" t="n">
        <v>1</v>
      </c>
      <c r="T8" t="n">
        <v>1</v>
      </c>
      <c r="U8" t="n">
        <v>1</v>
      </c>
    </row>
    <row r="9">
      <c r="A9" t="n">
        <v>2031</v>
      </c>
      <c r="B9" t="n">
        <v>225118.0638</v>
      </c>
      <c r="C9" t="n">
        <v>273102.2891</v>
      </c>
      <c r="D9" s="8" t="n">
        <v>257700</v>
      </c>
      <c r="E9" s="8" t="n">
        <v>1000</v>
      </c>
      <c r="F9" s="8" t="n">
        <v>3900</v>
      </c>
      <c r="G9" s="8" t="n">
        <v>1444015.15599508</v>
      </c>
      <c r="H9" s="8" t="n">
        <v>2205259.45616</v>
      </c>
      <c r="I9" s="8" t="n">
        <v>1996946.161</v>
      </c>
      <c r="J9" s="8" t="n">
        <v>1000</v>
      </c>
      <c r="K9" s="8" t="n">
        <v>34000</v>
      </c>
      <c r="L9" s="8" t="n">
        <v>992747.7672000001</v>
      </c>
      <c r="M9" s="8" t="n">
        <v>1594326.1348</v>
      </c>
      <c r="N9" s="8" t="n">
        <v>1143231.041</v>
      </c>
      <c r="O9" t="n">
        <v>1000</v>
      </c>
      <c r="P9" t="n">
        <v>16662.66796409161</v>
      </c>
      <c r="Q9" t="n">
        <v>242887.37</v>
      </c>
      <c r="R9" t="n">
        <v>1</v>
      </c>
      <c r="S9" s="8" t="n">
        <v>1</v>
      </c>
      <c r="T9" t="n">
        <v>1</v>
      </c>
      <c r="U9" t="n">
        <v>1</v>
      </c>
    </row>
    <row r="10">
      <c r="A10" t="n">
        <v>2032</v>
      </c>
      <c r="B10" t="n">
        <v>221741.2929</v>
      </c>
      <c r="C10" t="n">
        <v>268993.2548</v>
      </c>
      <c r="D10" s="8" t="n">
        <v>257700</v>
      </c>
      <c r="E10" s="8" t="n">
        <v>1000</v>
      </c>
      <c r="F10" s="8" t="n">
        <v>3900</v>
      </c>
      <c r="G10" s="8" t="n">
        <v>1426824.28830416</v>
      </c>
      <c r="H10" s="8" t="n">
        <v>2192223.22912</v>
      </c>
      <c r="I10" s="8" t="n">
        <v>1996946.161</v>
      </c>
      <c r="J10" s="8" t="n">
        <v>1000</v>
      </c>
      <c r="K10" s="8" t="n">
        <v>34000</v>
      </c>
      <c r="L10" s="8" t="n">
        <v>990834.9584</v>
      </c>
      <c r="M10" s="8" t="n">
        <v>1591456.9216</v>
      </c>
      <c r="N10" s="8" t="n">
        <v>1143231.041</v>
      </c>
      <c r="O10" t="n">
        <v>1000</v>
      </c>
      <c r="P10" t="n">
        <v>16662.66796409161</v>
      </c>
      <c r="Q10" t="n">
        <v>237935.1</v>
      </c>
      <c r="R10" t="n">
        <v>1</v>
      </c>
      <c r="S10" s="8" t="n">
        <v>1</v>
      </c>
      <c r="T10" t="n">
        <v>1</v>
      </c>
      <c r="U10" t="n">
        <v>1</v>
      </c>
    </row>
    <row r="11">
      <c r="A11" t="n">
        <v>2033</v>
      </c>
      <c r="B11" t="n">
        <v>218415.1735</v>
      </c>
      <c r="C11" t="n">
        <v>264942.415</v>
      </c>
      <c r="D11" s="8" t="n">
        <v>257700</v>
      </c>
      <c r="E11" s="8" t="n">
        <v>1000</v>
      </c>
      <c r="F11" s="8" t="n">
        <v>3900</v>
      </c>
      <c r="G11" s="8" t="n">
        <v>1409633.42061324</v>
      </c>
      <c r="H11" s="8" t="n">
        <v>2179187.00208</v>
      </c>
      <c r="I11" s="8" t="n">
        <v>1996946.161</v>
      </c>
      <c r="J11" s="8" t="n">
        <v>1000</v>
      </c>
      <c r="K11" s="8" t="n">
        <v>34000</v>
      </c>
      <c r="L11" s="8" t="n">
        <v>988922.1496</v>
      </c>
      <c r="M11" s="8" t="n">
        <v>1588587.7084</v>
      </c>
      <c r="N11" s="8" t="n">
        <v>1143231.041</v>
      </c>
      <c r="O11" t="n">
        <v>1000</v>
      </c>
      <c r="P11" t="n">
        <v>16662.66796409161</v>
      </c>
      <c r="Q11" t="n">
        <v>233081.4</v>
      </c>
      <c r="R11" t="n">
        <v>1</v>
      </c>
      <c r="S11" s="8" t="n">
        <v>1</v>
      </c>
      <c r="T11" t="n">
        <v>1</v>
      </c>
      <c r="U11" t="n">
        <v>1</v>
      </c>
    </row>
    <row r="12">
      <c r="A12" t="n">
        <v>2034</v>
      </c>
      <c r="B12" t="n">
        <v>215138.9459</v>
      </c>
      <c r="C12" t="n">
        <v>260948.7948</v>
      </c>
      <c r="D12" s="8" t="n">
        <v>257700</v>
      </c>
      <c r="E12" s="8" t="n">
        <v>1000</v>
      </c>
      <c r="F12" s="8" t="n">
        <v>3900</v>
      </c>
      <c r="G12" s="8" t="n">
        <v>1392442.55292232</v>
      </c>
      <c r="H12" s="8" t="n">
        <v>2166150.77504</v>
      </c>
      <c r="I12" s="8" t="n">
        <v>1996946.161</v>
      </c>
      <c r="J12" s="8" t="n">
        <v>1000</v>
      </c>
      <c r="K12" s="8" t="n">
        <v>34000</v>
      </c>
      <c r="L12" s="8" t="n">
        <v>987009.3407999999</v>
      </c>
      <c r="M12" s="8" t="n">
        <v>1585718.4952</v>
      </c>
      <c r="N12" s="8" t="n">
        <v>1143231.041</v>
      </c>
      <c r="O12" t="n">
        <v>1000</v>
      </c>
      <c r="P12" t="n">
        <v>16662.66796409161</v>
      </c>
      <c r="Q12" t="n">
        <v>228324.82</v>
      </c>
      <c r="R12" t="n">
        <v>1</v>
      </c>
      <c r="S12" s="8" t="n">
        <v>1</v>
      </c>
      <c r="T12" t="n">
        <v>1</v>
      </c>
      <c r="U12" t="n">
        <v>1</v>
      </c>
    </row>
    <row r="13">
      <c r="A13" t="n">
        <v>2035</v>
      </c>
      <c r="B13" t="n">
        <v>211911.8617</v>
      </c>
      <c r="C13" t="n">
        <v>257011.4613</v>
      </c>
      <c r="D13" s="8" t="n">
        <v>257700</v>
      </c>
      <c r="E13" s="8" t="n">
        <v>1000</v>
      </c>
      <c r="F13" s="8" t="n">
        <v>3900</v>
      </c>
      <c r="G13" s="8" t="n">
        <v>1375251.6852314</v>
      </c>
      <c r="H13" s="8" t="n">
        <v>2153114.547999999</v>
      </c>
      <c r="I13" s="8" t="n">
        <v>1996946.161</v>
      </c>
      <c r="J13" s="8" t="n">
        <v>1000</v>
      </c>
      <c r="K13" s="8" t="n">
        <v>34000</v>
      </c>
      <c r="L13" s="8" t="n">
        <v>985096.5319999999</v>
      </c>
      <c r="M13" s="8" t="n">
        <v>1582849.282</v>
      </c>
      <c r="N13" s="8" t="n">
        <v>1143231.041</v>
      </c>
      <c r="O13" t="n">
        <v>1000</v>
      </c>
      <c r="P13" t="n">
        <v>16662.66796409161</v>
      </c>
      <c r="Q13" t="n">
        <v>223663.91</v>
      </c>
      <c r="R13" t="n">
        <v>1</v>
      </c>
      <c r="S13" s="8" t="n">
        <v>1</v>
      </c>
      <c r="T13" t="n">
        <v>1</v>
      </c>
      <c r="U13" t="n">
        <v>1</v>
      </c>
    </row>
    <row r="14">
      <c r="A14" t="n">
        <v>2036</v>
      </c>
      <c r="B14" t="n">
        <v>208733.1838</v>
      </c>
      <c r="C14" t="n">
        <v>253129.3914</v>
      </c>
      <c r="D14" s="8" t="n">
        <v>257700</v>
      </c>
      <c r="E14" s="8" t="n">
        <v>1000</v>
      </c>
      <c r="F14" s="8" t="n">
        <v>3900</v>
      </c>
      <c r="G14" s="8" t="n">
        <v>1358060.81754048</v>
      </c>
      <c r="H14" s="8" t="n">
        <v>2140078.32096</v>
      </c>
      <c r="I14" s="8" t="n">
        <v>1996946.161</v>
      </c>
      <c r="J14" s="8" t="n">
        <v>1000</v>
      </c>
      <c r="K14" s="8" t="n">
        <v>34000</v>
      </c>
      <c r="L14" s="8" t="n">
        <v>983183.7231999998</v>
      </c>
      <c r="M14" s="8" t="n">
        <v>1579980.0688</v>
      </c>
      <c r="N14" s="8" t="n">
        <v>1143231.041</v>
      </c>
      <c r="O14" t="n">
        <v>1000</v>
      </c>
      <c r="P14" t="n">
        <v>16662.66796409161</v>
      </c>
      <c r="Q14" t="n">
        <v>219097.32</v>
      </c>
      <c r="R14" t="n">
        <v>1</v>
      </c>
      <c r="S14" s="8" t="n">
        <v>1</v>
      </c>
      <c r="T14" t="n">
        <v>1</v>
      </c>
      <c r="U14" t="n">
        <v>1</v>
      </c>
    </row>
    <row r="15">
      <c r="A15" t="n">
        <v>2037</v>
      </c>
      <c r="B15" t="n">
        <v>205602.186</v>
      </c>
      <c r="C15" t="n">
        <v>249301.6376</v>
      </c>
      <c r="D15" s="8" t="n">
        <v>257700</v>
      </c>
      <c r="E15" s="8" t="n">
        <v>1000</v>
      </c>
      <c r="F15" s="8" t="n">
        <v>3900</v>
      </c>
      <c r="G15" s="8" t="n">
        <v>1340869.94984956</v>
      </c>
      <c r="H15" s="8" t="n">
        <v>2127042.093919999</v>
      </c>
      <c r="I15" s="8" t="n">
        <v>1996946.161</v>
      </c>
      <c r="J15" s="8" t="n">
        <v>1000</v>
      </c>
      <c r="K15" s="8" t="n">
        <v>34000</v>
      </c>
      <c r="L15" s="8" t="n">
        <v>981270.9143999998</v>
      </c>
      <c r="M15" s="8" t="n">
        <v>1577110.8556</v>
      </c>
      <c r="N15" s="8" t="n">
        <v>1143231.041</v>
      </c>
      <c r="O15" t="n">
        <v>1000</v>
      </c>
      <c r="P15" t="n">
        <v>16662.66796409161</v>
      </c>
      <c r="Q15" t="n">
        <v>214623.65</v>
      </c>
      <c r="R15" t="n">
        <v>1</v>
      </c>
      <c r="S15" s="8" t="n">
        <v>1</v>
      </c>
      <c r="T15" t="n">
        <v>1</v>
      </c>
      <c r="U15" t="n">
        <v>1</v>
      </c>
    </row>
    <row r="16">
      <c r="A16" t="n">
        <v>2038</v>
      </c>
      <c r="B16" t="n">
        <v>202518.1532</v>
      </c>
      <c r="C16" t="n">
        <v>245527.3081</v>
      </c>
      <c r="D16" s="8" t="n">
        <v>257700</v>
      </c>
      <c r="E16" s="8" t="n">
        <v>1000</v>
      </c>
      <c r="F16" s="8" t="n">
        <v>3900</v>
      </c>
      <c r="G16" s="8" t="n">
        <v>1323679.08215864</v>
      </c>
      <c r="H16" s="8" t="n">
        <v>2114005.866879999</v>
      </c>
      <c r="I16" s="8" t="n">
        <v>1996946.161</v>
      </c>
      <c r="J16" s="8" t="n">
        <v>1000</v>
      </c>
      <c r="K16" s="8" t="n">
        <v>34000</v>
      </c>
      <c r="L16" s="8" t="n">
        <v>979358.1055999997</v>
      </c>
      <c r="M16" s="8" t="n">
        <v>1574241.6424</v>
      </c>
      <c r="N16" s="8" t="n">
        <v>1143231.041</v>
      </c>
      <c r="O16" t="n">
        <v>1000</v>
      </c>
      <c r="P16" t="n">
        <v>16662.66796409161</v>
      </c>
      <c r="Q16" t="n">
        <v>210241.6</v>
      </c>
      <c r="R16" t="n">
        <v>1</v>
      </c>
      <c r="S16" s="8" t="n">
        <v>1</v>
      </c>
      <c r="T16" t="n">
        <v>1</v>
      </c>
      <c r="U16" t="n">
        <v>1</v>
      </c>
    </row>
    <row r="17">
      <c r="A17" t="n">
        <v>2039</v>
      </c>
      <c r="B17" t="n">
        <v>199480.3809</v>
      </c>
      <c r="C17" t="n">
        <v>241805.3986</v>
      </c>
      <c r="D17" s="8" t="n">
        <v>257700</v>
      </c>
      <c r="E17" s="8" t="n">
        <v>1000</v>
      </c>
      <c r="F17" s="8" t="n">
        <v>3900</v>
      </c>
      <c r="G17" s="8" t="n">
        <v>1306488.214467719</v>
      </c>
      <c r="H17" s="8" t="n">
        <v>2100969.639839999</v>
      </c>
      <c r="I17" s="8" t="n">
        <v>1996946.161</v>
      </c>
      <c r="J17" s="8" t="n">
        <v>1000</v>
      </c>
      <c r="K17" s="8" t="n">
        <v>34000</v>
      </c>
      <c r="L17" s="8" t="n">
        <v>977445.2967999997</v>
      </c>
      <c r="M17" s="8" t="n">
        <v>1571372.4292</v>
      </c>
      <c r="N17" s="8" t="n">
        <v>1143231.041</v>
      </c>
      <c r="O17" t="n">
        <v>1000</v>
      </c>
      <c r="P17" t="n">
        <v>16662.66796409161</v>
      </c>
      <c r="Q17" t="n">
        <v>205949.84</v>
      </c>
      <c r="R17" t="n">
        <v>1</v>
      </c>
      <c r="S17" s="8" t="n">
        <v>1</v>
      </c>
      <c r="T17" t="n">
        <v>1</v>
      </c>
      <c r="U17" t="n">
        <v>1</v>
      </c>
    </row>
    <row r="18">
      <c r="A18" t="n">
        <v>2040</v>
      </c>
      <c r="B18" t="n">
        <v>196488.1752</v>
      </c>
      <c r="C18" t="n">
        <v>238134.9901</v>
      </c>
      <c r="D18" s="8" t="n">
        <v>257700</v>
      </c>
      <c r="E18" s="8" t="n">
        <v>1000</v>
      </c>
      <c r="F18" s="8" t="n">
        <v>3100</v>
      </c>
      <c r="G18" s="8" t="n">
        <v>1288027.7959324</v>
      </c>
      <c r="H18" s="8" t="n">
        <v>2087933.4128</v>
      </c>
      <c r="I18" s="8" t="n">
        <v>1996946.161</v>
      </c>
      <c r="J18" s="8" t="n">
        <v>1000</v>
      </c>
      <c r="K18" s="8" t="n">
        <v>30000</v>
      </c>
      <c r="L18" s="8" t="n">
        <v>975532.4879999995</v>
      </c>
      <c r="M18" s="8" t="n">
        <v>1568503.216</v>
      </c>
      <c r="N18" s="8" t="n">
        <v>1143231.041</v>
      </c>
      <c r="O18" t="n">
        <v>1000</v>
      </c>
      <c r="P18" t="n">
        <v>15965.36484629502</v>
      </c>
      <c r="Q18" t="n">
        <v>201747.12</v>
      </c>
      <c r="R18" t="n">
        <v>1</v>
      </c>
      <c r="S18" s="8" t="n">
        <v>1</v>
      </c>
      <c r="T18" t="n">
        <v>1</v>
      </c>
      <c r="U18" t="n">
        <v>1</v>
      </c>
    </row>
    <row r="19">
      <c r="A19" t="n">
        <v>2041</v>
      </c>
      <c r="B19" t="n">
        <v>193540.8526</v>
      </c>
      <c r="C19" t="n">
        <v>234515.065</v>
      </c>
      <c r="D19" s="8" t="n">
        <v>257700</v>
      </c>
      <c r="E19" s="8" t="n">
        <v>1000</v>
      </c>
      <c r="F19" s="8" t="n">
        <v>3100</v>
      </c>
      <c r="G19" s="8" t="n">
        <v>1288154.75101684</v>
      </c>
      <c r="H19" s="8" t="n">
        <v>2076927.41784</v>
      </c>
      <c r="I19" s="8" t="n">
        <v>1996946.161</v>
      </c>
      <c r="J19" s="8" t="n">
        <v>1000</v>
      </c>
      <c r="K19" s="8" t="n">
        <v>30000</v>
      </c>
      <c r="L19" s="8" t="n">
        <v>973619.6791999997</v>
      </c>
      <c r="M19" s="8" t="n">
        <v>1565634.002800001</v>
      </c>
      <c r="N19" s="8" t="n">
        <v>1143231.041</v>
      </c>
      <c r="O19" t="n">
        <v>1000</v>
      </c>
      <c r="P19" t="n">
        <v>15965.36484629502</v>
      </c>
      <c r="Q19" t="n">
        <v>197632.19</v>
      </c>
      <c r="R19" t="n">
        <v>1</v>
      </c>
      <c r="S19" s="8" t="n">
        <v>1</v>
      </c>
      <c r="T19" t="n">
        <v>1</v>
      </c>
      <c r="U19" t="n">
        <v>1</v>
      </c>
    </row>
    <row r="20">
      <c r="A20" t="n">
        <v>2042</v>
      </c>
      <c r="B20" t="n">
        <v>190637.7398</v>
      </c>
      <c r="C20" t="n">
        <v>230944.688</v>
      </c>
      <c r="D20" s="8" t="n">
        <v>257700</v>
      </c>
      <c r="E20" s="8" t="n">
        <v>1000</v>
      </c>
      <c r="F20" s="8" t="n">
        <v>3100</v>
      </c>
      <c r="G20" s="8" t="n">
        <v>1288281.70610128</v>
      </c>
      <c r="H20" s="8" t="n">
        <v>2065921.42288</v>
      </c>
      <c r="I20" s="8" t="n">
        <v>1996946.161</v>
      </c>
      <c r="J20" s="8" t="n">
        <v>1000</v>
      </c>
      <c r="K20" s="8" t="n">
        <v>30000</v>
      </c>
      <c r="L20" s="8" t="n">
        <v>971706.8703999995</v>
      </c>
      <c r="M20" s="8" t="n">
        <v>1562764.7896</v>
      </c>
      <c r="N20" s="8" t="n">
        <v>1143231.041</v>
      </c>
      <c r="O20" t="n">
        <v>1000</v>
      </c>
      <c r="P20" t="n">
        <v>15965.36484629502</v>
      </c>
      <c r="Q20" t="n">
        <v>193603.83</v>
      </c>
      <c r="R20" t="n">
        <v>1</v>
      </c>
      <c r="S20" s="8" t="n">
        <v>1</v>
      </c>
      <c r="T20" t="n">
        <v>1</v>
      </c>
      <c r="U20" t="n">
        <v>1</v>
      </c>
    </row>
    <row r="21">
      <c r="A21" t="n">
        <v>2043</v>
      </c>
      <c r="B21" t="n">
        <v>187778.1737</v>
      </c>
      <c r="C21" t="n">
        <v>227422.9653</v>
      </c>
      <c r="D21" s="8" t="n">
        <v>257700</v>
      </c>
      <c r="E21" s="8" t="n">
        <v>1000</v>
      </c>
      <c r="F21" s="8" t="n">
        <v>3100</v>
      </c>
      <c r="G21" s="8" t="n">
        <v>1288408.66118572</v>
      </c>
      <c r="H21" s="8" t="n">
        <v>2054915.42792</v>
      </c>
      <c r="I21" s="8" t="n">
        <v>1996946.161</v>
      </c>
      <c r="J21" s="8" t="n">
        <v>1000</v>
      </c>
      <c r="K21" s="8" t="n">
        <v>30000</v>
      </c>
      <c r="L21" s="8" t="n">
        <v>969794.0615999995</v>
      </c>
      <c r="M21" s="8" t="n">
        <v>1559895.576400001</v>
      </c>
      <c r="N21" s="8" t="n">
        <v>1143231.041</v>
      </c>
      <c r="O21" t="n">
        <v>1000</v>
      </c>
      <c r="P21" t="n">
        <v>15965.36484629502</v>
      </c>
      <c r="Q21" t="n">
        <v>189660.87</v>
      </c>
      <c r="R21" t="n">
        <v>1</v>
      </c>
      <c r="S21" s="8" t="n">
        <v>1</v>
      </c>
      <c r="T21" t="n">
        <v>1</v>
      </c>
      <c r="U21" t="n">
        <v>1</v>
      </c>
    </row>
    <row r="22">
      <c r="A22" t="n">
        <v>2044</v>
      </c>
      <c r="B22" t="n">
        <v>184961.5011</v>
      </c>
      <c r="C22" t="n">
        <v>223948.881</v>
      </c>
      <c r="D22" s="8" t="n">
        <v>257700</v>
      </c>
      <c r="E22" s="8" t="n">
        <v>1000</v>
      </c>
      <c r="F22" s="8" t="n">
        <v>3100</v>
      </c>
      <c r="G22" s="8" t="n">
        <v>1288535.61627016</v>
      </c>
      <c r="H22" s="8" t="n">
        <v>2043909.43296</v>
      </c>
      <c r="I22" s="8" t="n">
        <v>1996946.161</v>
      </c>
      <c r="J22" s="8" t="n">
        <v>1000</v>
      </c>
      <c r="K22" s="8" t="n">
        <v>30000</v>
      </c>
      <c r="L22" s="8" t="n">
        <v>967881.2527999994</v>
      </c>
      <c r="M22" s="8" t="n">
        <v>1557026.3632</v>
      </c>
      <c r="N22" s="8" t="n">
        <v>1143231.041</v>
      </c>
      <c r="O22" t="n">
        <v>1000</v>
      </c>
      <c r="P22" t="n">
        <v>15965.36484629502</v>
      </c>
      <c r="Q22" t="n">
        <v>185802.14</v>
      </c>
      <c r="R22" t="n">
        <v>1</v>
      </c>
      <c r="S22" s="8" t="n">
        <v>1</v>
      </c>
      <c r="T22" t="n">
        <v>1</v>
      </c>
      <c r="U22" t="n">
        <v>1</v>
      </c>
    </row>
    <row r="23">
      <c r="A23" t="n">
        <v>2045</v>
      </c>
      <c r="B23" t="n">
        <v>182187.0786</v>
      </c>
      <c r="C23" t="n">
        <v>220521.4635</v>
      </c>
      <c r="D23" s="8" t="n">
        <v>257700</v>
      </c>
      <c r="E23" s="8" t="n">
        <v>1000</v>
      </c>
      <c r="F23" s="8" t="n">
        <v>3100</v>
      </c>
      <c r="G23" s="8" t="n">
        <v>1288662.5713546</v>
      </c>
      <c r="H23" s="8" t="n">
        <v>2032903.438000001</v>
      </c>
      <c r="I23" s="8" t="n">
        <v>1996946.161</v>
      </c>
      <c r="J23" s="8" t="n">
        <v>1000</v>
      </c>
      <c r="K23" s="8" t="n">
        <v>30000</v>
      </c>
      <c r="L23" s="8" t="n">
        <v>965968.4439999994</v>
      </c>
      <c r="M23" s="8" t="n">
        <v>1554157.150000001</v>
      </c>
      <c r="N23" s="8" t="n">
        <v>1143231.041</v>
      </c>
      <c r="O23" t="n">
        <v>1000</v>
      </c>
      <c r="P23" t="n">
        <v>15965.36484629502</v>
      </c>
      <c r="Q23" t="n">
        <v>182026.51</v>
      </c>
      <c r="R23" t="n">
        <v>1</v>
      </c>
      <c r="S23" s="8" t="n">
        <v>1</v>
      </c>
      <c r="T23" t="n">
        <v>1</v>
      </c>
      <c r="U23" t="n">
        <v>1</v>
      </c>
    </row>
    <row r="24">
      <c r="A24" t="n">
        <v>2046</v>
      </c>
      <c r="B24" t="n">
        <v>179454.2724</v>
      </c>
      <c r="C24" t="n">
        <v>217139.7435</v>
      </c>
      <c r="D24" s="8" t="n">
        <v>257700</v>
      </c>
      <c r="E24" s="8" t="n">
        <v>1000</v>
      </c>
      <c r="F24" s="8" t="n">
        <v>3100</v>
      </c>
      <c r="G24" s="8" t="n">
        <v>1288789.52643904</v>
      </c>
      <c r="H24" s="8" t="n">
        <v>2021897.443040001</v>
      </c>
      <c r="I24" s="8" t="n">
        <v>1996946.161</v>
      </c>
      <c r="J24" s="8" t="n">
        <v>1000</v>
      </c>
      <c r="K24" s="8" t="n">
        <v>30000</v>
      </c>
      <c r="L24" s="8" t="n">
        <v>964055.6351999993</v>
      </c>
      <c r="M24" s="8" t="n">
        <v>1551287.936800001</v>
      </c>
      <c r="N24" s="8" t="n">
        <v>1143231.041</v>
      </c>
      <c r="O24" t="n">
        <v>1000</v>
      </c>
      <c r="P24" t="n">
        <v>15965.36484629502</v>
      </c>
      <c r="Q24" t="n">
        <v>178332.87</v>
      </c>
      <c r="R24" t="n">
        <v>1</v>
      </c>
      <c r="S24" s="8" t="n">
        <v>1</v>
      </c>
      <c r="T24" t="n">
        <v>1</v>
      </c>
      <c r="U24" t="n">
        <v>1</v>
      </c>
    </row>
    <row r="25">
      <c r="A25" t="n">
        <v>2047</v>
      </c>
      <c r="B25" t="n">
        <v>176762.4583</v>
      </c>
      <c r="C25" t="n">
        <v>213802.7577</v>
      </c>
      <c r="D25" s="8" t="n">
        <v>257700</v>
      </c>
      <c r="E25" s="8" t="n">
        <v>1000</v>
      </c>
      <c r="F25" s="8" t="n">
        <v>3100</v>
      </c>
      <c r="G25" s="8" t="n">
        <v>1288916.48152348</v>
      </c>
      <c r="H25" s="8" t="n">
        <v>2010891.448080001</v>
      </c>
      <c r="I25" s="8" t="n">
        <v>1996946.161</v>
      </c>
      <c r="J25" s="8" t="n">
        <v>1000</v>
      </c>
      <c r="K25" s="8" t="n">
        <v>30000</v>
      </c>
      <c r="L25" s="8" t="n">
        <v>962142.8263999993</v>
      </c>
      <c r="M25" s="8" t="n">
        <v>1548418.723600001</v>
      </c>
      <c r="N25" s="8" t="n">
        <v>1143231.041</v>
      </c>
      <c r="O25" t="n">
        <v>1000</v>
      </c>
      <c r="P25" t="n">
        <v>15965.36484629502</v>
      </c>
      <c r="Q25" t="n">
        <v>174720.11</v>
      </c>
      <c r="R25" t="n">
        <v>1</v>
      </c>
      <c r="S25" s="8" t="n">
        <v>1</v>
      </c>
      <c r="T25" t="n">
        <v>1</v>
      </c>
      <c r="U25" t="n">
        <v>1</v>
      </c>
    </row>
    <row r="26">
      <c r="A26" t="n">
        <v>2048</v>
      </c>
      <c r="B26" t="n">
        <v>174111.0214</v>
      </c>
      <c r="C26" t="n">
        <v>210509.6168</v>
      </c>
      <c r="D26" s="8" t="n">
        <v>257700</v>
      </c>
      <c r="E26" s="8" t="n">
        <v>1000</v>
      </c>
      <c r="F26" s="8" t="n">
        <v>3100</v>
      </c>
      <c r="G26" s="8" t="n">
        <v>1289043.436607921</v>
      </c>
      <c r="H26" s="8" t="n">
        <v>1999885.453120001</v>
      </c>
      <c r="I26" s="8" t="n">
        <v>1996946.161</v>
      </c>
      <c r="J26" s="8" t="n">
        <v>1000</v>
      </c>
      <c r="K26" s="8" t="n">
        <v>30000</v>
      </c>
      <c r="L26" s="8" t="n">
        <v>960230.0175999992</v>
      </c>
      <c r="M26" s="8" t="n">
        <v>1545549.510400001</v>
      </c>
      <c r="N26" s="8" t="n">
        <v>1143231.041</v>
      </c>
      <c r="O26" t="n">
        <v>1000</v>
      </c>
      <c r="P26" t="n">
        <v>15965.36484629502</v>
      </c>
      <c r="Q26" t="n">
        <v>171187.17</v>
      </c>
      <c r="R26" t="n">
        <v>1</v>
      </c>
      <c r="S26" s="8" t="n">
        <v>1</v>
      </c>
      <c r="T26" t="n">
        <v>1</v>
      </c>
      <c r="U26" t="n">
        <v>1</v>
      </c>
    </row>
    <row r="27">
      <c r="A27" t="n">
        <v>2049</v>
      </c>
      <c r="B27" t="n">
        <v>171499.3561</v>
      </c>
      <c r="C27" t="n">
        <v>207259.3126</v>
      </c>
      <c r="D27" s="8" t="n">
        <v>257700</v>
      </c>
      <c r="E27" s="8" t="n">
        <v>1000</v>
      </c>
      <c r="F27" s="8" t="n">
        <v>3100</v>
      </c>
      <c r="G27" s="8" t="n">
        <v>1289170.39169236</v>
      </c>
      <c r="H27" s="8" t="n">
        <v>1988879.458160001</v>
      </c>
      <c r="I27" s="8" t="n">
        <v>1996946.161</v>
      </c>
      <c r="J27" s="8" t="n">
        <v>1000</v>
      </c>
      <c r="K27" s="8" t="n">
        <v>30000</v>
      </c>
      <c r="L27" s="8" t="n">
        <v>958317.2087999992</v>
      </c>
      <c r="M27" s="8" t="n">
        <v>1542680.297200001</v>
      </c>
      <c r="N27" s="8" t="n">
        <v>1143231.041</v>
      </c>
      <c r="O27" t="n">
        <v>1000</v>
      </c>
      <c r="P27" t="n">
        <v>15965.36484629502</v>
      </c>
      <c r="Q27" t="n">
        <v>167732.98</v>
      </c>
      <c r="R27" t="n">
        <v>1</v>
      </c>
      <c r="S27" s="8" t="n">
        <v>1</v>
      </c>
      <c r="T27" t="n">
        <v>1</v>
      </c>
      <c r="U27" t="n">
        <v>1</v>
      </c>
    </row>
    <row r="28">
      <c r="A28" t="n">
        <v>2050</v>
      </c>
      <c r="B28" t="n">
        <v>168926.8658</v>
      </c>
      <c r="C28" t="n">
        <v>204050.9535</v>
      </c>
      <c r="D28" s="8" t="n">
        <v>257700</v>
      </c>
      <c r="E28" s="8" t="n">
        <v>1000</v>
      </c>
      <c r="F28" s="8" t="n">
        <v>2500</v>
      </c>
      <c r="G28" s="8" t="n">
        <v>1289297.3467768</v>
      </c>
      <c r="H28" s="8" t="n">
        <v>1977873.4632</v>
      </c>
      <c r="I28" s="8" t="n">
        <v>1996946.161</v>
      </c>
      <c r="J28" s="8" t="n">
        <v>1000</v>
      </c>
      <c r="K28" s="8" t="n">
        <v>28000</v>
      </c>
      <c r="L28" s="8" t="n">
        <v>956404.4000000003</v>
      </c>
      <c r="M28" s="8" t="n">
        <v>1539811.084</v>
      </c>
      <c r="N28" s="8" t="n">
        <v>1143231.041</v>
      </c>
      <c r="O28" t="n">
        <v>1000</v>
      </c>
      <c r="P28" t="n">
        <v>15602.06928231802</v>
      </c>
      <c r="Q28" t="n">
        <v>164356.52</v>
      </c>
      <c r="R28" t="n">
        <v>1</v>
      </c>
      <c r="S28" s="8" t="n">
        <v>1</v>
      </c>
      <c r="T28" t="n">
        <v>1</v>
      </c>
      <c r="U28" t="n">
        <v>1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E45" sqref="E45"/>
    </sheetView>
  </sheetViews>
  <sheetFormatPr baseColWidth="10" defaultRowHeight="15"/>
  <cols>
    <col width="17.42578125" customWidth="1" min="1" max="1"/>
  </cols>
  <sheetData>
    <row r="1">
      <c r="A1" s="4" t="inlineStr">
        <is>
          <t>Locations:</t>
        </is>
      </c>
    </row>
    <row r="2">
      <c r="A2" s="3" t="inlineStr">
        <is>
          <t>EU27</t>
        </is>
      </c>
    </row>
    <row r="3">
      <c r="A3" s="3" t="n"/>
    </row>
    <row r="4">
      <c r="A4" s="3" t="n"/>
    </row>
    <row r="5">
      <c r="A5" s="3" t="n"/>
    </row>
    <row r="6">
      <c r="A6" s="3" t="n"/>
    </row>
    <row r="7">
      <c r="A7" s="3" t="n"/>
    </row>
    <row r="8">
      <c r="A8" s="3" t="n"/>
    </row>
    <row r="9">
      <c r="A9" s="3" t="n"/>
    </row>
    <row r="10">
      <c r="A10" s="3" t="n"/>
    </row>
    <row r="11">
      <c r="A11" s="3" t="n"/>
    </row>
    <row r="12">
      <c r="A12" s="3" t="n"/>
    </row>
    <row r="13">
      <c r="A13" s="3" t="n"/>
    </row>
    <row r="14">
      <c r="A14" s="3" t="n"/>
    </row>
    <row r="15">
      <c r="A15" s="3" t="n"/>
    </row>
    <row r="16">
      <c r="A16" s="3" t="n"/>
    </row>
    <row r="17">
      <c r="A17" s="3" t="n"/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5"/>
  <sheetViews>
    <sheetView workbookViewId="0">
      <selection activeCell="E1" sqref="E1"/>
    </sheetView>
  </sheetViews>
  <sheetFormatPr baseColWidth="10" defaultRowHeight="15"/>
  <cols>
    <col width="17.7109375" customWidth="1" min="4" max="4"/>
  </cols>
  <sheetData>
    <row r="1">
      <c r="A1" t="inlineStr">
        <is>
          <t>timestep</t>
        </is>
      </c>
      <c r="B1" t="inlineStr">
        <is>
          <t>Stf</t>
        </is>
      </c>
      <c r="C1" s="3" t="inlineStr">
        <is>
          <t>EU27_solarPV</t>
        </is>
      </c>
      <c r="D1" s="3" t="inlineStr">
        <is>
          <t>EU27_windoff</t>
        </is>
      </c>
      <c r="E1" t="inlineStr">
        <is>
          <t>EU27_windon</t>
        </is>
      </c>
      <c r="F1" t="inlineStr">
        <is>
          <t>EU27_Batteries</t>
        </is>
      </c>
    </row>
    <row r="2">
      <c r="A2" t="n">
        <v>1</v>
      </c>
      <c r="B2" t="n">
        <v>2024</v>
      </c>
      <c r="C2" t="n">
        <v>0.125</v>
      </c>
      <c r="D2" t="n">
        <v>0.481</v>
      </c>
      <c r="E2" t="n">
        <v>0.3</v>
      </c>
      <c r="F2" t="n">
        <v>0</v>
      </c>
    </row>
    <row r="3">
      <c r="A3" t="n">
        <v>2</v>
      </c>
      <c r="B3" t="n">
        <v>2024</v>
      </c>
      <c r="C3" t="n">
        <v>0.125</v>
      </c>
      <c r="D3" t="n">
        <v>0.481</v>
      </c>
      <c r="E3" t="n">
        <v>0.3</v>
      </c>
      <c r="F3" t="n">
        <v>0</v>
      </c>
    </row>
    <row r="4">
      <c r="A4" t="n">
        <v>3</v>
      </c>
      <c r="B4" t="n">
        <v>2024</v>
      </c>
      <c r="C4" t="n">
        <v>0.125</v>
      </c>
      <c r="D4" t="n">
        <v>0.481</v>
      </c>
      <c r="E4" t="n">
        <v>0.3</v>
      </c>
      <c r="F4" t="n">
        <v>0</v>
      </c>
    </row>
    <row r="5">
      <c r="A5" t="n">
        <v>4</v>
      </c>
      <c r="B5" t="n">
        <v>2024</v>
      </c>
      <c r="C5" t="n">
        <v>0.125</v>
      </c>
      <c r="D5" t="n">
        <v>0.481</v>
      </c>
      <c r="E5" t="n">
        <v>0.3</v>
      </c>
      <c r="F5" t="n">
        <v>0</v>
      </c>
    </row>
    <row r="6">
      <c r="A6" t="n">
        <v>5</v>
      </c>
      <c r="B6" t="n">
        <v>2024</v>
      </c>
      <c r="C6" t="n">
        <v>0.125</v>
      </c>
      <c r="D6" t="n">
        <v>0.481</v>
      </c>
      <c r="E6" t="n">
        <v>0.3</v>
      </c>
      <c r="F6" t="n">
        <v>0</v>
      </c>
    </row>
    <row r="7">
      <c r="A7" t="n">
        <v>6</v>
      </c>
      <c r="B7" t="n">
        <v>2024</v>
      </c>
      <c r="C7" t="n">
        <v>0.125</v>
      </c>
      <c r="D7" t="n">
        <v>0.481</v>
      </c>
      <c r="E7" t="n">
        <v>0.3</v>
      </c>
      <c r="F7" t="n">
        <v>0</v>
      </c>
    </row>
    <row r="8">
      <c r="A8" t="n">
        <v>7</v>
      </c>
      <c r="B8" t="n">
        <v>2024</v>
      </c>
      <c r="C8" t="n">
        <v>0.125</v>
      </c>
      <c r="D8" t="n">
        <v>0.481</v>
      </c>
      <c r="E8" t="n">
        <v>0.3</v>
      </c>
      <c r="F8" t="n">
        <v>0</v>
      </c>
    </row>
    <row r="9">
      <c r="A9" t="n">
        <v>8</v>
      </c>
      <c r="B9" t="n">
        <v>2024</v>
      </c>
      <c r="C9" t="n">
        <v>0.125</v>
      </c>
      <c r="D9" t="n">
        <v>0.481</v>
      </c>
      <c r="E9" t="n">
        <v>0.3</v>
      </c>
      <c r="F9" t="n">
        <v>0</v>
      </c>
    </row>
    <row r="10">
      <c r="A10" t="n">
        <v>9</v>
      </c>
      <c r="B10" t="n">
        <v>2024</v>
      </c>
      <c r="C10" t="n">
        <v>0.125</v>
      </c>
      <c r="D10" t="n">
        <v>0.481</v>
      </c>
      <c r="E10" t="n">
        <v>0.3</v>
      </c>
      <c r="F10" t="n">
        <v>0</v>
      </c>
    </row>
    <row r="11">
      <c r="A11" t="n">
        <v>10</v>
      </c>
      <c r="B11" t="n">
        <v>2024</v>
      </c>
      <c r="C11" t="n">
        <v>0.125</v>
      </c>
      <c r="D11" t="n">
        <v>0.481</v>
      </c>
      <c r="E11" t="n">
        <v>0.3</v>
      </c>
      <c r="F11" t="n">
        <v>0</v>
      </c>
    </row>
    <row r="12">
      <c r="A12" t="n">
        <v>11</v>
      </c>
      <c r="B12" t="n">
        <v>2024</v>
      </c>
      <c r="C12" t="n">
        <v>0.125</v>
      </c>
      <c r="D12" t="n">
        <v>0.481</v>
      </c>
      <c r="E12" t="n">
        <v>0.3</v>
      </c>
      <c r="F12" t="n">
        <v>0</v>
      </c>
    </row>
    <row r="13">
      <c r="A13" t="n">
        <v>12</v>
      </c>
      <c r="B13" t="n">
        <v>2024</v>
      </c>
      <c r="C13" t="n">
        <v>0.125</v>
      </c>
      <c r="D13" t="n">
        <v>0.481</v>
      </c>
      <c r="E13" t="n">
        <v>0.3</v>
      </c>
      <c r="F13" t="n">
        <v>0</v>
      </c>
    </row>
    <row r="14">
      <c r="A14" t="n">
        <v>1</v>
      </c>
      <c r="B14" t="n">
        <v>2025</v>
      </c>
      <c r="C14" t="n">
        <v>0.125</v>
      </c>
      <c r="D14" t="n">
        <v>0.481</v>
      </c>
      <c r="E14" t="n">
        <v>0.3</v>
      </c>
      <c r="F14" t="n">
        <v>0</v>
      </c>
    </row>
    <row r="15">
      <c r="A15" t="n">
        <v>2</v>
      </c>
      <c r="B15" t="n">
        <v>2025</v>
      </c>
      <c r="C15" t="n">
        <v>0.125</v>
      </c>
      <c r="D15" t="n">
        <v>0.481</v>
      </c>
      <c r="E15" t="n">
        <v>0.3</v>
      </c>
      <c r="F15" t="n">
        <v>0</v>
      </c>
    </row>
    <row r="16">
      <c r="A16" t="n">
        <v>3</v>
      </c>
      <c r="B16" t="n">
        <v>2025</v>
      </c>
      <c r="C16" t="n">
        <v>0.125</v>
      </c>
      <c r="D16" t="n">
        <v>0.481</v>
      </c>
      <c r="E16" t="n">
        <v>0.3</v>
      </c>
      <c r="F16" t="n">
        <v>0</v>
      </c>
    </row>
    <row r="17">
      <c r="A17" t="n">
        <v>4</v>
      </c>
      <c r="B17" t="n">
        <v>2025</v>
      </c>
      <c r="C17" t="n">
        <v>0.125</v>
      </c>
      <c r="D17" t="n">
        <v>0.481</v>
      </c>
      <c r="E17" t="n">
        <v>0.3</v>
      </c>
      <c r="F17" t="n">
        <v>0</v>
      </c>
    </row>
    <row r="18">
      <c r="A18" t="n">
        <v>5</v>
      </c>
      <c r="B18" t="n">
        <v>2025</v>
      </c>
      <c r="C18" t="n">
        <v>0.125</v>
      </c>
      <c r="D18" t="n">
        <v>0.481</v>
      </c>
      <c r="E18" t="n">
        <v>0.3</v>
      </c>
      <c r="F18" t="n">
        <v>0</v>
      </c>
    </row>
    <row r="19">
      <c r="A19" t="n">
        <v>6</v>
      </c>
      <c r="B19" t="n">
        <v>2025</v>
      </c>
      <c r="C19" t="n">
        <v>0.125</v>
      </c>
      <c r="D19" t="n">
        <v>0.481</v>
      </c>
      <c r="E19" t="n">
        <v>0.3</v>
      </c>
      <c r="F19" t="n">
        <v>0</v>
      </c>
    </row>
    <row r="20">
      <c r="A20" t="n">
        <v>7</v>
      </c>
      <c r="B20" t="n">
        <v>2025</v>
      </c>
      <c r="C20" t="n">
        <v>0.125</v>
      </c>
      <c r="D20" t="n">
        <v>0.481</v>
      </c>
      <c r="E20" t="n">
        <v>0.3</v>
      </c>
      <c r="F20" t="n">
        <v>0</v>
      </c>
    </row>
    <row r="21">
      <c r="A21" t="n">
        <v>8</v>
      </c>
      <c r="B21" t="n">
        <v>2025</v>
      </c>
      <c r="C21" t="n">
        <v>0.125</v>
      </c>
      <c r="D21" t="n">
        <v>0.481</v>
      </c>
      <c r="E21" t="n">
        <v>0.3</v>
      </c>
      <c r="F21" t="n">
        <v>0</v>
      </c>
    </row>
    <row r="22">
      <c r="A22" t="n">
        <v>9</v>
      </c>
      <c r="B22" t="n">
        <v>2025</v>
      </c>
      <c r="C22" t="n">
        <v>0.125</v>
      </c>
      <c r="D22" t="n">
        <v>0.481</v>
      </c>
      <c r="E22" t="n">
        <v>0.3</v>
      </c>
      <c r="F22" t="n">
        <v>0</v>
      </c>
    </row>
    <row r="23">
      <c r="A23" t="n">
        <v>10</v>
      </c>
      <c r="B23" t="n">
        <v>2025</v>
      </c>
      <c r="C23" t="n">
        <v>0.125</v>
      </c>
      <c r="D23" t="n">
        <v>0.481</v>
      </c>
      <c r="E23" t="n">
        <v>0.3</v>
      </c>
      <c r="F23" t="n">
        <v>0</v>
      </c>
    </row>
    <row r="24">
      <c r="A24" t="n">
        <v>11</v>
      </c>
      <c r="B24" t="n">
        <v>2025</v>
      </c>
      <c r="C24" t="n">
        <v>0.125</v>
      </c>
      <c r="D24" t="n">
        <v>0.481</v>
      </c>
      <c r="E24" t="n">
        <v>0.3</v>
      </c>
      <c r="F24" t="n">
        <v>0</v>
      </c>
    </row>
    <row r="25">
      <c r="A25" t="n">
        <v>12</v>
      </c>
      <c r="B25" t="n">
        <v>2025</v>
      </c>
      <c r="C25" t="n">
        <v>0.125</v>
      </c>
      <c r="D25" t="n">
        <v>0.481</v>
      </c>
      <c r="E25" t="n">
        <v>0.3</v>
      </c>
      <c r="F25" t="n">
        <v>0</v>
      </c>
    </row>
    <row r="26">
      <c r="A26" t="n">
        <v>1</v>
      </c>
      <c r="B26" t="n">
        <v>2026</v>
      </c>
      <c r="C26" t="n">
        <v>0.125</v>
      </c>
      <c r="D26" t="n">
        <v>0.481</v>
      </c>
      <c r="E26" t="n">
        <v>0.3</v>
      </c>
      <c r="F26" t="n">
        <v>0</v>
      </c>
    </row>
    <row r="27">
      <c r="A27" t="n">
        <v>2</v>
      </c>
      <c r="B27" t="n">
        <v>2026</v>
      </c>
      <c r="C27" t="n">
        <v>0.125</v>
      </c>
      <c r="D27" t="n">
        <v>0.481</v>
      </c>
      <c r="E27" t="n">
        <v>0.3</v>
      </c>
      <c r="F27" t="n">
        <v>0</v>
      </c>
    </row>
    <row r="28">
      <c r="A28" t="n">
        <v>3</v>
      </c>
      <c r="B28" t="n">
        <v>2026</v>
      </c>
      <c r="C28" t="n">
        <v>0.125</v>
      </c>
      <c r="D28" t="n">
        <v>0.481</v>
      </c>
      <c r="E28" t="n">
        <v>0.3</v>
      </c>
      <c r="F28" t="n">
        <v>0</v>
      </c>
    </row>
    <row r="29">
      <c r="A29" t="n">
        <v>4</v>
      </c>
      <c r="B29" t="n">
        <v>2026</v>
      </c>
      <c r="C29" t="n">
        <v>0.125</v>
      </c>
      <c r="D29" t="n">
        <v>0.481</v>
      </c>
      <c r="E29" t="n">
        <v>0.3</v>
      </c>
      <c r="F29" t="n">
        <v>0</v>
      </c>
    </row>
    <row r="30">
      <c r="A30" t="n">
        <v>5</v>
      </c>
      <c r="B30" t="n">
        <v>2026</v>
      </c>
      <c r="C30" t="n">
        <v>0.125</v>
      </c>
      <c r="D30" t="n">
        <v>0.481</v>
      </c>
      <c r="E30" t="n">
        <v>0.3</v>
      </c>
      <c r="F30" t="n">
        <v>0</v>
      </c>
    </row>
    <row r="31">
      <c r="A31" t="n">
        <v>6</v>
      </c>
      <c r="B31" t="n">
        <v>2026</v>
      </c>
      <c r="C31" t="n">
        <v>0.125</v>
      </c>
      <c r="D31" t="n">
        <v>0.481</v>
      </c>
      <c r="E31" t="n">
        <v>0.3</v>
      </c>
      <c r="F31" t="n">
        <v>0</v>
      </c>
    </row>
    <row r="32">
      <c r="A32" t="n">
        <v>7</v>
      </c>
      <c r="B32" t="n">
        <v>2026</v>
      </c>
      <c r="C32" t="n">
        <v>0.125</v>
      </c>
      <c r="D32" t="n">
        <v>0.481</v>
      </c>
      <c r="E32" t="n">
        <v>0.3</v>
      </c>
      <c r="F32" t="n">
        <v>0</v>
      </c>
    </row>
    <row r="33">
      <c r="A33" t="n">
        <v>8</v>
      </c>
      <c r="B33" t="n">
        <v>2026</v>
      </c>
      <c r="C33" t="n">
        <v>0.125</v>
      </c>
      <c r="D33" t="n">
        <v>0.481</v>
      </c>
      <c r="E33" t="n">
        <v>0.3</v>
      </c>
      <c r="F33" t="n">
        <v>0</v>
      </c>
    </row>
    <row r="34">
      <c r="A34" t="n">
        <v>9</v>
      </c>
      <c r="B34" t="n">
        <v>2026</v>
      </c>
      <c r="C34" t="n">
        <v>0.125</v>
      </c>
      <c r="D34" t="n">
        <v>0.481</v>
      </c>
      <c r="E34" t="n">
        <v>0.3</v>
      </c>
      <c r="F34" t="n">
        <v>0</v>
      </c>
    </row>
    <row r="35">
      <c r="A35" t="n">
        <v>10</v>
      </c>
      <c r="B35" t="n">
        <v>2026</v>
      </c>
      <c r="C35" t="n">
        <v>0.125</v>
      </c>
      <c r="D35" t="n">
        <v>0.481</v>
      </c>
      <c r="E35" t="n">
        <v>0.3</v>
      </c>
      <c r="F35" t="n">
        <v>0</v>
      </c>
    </row>
    <row r="36">
      <c r="A36" t="n">
        <v>11</v>
      </c>
      <c r="B36" t="n">
        <v>2026</v>
      </c>
      <c r="C36" t="n">
        <v>0.125</v>
      </c>
      <c r="D36" t="n">
        <v>0.481</v>
      </c>
      <c r="E36" t="n">
        <v>0.3</v>
      </c>
      <c r="F36" t="n">
        <v>0</v>
      </c>
    </row>
    <row r="37">
      <c r="A37" t="n">
        <v>12</v>
      </c>
      <c r="B37" t="n">
        <v>2026</v>
      </c>
      <c r="C37" t="n">
        <v>0.125</v>
      </c>
      <c r="D37" t="n">
        <v>0.481</v>
      </c>
      <c r="E37" t="n">
        <v>0.3</v>
      </c>
      <c r="F37" t="n">
        <v>0</v>
      </c>
    </row>
    <row r="38">
      <c r="A38" t="n">
        <v>1</v>
      </c>
      <c r="B38" t="n">
        <v>2027</v>
      </c>
      <c r="C38" t="n">
        <v>0.125</v>
      </c>
      <c r="D38" t="n">
        <v>0.481</v>
      </c>
      <c r="E38" t="n">
        <v>0.3</v>
      </c>
      <c r="F38" t="n">
        <v>0</v>
      </c>
    </row>
    <row r="39">
      <c r="A39" t="n">
        <v>2</v>
      </c>
      <c r="B39" t="n">
        <v>2027</v>
      </c>
      <c r="C39" t="n">
        <v>0.125</v>
      </c>
      <c r="D39" t="n">
        <v>0.481</v>
      </c>
      <c r="E39" t="n">
        <v>0.3</v>
      </c>
      <c r="F39" t="n">
        <v>0</v>
      </c>
    </row>
    <row r="40">
      <c r="A40" t="n">
        <v>3</v>
      </c>
      <c r="B40" t="n">
        <v>2027</v>
      </c>
      <c r="C40" t="n">
        <v>0.125</v>
      </c>
      <c r="D40" t="n">
        <v>0.481</v>
      </c>
      <c r="E40" t="n">
        <v>0.3</v>
      </c>
      <c r="F40" t="n">
        <v>0</v>
      </c>
    </row>
    <row r="41">
      <c r="A41" t="n">
        <v>4</v>
      </c>
      <c r="B41" t="n">
        <v>2027</v>
      </c>
      <c r="C41" t="n">
        <v>0.125</v>
      </c>
      <c r="D41" t="n">
        <v>0.481</v>
      </c>
      <c r="E41" t="n">
        <v>0.3</v>
      </c>
      <c r="F41" t="n">
        <v>0</v>
      </c>
    </row>
    <row r="42">
      <c r="A42" t="n">
        <v>5</v>
      </c>
      <c r="B42" t="n">
        <v>2027</v>
      </c>
      <c r="C42" t="n">
        <v>0.125</v>
      </c>
      <c r="D42" t="n">
        <v>0.481</v>
      </c>
      <c r="E42" t="n">
        <v>0.3</v>
      </c>
      <c r="F42" t="n">
        <v>0</v>
      </c>
    </row>
    <row r="43">
      <c r="A43" t="n">
        <v>6</v>
      </c>
      <c r="B43" t="n">
        <v>2027</v>
      </c>
      <c r="C43" t="n">
        <v>0.125</v>
      </c>
      <c r="D43" t="n">
        <v>0.481</v>
      </c>
      <c r="E43" t="n">
        <v>0.3</v>
      </c>
      <c r="F43" t="n">
        <v>0</v>
      </c>
    </row>
    <row r="44">
      <c r="A44" t="n">
        <v>7</v>
      </c>
      <c r="B44" t="n">
        <v>2027</v>
      </c>
      <c r="C44" t="n">
        <v>0.125</v>
      </c>
      <c r="D44" t="n">
        <v>0.481</v>
      </c>
      <c r="E44" t="n">
        <v>0.3</v>
      </c>
      <c r="F44" t="n">
        <v>0</v>
      </c>
    </row>
    <row r="45">
      <c r="A45" t="n">
        <v>8</v>
      </c>
      <c r="B45" t="n">
        <v>2027</v>
      </c>
      <c r="C45" t="n">
        <v>0.125</v>
      </c>
      <c r="D45" t="n">
        <v>0.481</v>
      </c>
      <c r="E45" t="n">
        <v>0.3</v>
      </c>
      <c r="F45" t="n">
        <v>0</v>
      </c>
    </row>
    <row r="46">
      <c r="A46" t="n">
        <v>9</v>
      </c>
      <c r="B46" t="n">
        <v>2027</v>
      </c>
      <c r="C46" t="n">
        <v>0.125</v>
      </c>
      <c r="D46" t="n">
        <v>0.481</v>
      </c>
      <c r="E46" t="n">
        <v>0.3</v>
      </c>
      <c r="F46" t="n">
        <v>0</v>
      </c>
    </row>
    <row r="47">
      <c r="A47" t="n">
        <v>10</v>
      </c>
      <c r="B47" t="n">
        <v>2027</v>
      </c>
      <c r="C47" t="n">
        <v>0.125</v>
      </c>
      <c r="D47" t="n">
        <v>0.481</v>
      </c>
      <c r="E47" t="n">
        <v>0.3</v>
      </c>
      <c r="F47" t="n">
        <v>0</v>
      </c>
    </row>
    <row r="48">
      <c r="A48" t="n">
        <v>11</v>
      </c>
      <c r="B48" t="n">
        <v>2027</v>
      </c>
      <c r="C48" t="n">
        <v>0.125</v>
      </c>
      <c r="D48" t="n">
        <v>0.481</v>
      </c>
      <c r="E48" t="n">
        <v>0.3</v>
      </c>
      <c r="F48" t="n">
        <v>0</v>
      </c>
    </row>
    <row r="49">
      <c r="A49" t="n">
        <v>12</v>
      </c>
      <c r="B49" t="n">
        <v>2027</v>
      </c>
      <c r="C49" t="n">
        <v>0.125</v>
      </c>
      <c r="D49" t="n">
        <v>0.481</v>
      </c>
      <c r="E49" t="n">
        <v>0.3</v>
      </c>
      <c r="F49" t="n">
        <v>0</v>
      </c>
    </row>
    <row r="50">
      <c r="A50" t="n">
        <v>1</v>
      </c>
      <c r="B50" t="n">
        <v>2028</v>
      </c>
      <c r="C50" t="n">
        <v>0.125</v>
      </c>
      <c r="D50" t="n">
        <v>0.481</v>
      </c>
      <c r="E50" t="n">
        <v>0.3</v>
      </c>
      <c r="F50" t="n">
        <v>0</v>
      </c>
    </row>
    <row r="51">
      <c r="A51" t="n">
        <v>2</v>
      </c>
      <c r="B51" t="n">
        <v>2028</v>
      </c>
      <c r="C51" t="n">
        <v>0.125</v>
      </c>
      <c r="D51" t="n">
        <v>0.481</v>
      </c>
      <c r="E51" t="n">
        <v>0.3</v>
      </c>
      <c r="F51" t="n">
        <v>0</v>
      </c>
    </row>
    <row r="52">
      <c r="A52" t="n">
        <v>3</v>
      </c>
      <c r="B52" t="n">
        <v>2028</v>
      </c>
      <c r="C52" t="n">
        <v>0.125</v>
      </c>
      <c r="D52" t="n">
        <v>0.481</v>
      </c>
      <c r="E52" t="n">
        <v>0.3</v>
      </c>
      <c r="F52" t="n">
        <v>0</v>
      </c>
    </row>
    <row r="53">
      <c r="A53" t="n">
        <v>4</v>
      </c>
      <c r="B53" t="n">
        <v>2028</v>
      </c>
      <c r="C53" t="n">
        <v>0.125</v>
      </c>
      <c r="D53" t="n">
        <v>0.481</v>
      </c>
      <c r="E53" t="n">
        <v>0.3</v>
      </c>
      <c r="F53" t="n">
        <v>0</v>
      </c>
    </row>
    <row r="54">
      <c r="A54" t="n">
        <v>5</v>
      </c>
      <c r="B54" t="n">
        <v>2028</v>
      </c>
      <c r="C54" t="n">
        <v>0.125</v>
      </c>
      <c r="D54" t="n">
        <v>0.481</v>
      </c>
      <c r="E54" t="n">
        <v>0.3</v>
      </c>
      <c r="F54" t="n">
        <v>0</v>
      </c>
    </row>
    <row r="55">
      <c r="A55" t="n">
        <v>6</v>
      </c>
      <c r="B55" t="n">
        <v>2028</v>
      </c>
      <c r="C55" t="n">
        <v>0.125</v>
      </c>
      <c r="D55" t="n">
        <v>0.481</v>
      </c>
      <c r="E55" t="n">
        <v>0.3</v>
      </c>
      <c r="F55" t="n">
        <v>0</v>
      </c>
    </row>
    <row r="56">
      <c r="A56" t="n">
        <v>7</v>
      </c>
      <c r="B56" t="n">
        <v>2028</v>
      </c>
      <c r="C56" t="n">
        <v>0.125</v>
      </c>
      <c r="D56" t="n">
        <v>0.481</v>
      </c>
      <c r="E56" t="n">
        <v>0.3</v>
      </c>
      <c r="F56" t="n">
        <v>0</v>
      </c>
    </row>
    <row r="57">
      <c r="A57" t="n">
        <v>8</v>
      </c>
      <c r="B57" t="n">
        <v>2028</v>
      </c>
      <c r="C57" t="n">
        <v>0.125</v>
      </c>
      <c r="D57" t="n">
        <v>0.481</v>
      </c>
      <c r="E57" t="n">
        <v>0.3</v>
      </c>
      <c r="F57" t="n">
        <v>0</v>
      </c>
    </row>
    <row r="58">
      <c r="A58" t="n">
        <v>9</v>
      </c>
      <c r="B58" t="n">
        <v>2028</v>
      </c>
      <c r="C58" t="n">
        <v>0.125</v>
      </c>
      <c r="D58" t="n">
        <v>0.481</v>
      </c>
      <c r="E58" t="n">
        <v>0.3</v>
      </c>
      <c r="F58" t="n">
        <v>0</v>
      </c>
    </row>
    <row r="59">
      <c r="A59" t="n">
        <v>10</v>
      </c>
      <c r="B59" t="n">
        <v>2028</v>
      </c>
      <c r="C59" t="n">
        <v>0.125</v>
      </c>
      <c r="D59" t="n">
        <v>0.481</v>
      </c>
      <c r="E59" t="n">
        <v>0.3</v>
      </c>
      <c r="F59" t="n">
        <v>0</v>
      </c>
    </row>
    <row r="60">
      <c r="A60" t="n">
        <v>11</v>
      </c>
      <c r="B60" t="n">
        <v>2028</v>
      </c>
      <c r="C60" t="n">
        <v>0.125</v>
      </c>
      <c r="D60" t="n">
        <v>0.481</v>
      </c>
      <c r="E60" t="n">
        <v>0.3</v>
      </c>
      <c r="F60" t="n">
        <v>0</v>
      </c>
    </row>
    <row r="61">
      <c r="A61" t="n">
        <v>12</v>
      </c>
      <c r="B61" t="n">
        <v>2028</v>
      </c>
      <c r="C61" t="n">
        <v>0.125</v>
      </c>
      <c r="D61" t="n">
        <v>0.481</v>
      </c>
      <c r="E61" t="n">
        <v>0.3</v>
      </c>
      <c r="F61" t="n">
        <v>0</v>
      </c>
    </row>
    <row r="62">
      <c r="A62" t="n">
        <v>1</v>
      </c>
      <c r="B62" t="n">
        <v>2029</v>
      </c>
      <c r="C62" t="n">
        <v>0.125</v>
      </c>
      <c r="D62" t="n">
        <v>0.481</v>
      </c>
      <c r="E62" t="n">
        <v>0.3</v>
      </c>
      <c r="F62" t="n">
        <v>0</v>
      </c>
    </row>
    <row r="63">
      <c r="A63" t="n">
        <v>2</v>
      </c>
      <c r="B63" t="n">
        <v>2029</v>
      </c>
      <c r="C63" t="n">
        <v>0.125</v>
      </c>
      <c r="D63" t="n">
        <v>0.481</v>
      </c>
      <c r="E63" t="n">
        <v>0.3</v>
      </c>
      <c r="F63" t="n">
        <v>0</v>
      </c>
    </row>
    <row r="64">
      <c r="A64" t="n">
        <v>3</v>
      </c>
      <c r="B64" t="n">
        <v>2029</v>
      </c>
      <c r="C64" t="n">
        <v>0.125</v>
      </c>
      <c r="D64" t="n">
        <v>0.481</v>
      </c>
      <c r="E64" t="n">
        <v>0.3</v>
      </c>
      <c r="F64" t="n">
        <v>0</v>
      </c>
    </row>
    <row r="65">
      <c r="A65" t="n">
        <v>4</v>
      </c>
      <c r="B65" t="n">
        <v>2029</v>
      </c>
      <c r="C65" t="n">
        <v>0.125</v>
      </c>
      <c r="D65" t="n">
        <v>0.481</v>
      </c>
      <c r="E65" t="n">
        <v>0.3</v>
      </c>
      <c r="F65" t="n">
        <v>0</v>
      </c>
    </row>
    <row r="66">
      <c r="A66" t="n">
        <v>5</v>
      </c>
      <c r="B66" t="n">
        <v>2029</v>
      </c>
      <c r="C66" t="n">
        <v>0.125</v>
      </c>
      <c r="D66" t="n">
        <v>0.481</v>
      </c>
      <c r="E66" t="n">
        <v>0.3</v>
      </c>
      <c r="F66" t="n">
        <v>0</v>
      </c>
    </row>
    <row r="67">
      <c r="A67" t="n">
        <v>6</v>
      </c>
      <c r="B67" t="n">
        <v>2029</v>
      </c>
      <c r="C67" t="n">
        <v>0.125</v>
      </c>
      <c r="D67" t="n">
        <v>0.481</v>
      </c>
      <c r="E67" t="n">
        <v>0.3</v>
      </c>
      <c r="F67" t="n">
        <v>0</v>
      </c>
    </row>
    <row r="68">
      <c r="A68" t="n">
        <v>7</v>
      </c>
      <c r="B68" t="n">
        <v>2029</v>
      </c>
      <c r="C68" t="n">
        <v>0.125</v>
      </c>
      <c r="D68" t="n">
        <v>0.481</v>
      </c>
      <c r="E68" t="n">
        <v>0.3</v>
      </c>
      <c r="F68" t="n">
        <v>0</v>
      </c>
    </row>
    <row r="69">
      <c r="A69" t="n">
        <v>8</v>
      </c>
      <c r="B69" t="n">
        <v>2029</v>
      </c>
      <c r="C69" t="n">
        <v>0.125</v>
      </c>
      <c r="D69" t="n">
        <v>0.481</v>
      </c>
      <c r="E69" t="n">
        <v>0.3</v>
      </c>
      <c r="F69" t="n">
        <v>0</v>
      </c>
    </row>
    <row r="70">
      <c r="A70" t="n">
        <v>9</v>
      </c>
      <c r="B70" t="n">
        <v>2029</v>
      </c>
      <c r="C70" t="n">
        <v>0.125</v>
      </c>
      <c r="D70" t="n">
        <v>0.481</v>
      </c>
      <c r="E70" t="n">
        <v>0.3</v>
      </c>
      <c r="F70" t="n">
        <v>0</v>
      </c>
    </row>
    <row r="71">
      <c r="A71" t="n">
        <v>10</v>
      </c>
      <c r="B71" t="n">
        <v>2029</v>
      </c>
      <c r="C71" t="n">
        <v>0.125</v>
      </c>
      <c r="D71" t="n">
        <v>0.481</v>
      </c>
      <c r="E71" t="n">
        <v>0.3</v>
      </c>
      <c r="F71" t="n">
        <v>0</v>
      </c>
    </row>
    <row r="72">
      <c r="A72" t="n">
        <v>11</v>
      </c>
      <c r="B72" t="n">
        <v>2029</v>
      </c>
      <c r="C72" t="n">
        <v>0.125</v>
      </c>
      <c r="D72" t="n">
        <v>0.481</v>
      </c>
      <c r="E72" t="n">
        <v>0.3</v>
      </c>
      <c r="F72" t="n">
        <v>0</v>
      </c>
    </row>
    <row r="73">
      <c r="A73" t="n">
        <v>12</v>
      </c>
      <c r="B73" t="n">
        <v>2029</v>
      </c>
      <c r="C73" t="n">
        <v>0.125</v>
      </c>
      <c r="D73" t="n">
        <v>0.481</v>
      </c>
      <c r="E73" t="n">
        <v>0.3</v>
      </c>
      <c r="F73" t="n">
        <v>0</v>
      </c>
    </row>
    <row r="74">
      <c r="A74" t="n">
        <v>1</v>
      </c>
      <c r="B74" t="n">
        <v>2030</v>
      </c>
      <c r="C74" t="n">
        <v>0.125</v>
      </c>
      <c r="D74" t="n">
        <v>0.481</v>
      </c>
      <c r="E74" t="n">
        <v>0.3</v>
      </c>
      <c r="F74" t="n">
        <v>0</v>
      </c>
    </row>
    <row r="75">
      <c r="A75" t="n">
        <v>2</v>
      </c>
      <c r="B75" t="n">
        <v>2030</v>
      </c>
      <c r="C75" t="n">
        <v>0.125</v>
      </c>
      <c r="D75" t="n">
        <v>0.481</v>
      </c>
      <c r="E75" t="n">
        <v>0.3</v>
      </c>
      <c r="F75" t="n">
        <v>0</v>
      </c>
    </row>
    <row r="76">
      <c r="A76" t="n">
        <v>3</v>
      </c>
      <c r="B76" t="n">
        <v>2030</v>
      </c>
      <c r="C76" t="n">
        <v>0.125</v>
      </c>
      <c r="D76" t="n">
        <v>0.481</v>
      </c>
      <c r="E76" t="n">
        <v>0.3</v>
      </c>
      <c r="F76" t="n">
        <v>0</v>
      </c>
    </row>
    <row r="77">
      <c r="A77" t="n">
        <v>4</v>
      </c>
      <c r="B77" t="n">
        <v>2030</v>
      </c>
      <c r="C77" t="n">
        <v>0.125</v>
      </c>
      <c r="D77" t="n">
        <v>0.481</v>
      </c>
      <c r="E77" t="n">
        <v>0.3</v>
      </c>
      <c r="F77" t="n">
        <v>0</v>
      </c>
    </row>
    <row r="78">
      <c r="A78" t="n">
        <v>5</v>
      </c>
      <c r="B78" t="n">
        <v>2030</v>
      </c>
      <c r="C78" t="n">
        <v>0.125</v>
      </c>
      <c r="D78" t="n">
        <v>0.481</v>
      </c>
      <c r="E78" t="n">
        <v>0.3</v>
      </c>
      <c r="F78" t="n">
        <v>0</v>
      </c>
    </row>
    <row r="79">
      <c r="A79" t="n">
        <v>6</v>
      </c>
      <c r="B79" t="n">
        <v>2030</v>
      </c>
      <c r="C79" t="n">
        <v>0.125</v>
      </c>
      <c r="D79" t="n">
        <v>0.481</v>
      </c>
      <c r="E79" t="n">
        <v>0.3</v>
      </c>
      <c r="F79" t="n">
        <v>0</v>
      </c>
    </row>
    <row r="80">
      <c r="A80" t="n">
        <v>7</v>
      </c>
      <c r="B80" t="n">
        <v>2030</v>
      </c>
      <c r="C80" t="n">
        <v>0.125</v>
      </c>
      <c r="D80" t="n">
        <v>0.481</v>
      </c>
      <c r="E80" t="n">
        <v>0.3</v>
      </c>
      <c r="F80" t="n">
        <v>0</v>
      </c>
    </row>
    <row r="81">
      <c r="A81" t="n">
        <v>8</v>
      </c>
      <c r="B81" t="n">
        <v>2030</v>
      </c>
      <c r="C81" t="n">
        <v>0.125</v>
      </c>
      <c r="D81" t="n">
        <v>0.481</v>
      </c>
      <c r="E81" t="n">
        <v>0.3</v>
      </c>
      <c r="F81" t="n">
        <v>0</v>
      </c>
    </row>
    <row r="82">
      <c r="A82" t="n">
        <v>9</v>
      </c>
      <c r="B82" t="n">
        <v>2030</v>
      </c>
      <c r="C82" t="n">
        <v>0.125</v>
      </c>
      <c r="D82" t="n">
        <v>0.481</v>
      </c>
      <c r="E82" t="n">
        <v>0.3</v>
      </c>
      <c r="F82" t="n">
        <v>0</v>
      </c>
    </row>
    <row r="83">
      <c r="A83" t="n">
        <v>10</v>
      </c>
      <c r="B83" t="n">
        <v>2030</v>
      </c>
      <c r="C83" t="n">
        <v>0.125</v>
      </c>
      <c r="D83" t="n">
        <v>0.481</v>
      </c>
      <c r="E83" t="n">
        <v>0.3</v>
      </c>
      <c r="F83" t="n">
        <v>0</v>
      </c>
    </row>
    <row r="84">
      <c r="A84" t="n">
        <v>11</v>
      </c>
      <c r="B84" t="n">
        <v>2030</v>
      </c>
      <c r="C84" t="n">
        <v>0.125</v>
      </c>
      <c r="D84" t="n">
        <v>0.481</v>
      </c>
      <c r="E84" t="n">
        <v>0.3</v>
      </c>
      <c r="F84" t="n">
        <v>0</v>
      </c>
    </row>
    <row r="85">
      <c r="A85" t="n">
        <v>12</v>
      </c>
      <c r="B85" t="n">
        <v>2030</v>
      </c>
      <c r="C85" t="n">
        <v>0.125</v>
      </c>
      <c r="D85" t="n">
        <v>0.481</v>
      </c>
      <c r="E85" t="n">
        <v>0.3</v>
      </c>
      <c r="F85" t="n">
        <v>0</v>
      </c>
    </row>
    <row r="86">
      <c r="A86" t="n">
        <v>1</v>
      </c>
      <c r="B86" t="n">
        <v>2031</v>
      </c>
      <c r="C86" t="n">
        <v>0.125</v>
      </c>
      <c r="D86" t="n">
        <v>0.481</v>
      </c>
      <c r="E86" t="n">
        <v>0.3</v>
      </c>
      <c r="F86" t="n">
        <v>0</v>
      </c>
    </row>
    <row r="87">
      <c r="A87" t="n">
        <v>2</v>
      </c>
      <c r="B87" t="n">
        <v>2031</v>
      </c>
      <c r="C87" t="n">
        <v>0.125</v>
      </c>
      <c r="D87" t="n">
        <v>0.481</v>
      </c>
      <c r="E87" t="n">
        <v>0.3</v>
      </c>
      <c r="F87" t="n">
        <v>0</v>
      </c>
    </row>
    <row r="88">
      <c r="A88" t="n">
        <v>3</v>
      </c>
      <c r="B88" t="n">
        <v>2031</v>
      </c>
      <c r="C88" t="n">
        <v>0.125</v>
      </c>
      <c r="D88" t="n">
        <v>0.481</v>
      </c>
      <c r="E88" t="n">
        <v>0.3</v>
      </c>
      <c r="F88" t="n">
        <v>0</v>
      </c>
    </row>
    <row r="89">
      <c r="A89" t="n">
        <v>4</v>
      </c>
      <c r="B89" t="n">
        <v>2031</v>
      </c>
      <c r="C89" t="n">
        <v>0.125</v>
      </c>
      <c r="D89" t="n">
        <v>0.481</v>
      </c>
      <c r="E89" t="n">
        <v>0.3</v>
      </c>
      <c r="F89" t="n">
        <v>0</v>
      </c>
    </row>
    <row r="90">
      <c r="A90" t="n">
        <v>5</v>
      </c>
      <c r="B90" t="n">
        <v>2031</v>
      </c>
      <c r="C90" t="n">
        <v>0.125</v>
      </c>
      <c r="D90" t="n">
        <v>0.481</v>
      </c>
      <c r="E90" t="n">
        <v>0.3</v>
      </c>
      <c r="F90" t="n">
        <v>0</v>
      </c>
    </row>
    <row r="91">
      <c r="A91" t="n">
        <v>6</v>
      </c>
      <c r="B91" t="n">
        <v>2031</v>
      </c>
      <c r="C91" t="n">
        <v>0.125</v>
      </c>
      <c r="D91" t="n">
        <v>0.481</v>
      </c>
      <c r="E91" t="n">
        <v>0.3</v>
      </c>
      <c r="F91" t="n">
        <v>0</v>
      </c>
    </row>
    <row r="92">
      <c r="A92" t="n">
        <v>7</v>
      </c>
      <c r="B92" t="n">
        <v>2031</v>
      </c>
      <c r="C92" t="n">
        <v>0.125</v>
      </c>
      <c r="D92" t="n">
        <v>0.481</v>
      </c>
      <c r="E92" t="n">
        <v>0.3</v>
      </c>
      <c r="F92" t="n">
        <v>0</v>
      </c>
    </row>
    <row r="93">
      <c r="A93" t="n">
        <v>8</v>
      </c>
      <c r="B93" t="n">
        <v>2031</v>
      </c>
      <c r="C93" t="n">
        <v>0.125</v>
      </c>
      <c r="D93" t="n">
        <v>0.481</v>
      </c>
      <c r="E93" t="n">
        <v>0.3</v>
      </c>
      <c r="F93" t="n">
        <v>0</v>
      </c>
    </row>
    <row r="94">
      <c r="A94" t="n">
        <v>9</v>
      </c>
      <c r="B94" t="n">
        <v>2031</v>
      </c>
      <c r="C94" t="n">
        <v>0.125</v>
      </c>
      <c r="D94" t="n">
        <v>0.481</v>
      </c>
      <c r="E94" t="n">
        <v>0.3</v>
      </c>
      <c r="F94" t="n">
        <v>0</v>
      </c>
    </row>
    <row r="95">
      <c r="A95" t="n">
        <v>10</v>
      </c>
      <c r="B95" t="n">
        <v>2031</v>
      </c>
      <c r="C95" t="n">
        <v>0.125</v>
      </c>
      <c r="D95" t="n">
        <v>0.481</v>
      </c>
      <c r="E95" t="n">
        <v>0.3</v>
      </c>
      <c r="F95" t="n">
        <v>0</v>
      </c>
    </row>
    <row r="96">
      <c r="A96" t="n">
        <v>11</v>
      </c>
      <c r="B96" t="n">
        <v>2031</v>
      </c>
      <c r="C96" t="n">
        <v>0.125</v>
      </c>
      <c r="D96" t="n">
        <v>0.481</v>
      </c>
      <c r="E96" t="n">
        <v>0.3</v>
      </c>
      <c r="F96" t="n">
        <v>0</v>
      </c>
    </row>
    <row r="97">
      <c r="A97" t="n">
        <v>12</v>
      </c>
      <c r="B97" t="n">
        <v>2031</v>
      </c>
      <c r="C97" t="n">
        <v>0.125</v>
      </c>
      <c r="D97" t="n">
        <v>0.481</v>
      </c>
      <c r="E97" t="n">
        <v>0.3</v>
      </c>
      <c r="F97" t="n">
        <v>0</v>
      </c>
    </row>
    <row r="98">
      <c r="A98" t="n">
        <v>1</v>
      </c>
      <c r="B98" t="n">
        <v>2032</v>
      </c>
      <c r="C98" t="n">
        <v>0.125</v>
      </c>
      <c r="D98" t="n">
        <v>0.481</v>
      </c>
      <c r="E98" t="n">
        <v>0.3</v>
      </c>
      <c r="F98" t="n">
        <v>0</v>
      </c>
    </row>
    <row r="99">
      <c r="A99" t="n">
        <v>2</v>
      </c>
      <c r="B99" t="n">
        <v>2032</v>
      </c>
      <c r="C99" t="n">
        <v>0.125</v>
      </c>
      <c r="D99" t="n">
        <v>0.481</v>
      </c>
      <c r="E99" t="n">
        <v>0.3</v>
      </c>
      <c r="F99" t="n">
        <v>0</v>
      </c>
    </row>
    <row r="100">
      <c r="A100" t="n">
        <v>3</v>
      </c>
      <c r="B100" t="n">
        <v>2032</v>
      </c>
      <c r="C100" t="n">
        <v>0.125</v>
      </c>
      <c r="D100" t="n">
        <v>0.481</v>
      </c>
      <c r="E100" t="n">
        <v>0.3</v>
      </c>
      <c r="F100" t="n">
        <v>0</v>
      </c>
    </row>
    <row r="101">
      <c r="A101" t="n">
        <v>4</v>
      </c>
      <c r="B101" t="n">
        <v>2032</v>
      </c>
      <c r="C101" t="n">
        <v>0.125</v>
      </c>
      <c r="D101" t="n">
        <v>0.481</v>
      </c>
      <c r="E101" t="n">
        <v>0.3</v>
      </c>
      <c r="F101" t="n">
        <v>0</v>
      </c>
    </row>
    <row r="102">
      <c r="A102" t="n">
        <v>5</v>
      </c>
      <c r="B102" t="n">
        <v>2032</v>
      </c>
      <c r="C102" t="n">
        <v>0.125</v>
      </c>
      <c r="D102" t="n">
        <v>0.481</v>
      </c>
      <c r="E102" t="n">
        <v>0.3</v>
      </c>
      <c r="F102" t="n">
        <v>0</v>
      </c>
    </row>
    <row r="103">
      <c r="A103" t="n">
        <v>6</v>
      </c>
      <c r="B103" t="n">
        <v>2032</v>
      </c>
      <c r="C103" t="n">
        <v>0.125</v>
      </c>
      <c r="D103" t="n">
        <v>0.481</v>
      </c>
      <c r="E103" t="n">
        <v>0.3</v>
      </c>
      <c r="F103" t="n">
        <v>0</v>
      </c>
    </row>
    <row r="104">
      <c r="A104" t="n">
        <v>7</v>
      </c>
      <c r="B104" t="n">
        <v>2032</v>
      </c>
      <c r="C104" t="n">
        <v>0.125</v>
      </c>
      <c r="D104" t="n">
        <v>0.481</v>
      </c>
      <c r="E104" t="n">
        <v>0.3</v>
      </c>
      <c r="F104" t="n">
        <v>0</v>
      </c>
    </row>
    <row r="105">
      <c r="A105" t="n">
        <v>8</v>
      </c>
      <c r="B105" t="n">
        <v>2032</v>
      </c>
      <c r="C105" t="n">
        <v>0.125</v>
      </c>
      <c r="D105" t="n">
        <v>0.481</v>
      </c>
      <c r="E105" t="n">
        <v>0.3</v>
      </c>
      <c r="F105" t="n">
        <v>0</v>
      </c>
    </row>
    <row r="106">
      <c r="A106" t="n">
        <v>9</v>
      </c>
      <c r="B106" t="n">
        <v>2032</v>
      </c>
      <c r="C106" t="n">
        <v>0.125</v>
      </c>
      <c r="D106" t="n">
        <v>0.481</v>
      </c>
      <c r="E106" t="n">
        <v>0.3</v>
      </c>
      <c r="F106" t="n">
        <v>0</v>
      </c>
    </row>
    <row r="107">
      <c r="A107" t="n">
        <v>10</v>
      </c>
      <c r="B107" t="n">
        <v>2032</v>
      </c>
      <c r="C107" t="n">
        <v>0.125</v>
      </c>
      <c r="D107" t="n">
        <v>0.481</v>
      </c>
      <c r="E107" t="n">
        <v>0.3</v>
      </c>
      <c r="F107" t="n">
        <v>0</v>
      </c>
    </row>
    <row r="108">
      <c r="A108" t="n">
        <v>11</v>
      </c>
      <c r="B108" t="n">
        <v>2032</v>
      </c>
      <c r="C108" t="n">
        <v>0.125</v>
      </c>
      <c r="D108" t="n">
        <v>0.481</v>
      </c>
      <c r="E108" t="n">
        <v>0.3</v>
      </c>
      <c r="F108" t="n">
        <v>0</v>
      </c>
    </row>
    <row r="109">
      <c r="A109" t="n">
        <v>12</v>
      </c>
      <c r="B109" t="n">
        <v>2032</v>
      </c>
      <c r="C109" t="n">
        <v>0.125</v>
      </c>
      <c r="D109" t="n">
        <v>0.481</v>
      </c>
      <c r="E109" t="n">
        <v>0.3</v>
      </c>
      <c r="F109" t="n">
        <v>0</v>
      </c>
    </row>
    <row r="110">
      <c r="A110" t="n">
        <v>1</v>
      </c>
      <c r="B110" t="n">
        <v>2033</v>
      </c>
      <c r="C110" t="n">
        <v>0.125</v>
      </c>
      <c r="D110" t="n">
        <v>0.481</v>
      </c>
      <c r="E110" t="n">
        <v>0.3</v>
      </c>
      <c r="F110" t="n">
        <v>0</v>
      </c>
    </row>
    <row r="111">
      <c r="A111" t="n">
        <v>2</v>
      </c>
      <c r="B111" t="n">
        <v>2033</v>
      </c>
      <c r="C111" t="n">
        <v>0.125</v>
      </c>
      <c r="D111" t="n">
        <v>0.481</v>
      </c>
      <c r="E111" t="n">
        <v>0.3</v>
      </c>
      <c r="F111" t="n">
        <v>0</v>
      </c>
    </row>
    <row r="112">
      <c r="A112" t="n">
        <v>3</v>
      </c>
      <c r="B112" t="n">
        <v>2033</v>
      </c>
      <c r="C112" t="n">
        <v>0.125</v>
      </c>
      <c r="D112" t="n">
        <v>0.481</v>
      </c>
      <c r="E112" t="n">
        <v>0.3</v>
      </c>
      <c r="F112" t="n">
        <v>0</v>
      </c>
    </row>
    <row r="113">
      <c r="A113" t="n">
        <v>4</v>
      </c>
      <c r="B113" t="n">
        <v>2033</v>
      </c>
      <c r="C113" t="n">
        <v>0.125</v>
      </c>
      <c r="D113" t="n">
        <v>0.481</v>
      </c>
      <c r="E113" t="n">
        <v>0.3</v>
      </c>
      <c r="F113" t="n">
        <v>0</v>
      </c>
    </row>
    <row r="114">
      <c r="A114" t="n">
        <v>5</v>
      </c>
      <c r="B114" t="n">
        <v>2033</v>
      </c>
      <c r="C114" t="n">
        <v>0.125</v>
      </c>
      <c r="D114" t="n">
        <v>0.481</v>
      </c>
      <c r="E114" t="n">
        <v>0.3</v>
      </c>
      <c r="F114" t="n">
        <v>0</v>
      </c>
    </row>
    <row r="115">
      <c r="A115" t="n">
        <v>6</v>
      </c>
      <c r="B115" t="n">
        <v>2033</v>
      </c>
      <c r="C115" t="n">
        <v>0.125</v>
      </c>
      <c r="D115" t="n">
        <v>0.481</v>
      </c>
      <c r="E115" t="n">
        <v>0.3</v>
      </c>
      <c r="F115" t="n">
        <v>0</v>
      </c>
    </row>
    <row r="116">
      <c r="A116" t="n">
        <v>7</v>
      </c>
      <c r="B116" t="n">
        <v>2033</v>
      </c>
      <c r="C116" t="n">
        <v>0.125</v>
      </c>
      <c r="D116" t="n">
        <v>0.481</v>
      </c>
      <c r="E116" t="n">
        <v>0.3</v>
      </c>
      <c r="F116" t="n">
        <v>0</v>
      </c>
    </row>
    <row r="117">
      <c r="A117" t="n">
        <v>8</v>
      </c>
      <c r="B117" t="n">
        <v>2033</v>
      </c>
      <c r="C117" t="n">
        <v>0.125</v>
      </c>
      <c r="D117" t="n">
        <v>0.481</v>
      </c>
      <c r="E117" t="n">
        <v>0.3</v>
      </c>
      <c r="F117" t="n">
        <v>0</v>
      </c>
    </row>
    <row r="118">
      <c r="A118" t="n">
        <v>9</v>
      </c>
      <c r="B118" t="n">
        <v>2033</v>
      </c>
      <c r="C118" t="n">
        <v>0.125</v>
      </c>
      <c r="D118" t="n">
        <v>0.481</v>
      </c>
      <c r="E118" t="n">
        <v>0.3</v>
      </c>
      <c r="F118" t="n">
        <v>0</v>
      </c>
    </row>
    <row r="119">
      <c r="A119" t="n">
        <v>10</v>
      </c>
      <c r="B119" t="n">
        <v>2033</v>
      </c>
      <c r="C119" t="n">
        <v>0.125</v>
      </c>
      <c r="D119" t="n">
        <v>0.481</v>
      </c>
      <c r="E119" t="n">
        <v>0.3</v>
      </c>
      <c r="F119" t="n">
        <v>0</v>
      </c>
    </row>
    <row r="120">
      <c r="A120" t="n">
        <v>11</v>
      </c>
      <c r="B120" t="n">
        <v>2033</v>
      </c>
      <c r="C120" t="n">
        <v>0.125</v>
      </c>
      <c r="D120" t="n">
        <v>0.481</v>
      </c>
      <c r="E120" t="n">
        <v>0.3</v>
      </c>
      <c r="F120" t="n">
        <v>0</v>
      </c>
    </row>
    <row r="121">
      <c r="A121" t="n">
        <v>12</v>
      </c>
      <c r="B121" t="n">
        <v>2033</v>
      </c>
      <c r="C121" t="n">
        <v>0.125</v>
      </c>
      <c r="D121" t="n">
        <v>0.481</v>
      </c>
      <c r="E121" t="n">
        <v>0.3</v>
      </c>
      <c r="F121" t="n">
        <v>0</v>
      </c>
    </row>
    <row r="122">
      <c r="A122" t="n">
        <v>1</v>
      </c>
      <c r="B122" t="n">
        <v>2034</v>
      </c>
      <c r="C122" t="n">
        <v>0.125</v>
      </c>
      <c r="D122" t="n">
        <v>0.481</v>
      </c>
      <c r="E122" t="n">
        <v>0.3</v>
      </c>
      <c r="F122" t="n">
        <v>0</v>
      </c>
    </row>
    <row r="123">
      <c r="A123" t="n">
        <v>2</v>
      </c>
      <c r="B123" t="n">
        <v>2034</v>
      </c>
      <c r="C123" t="n">
        <v>0.125</v>
      </c>
      <c r="D123" t="n">
        <v>0.481</v>
      </c>
      <c r="E123" t="n">
        <v>0.3</v>
      </c>
      <c r="F123" t="n">
        <v>0</v>
      </c>
    </row>
    <row r="124">
      <c r="A124" t="n">
        <v>3</v>
      </c>
      <c r="B124" t="n">
        <v>2034</v>
      </c>
      <c r="C124" t="n">
        <v>0.125</v>
      </c>
      <c r="D124" t="n">
        <v>0.481</v>
      </c>
      <c r="E124" t="n">
        <v>0.3</v>
      </c>
      <c r="F124" t="n">
        <v>0</v>
      </c>
    </row>
    <row r="125">
      <c r="A125" t="n">
        <v>4</v>
      </c>
      <c r="B125" t="n">
        <v>2034</v>
      </c>
      <c r="C125" t="n">
        <v>0.125</v>
      </c>
      <c r="D125" t="n">
        <v>0.481</v>
      </c>
      <c r="E125" t="n">
        <v>0.3</v>
      </c>
      <c r="F125" t="n">
        <v>0</v>
      </c>
    </row>
    <row r="126">
      <c r="A126" t="n">
        <v>5</v>
      </c>
      <c r="B126" t="n">
        <v>2034</v>
      </c>
      <c r="C126" t="n">
        <v>0.125</v>
      </c>
      <c r="D126" t="n">
        <v>0.481</v>
      </c>
      <c r="E126" t="n">
        <v>0.3</v>
      </c>
      <c r="F126" t="n">
        <v>0</v>
      </c>
    </row>
    <row r="127">
      <c r="A127" t="n">
        <v>6</v>
      </c>
      <c r="B127" t="n">
        <v>2034</v>
      </c>
      <c r="C127" t="n">
        <v>0.125</v>
      </c>
      <c r="D127" t="n">
        <v>0.481</v>
      </c>
      <c r="E127" t="n">
        <v>0.3</v>
      </c>
      <c r="F127" t="n">
        <v>0</v>
      </c>
    </row>
    <row r="128">
      <c r="A128" t="n">
        <v>7</v>
      </c>
      <c r="B128" t="n">
        <v>2034</v>
      </c>
      <c r="C128" t="n">
        <v>0.125</v>
      </c>
      <c r="D128" t="n">
        <v>0.481</v>
      </c>
      <c r="E128" t="n">
        <v>0.3</v>
      </c>
      <c r="F128" t="n">
        <v>0</v>
      </c>
    </row>
    <row r="129">
      <c r="A129" t="n">
        <v>8</v>
      </c>
      <c r="B129" t="n">
        <v>2034</v>
      </c>
      <c r="C129" t="n">
        <v>0.125</v>
      </c>
      <c r="D129" t="n">
        <v>0.481</v>
      </c>
      <c r="E129" t="n">
        <v>0.3</v>
      </c>
      <c r="F129" t="n">
        <v>0</v>
      </c>
    </row>
    <row r="130">
      <c r="A130" t="n">
        <v>9</v>
      </c>
      <c r="B130" t="n">
        <v>2034</v>
      </c>
      <c r="C130" t="n">
        <v>0.125</v>
      </c>
      <c r="D130" t="n">
        <v>0.481</v>
      </c>
      <c r="E130" t="n">
        <v>0.3</v>
      </c>
      <c r="F130" t="n">
        <v>0</v>
      </c>
    </row>
    <row r="131">
      <c r="A131" t="n">
        <v>10</v>
      </c>
      <c r="B131" t="n">
        <v>2034</v>
      </c>
      <c r="C131" t="n">
        <v>0.125</v>
      </c>
      <c r="D131" t="n">
        <v>0.481</v>
      </c>
      <c r="E131" t="n">
        <v>0.3</v>
      </c>
      <c r="F131" t="n">
        <v>0</v>
      </c>
    </row>
    <row r="132">
      <c r="A132" t="n">
        <v>11</v>
      </c>
      <c r="B132" t="n">
        <v>2034</v>
      </c>
      <c r="C132" t="n">
        <v>0.125</v>
      </c>
      <c r="D132" t="n">
        <v>0.481</v>
      </c>
      <c r="E132" t="n">
        <v>0.3</v>
      </c>
      <c r="F132" t="n">
        <v>0</v>
      </c>
    </row>
    <row r="133">
      <c r="A133" t="n">
        <v>12</v>
      </c>
      <c r="B133" t="n">
        <v>2034</v>
      </c>
      <c r="C133" t="n">
        <v>0.125</v>
      </c>
      <c r="D133" t="n">
        <v>0.481</v>
      </c>
      <c r="E133" t="n">
        <v>0.3</v>
      </c>
      <c r="F133" t="n">
        <v>0</v>
      </c>
    </row>
    <row r="134">
      <c r="A134" t="n">
        <v>1</v>
      </c>
      <c r="B134" t="n">
        <v>2035</v>
      </c>
      <c r="C134" t="n">
        <v>0.125</v>
      </c>
      <c r="D134" t="n">
        <v>0.481</v>
      </c>
      <c r="E134" t="n">
        <v>0.3</v>
      </c>
      <c r="F134" t="n">
        <v>0</v>
      </c>
    </row>
    <row r="135">
      <c r="A135" t="n">
        <v>2</v>
      </c>
      <c r="B135" t="n">
        <v>2035</v>
      </c>
      <c r="C135" t="n">
        <v>0.125</v>
      </c>
      <c r="D135" t="n">
        <v>0.481</v>
      </c>
      <c r="E135" t="n">
        <v>0.3</v>
      </c>
      <c r="F135" t="n">
        <v>0</v>
      </c>
    </row>
    <row r="136">
      <c r="A136" t="n">
        <v>3</v>
      </c>
      <c r="B136" t="n">
        <v>2035</v>
      </c>
      <c r="C136" t="n">
        <v>0.125</v>
      </c>
      <c r="D136" t="n">
        <v>0.481</v>
      </c>
      <c r="E136" t="n">
        <v>0.3</v>
      </c>
      <c r="F136" t="n">
        <v>0</v>
      </c>
    </row>
    <row r="137">
      <c r="A137" t="n">
        <v>4</v>
      </c>
      <c r="B137" t="n">
        <v>2035</v>
      </c>
      <c r="C137" t="n">
        <v>0.125</v>
      </c>
      <c r="D137" t="n">
        <v>0.481</v>
      </c>
      <c r="E137" t="n">
        <v>0.3</v>
      </c>
      <c r="F137" t="n">
        <v>0</v>
      </c>
    </row>
    <row r="138">
      <c r="A138" t="n">
        <v>5</v>
      </c>
      <c r="B138" t="n">
        <v>2035</v>
      </c>
      <c r="C138" t="n">
        <v>0.125</v>
      </c>
      <c r="D138" t="n">
        <v>0.481</v>
      </c>
      <c r="E138" t="n">
        <v>0.3</v>
      </c>
      <c r="F138" t="n">
        <v>0</v>
      </c>
    </row>
    <row r="139">
      <c r="A139" t="n">
        <v>6</v>
      </c>
      <c r="B139" t="n">
        <v>2035</v>
      </c>
      <c r="C139" t="n">
        <v>0.125</v>
      </c>
      <c r="D139" t="n">
        <v>0.481</v>
      </c>
      <c r="E139" t="n">
        <v>0.3</v>
      </c>
      <c r="F139" t="n">
        <v>0</v>
      </c>
    </row>
    <row r="140">
      <c r="A140" t="n">
        <v>7</v>
      </c>
      <c r="B140" t="n">
        <v>2035</v>
      </c>
      <c r="C140" t="n">
        <v>0.125</v>
      </c>
      <c r="D140" t="n">
        <v>0.481</v>
      </c>
      <c r="E140" t="n">
        <v>0.3</v>
      </c>
      <c r="F140" t="n">
        <v>0</v>
      </c>
    </row>
    <row r="141">
      <c r="A141" t="n">
        <v>8</v>
      </c>
      <c r="B141" t="n">
        <v>2035</v>
      </c>
      <c r="C141" t="n">
        <v>0.125</v>
      </c>
      <c r="D141" t="n">
        <v>0.481</v>
      </c>
      <c r="E141" t="n">
        <v>0.3</v>
      </c>
      <c r="F141" t="n">
        <v>0</v>
      </c>
    </row>
    <row r="142">
      <c r="A142" t="n">
        <v>9</v>
      </c>
      <c r="B142" t="n">
        <v>2035</v>
      </c>
      <c r="C142" t="n">
        <v>0.125</v>
      </c>
      <c r="D142" t="n">
        <v>0.481</v>
      </c>
      <c r="E142" t="n">
        <v>0.3</v>
      </c>
      <c r="F142" t="n">
        <v>0</v>
      </c>
    </row>
    <row r="143">
      <c r="A143" t="n">
        <v>10</v>
      </c>
      <c r="B143" t="n">
        <v>2035</v>
      </c>
      <c r="C143" t="n">
        <v>0.125</v>
      </c>
      <c r="D143" t="n">
        <v>0.481</v>
      </c>
      <c r="E143" t="n">
        <v>0.3</v>
      </c>
      <c r="F143" t="n">
        <v>0</v>
      </c>
    </row>
    <row r="144">
      <c r="A144" t="n">
        <v>11</v>
      </c>
      <c r="B144" t="n">
        <v>2035</v>
      </c>
      <c r="C144" t="n">
        <v>0.125</v>
      </c>
      <c r="D144" t="n">
        <v>0.481</v>
      </c>
      <c r="E144" t="n">
        <v>0.3</v>
      </c>
      <c r="F144" t="n">
        <v>0</v>
      </c>
    </row>
    <row r="145">
      <c r="A145" t="n">
        <v>12</v>
      </c>
      <c r="B145" t="n">
        <v>2035</v>
      </c>
      <c r="C145" t="n">
        <v>0.125</v>
      </c>
      <c r="D145" t="n">
        <v>0.481</v>
      </c>
      <c r="E145" t="n">
        <v>0.3</v>
      </c>
      <c r="F145" t="n">
        <v>0</v>
      </c>
    </row>
    <row r="146">
      <c r="A146" t="n">
        <v>1</v>
      </c>
      <c r="B146" t="n">
        <v>2036</v>
      </c>
      <c r="C146" t="n">
        <v>0.125</v>
      </c>
      <c r="D146" t="n">
        <v>0.481</v>
      </c>
      <c r="E146" t="n">
        <v>0.3</v>
      </c>
      <c r="F146" t="n">
        <v>0</v>
      </c>
    </row>
    <row r="147">
      <c r="A147" t="n">
        <v>2</v>
      </c>
      <c r="B147" t="n">
        <v>2036</v>
      </c>
      <c r="C147" t="n">
        <v>0.125</v>
      </c>
      <c r="D147" t="n">
        <v>0.481</v>
      </c>
      <c r="E147" t="n">
        <v>0.3</v>
      </c>
      <c r="F147" t="n">
        <v>0</v>
      </c>
    </row>
    <row r="148">
      <c r="A148" t="n">
        <v>3</v>
      </c>
      <c r="B148" t="n">
        <v>2036</v>
      </c>
      <c r="C148" t="n">
        <v>0.125</v>
      </c>
      <c r="D148" t="n">
        <v>0.481</v>
      </c>
      <c r="E148" t="n">
        <v>0.3</v>
      </c>
      <c r="F148" t="n">
        <v>0</v>
      </c>
    </row>
    <row r="149">
      <c r="A149" t="n">
        <v>4</v>
      </c>
      <c r="B149" t="n">
        <v>2036</v>
      </c>
      <c r="C149" t="n">
        <v>0.125</v>
      </c>
      <c r="D149" t="n">
        <v>0.481</v>
      </c>
      <c r="E149" t="n">
        <v>0.3</v>
      </c>
      <c r="F149" t="n">
        <v>0</v>
      </c>
    </row>
    <row r="150">
      <c r="A150" t="n">
        <v>5</v>
      </c>
      <c r="B150" t="n">
        <v>2036</v>
      </c>
      <c r="C150" t="n">
        <v>0.125</v>
      </c>
      <c r="D150" t="n">
        <v>0.481</v>
      </c>
      <c r="E150" t="n">
        <v>0.3</v>
      </c>
      <c r="F150" t="n">
        <v>0</v>
      </c>
    </row>
    <row r="151">
      <c r="A151" t="n">
        <v>6</v>
      </c>
      <c r="B151" t="n">
        <v>2036</v>
      </c>
      <c r="C151" t="n">
        <v>0.125</v>
      </c>
      <c r="D151" t="n">
        <v>0.481</v>
      </c>
      <c r="E151" t="n">
        <v>0.3</v>
      </c>
      <c r="F151" t="n">
        <v>0</v>
      </c>
    </row>
    <row r="152">
      <c r="A152" t="n">
        <v>7</v>
      </c>
      <c r="B152" t="n">
        <v>2036</v>
      </c>
      <c r="C152" t="n">
        <v>0.125</v>
      </c>
      <c r="D152" t="n">
        <v>0.481</v>
      </c>
      <c r="E152" t="n">
        <v>0.3</v>
      </c>
      <c r="F152" t="n">
        <v>0</v>
      </c>
    </row>
    <row r="153">
      <c r="A153" t="n">
        <v>8</v>
      </c>
      <c r="B153" t="n">
        <v>2036</v>
      </c>
      <c r="C153" t="n">
        <v>0.125</v>
      </c>
      <c r="D153" t="n">
        <v>0.481</v>
      </c>
      <c r="E153" t="n">
        <v>0.3</v>
      </c>
      <c r="F153" t="n">
        <v>0</v>
      </c>
    </row>
    <row r="154">
      <c r="A154" t="n">
        <v>9</v>
      </c>
      <c r="B154" t="n">
        <v>2036</v>
      </c>
      <c r="C154" t="n">
        <v>0.125</v>
      </c>
      <c r="D154" t="n">
        <v>0.481</v>
      </c>
      <c r="E154" t="n">
        <v>0.3</v>
      </c>
      <c r="F154" t="n">
        <v>0</v>
      </c>
    </row>
    <row r="155">
      <c r="A155" t="n">
        <v>10</v>
      </c>
      <c r="B155" t="n">
        <v>2036</v>
      </c>
      <c r="C155" t="n">
        <v>0.125</v>
      </c>
      <c r="D155" t="n">
        <v>0.481</v>
      </c>
      <c r="E155" t="n">
        <v>0.3</v>
      </c>
      <c r="F155" t="n">
        <v>0</v>
      </c>
    </row>
    <row r="156">
      <c r="A156" t="n">
        <v>11</v>
      </c>
      <c r="B156" t="n">
        <v>2036</v>
      </c>
      <c r="C156" t="n">
        <v>0.125</v>
      </c>
      <c r="D156" t="n">
        <v>0.481</v>
      </c>
      <c r="E156" t="n">
        <v>0.3</v>
      </c>
      <c r="F156" t="n">
        <v>0</v>
      </c>
    </row>
    <row r="157">
      <c r="A157" t="n">
        <v>12</v>
      </c>
      <c r="B157" t="n">
        <v>2036</v>
      </c>
      <c r="C157" t="n">
        <v>0.125</v>
      </c>
      <c r="D157" t="n">
        <v>0.481</v>
      </c>
      <c r="E157" t="n">
        <v>0.3</v>
      </c>
      <c r="F157" t="n">
        <v>0</v>
      </c>
    </row>
    <row r="158">
      <c r="A158" t="n">
        <v>1</v>
      </c>
      <c r="B158" t="n">
        <v>2037</v>
      </c>
      <c r="C158" t="n">
        <v>0.125</v>
      </c>
      <c r="D158" t="n">
        <v>0.481</v>
      </c>
      <c r="E158" t="n">
        <v>0.3</v>
      </c>
      <c r="F158" t="n">
        <v>0</v>
      </c>
    </row>
    <row r="159">
      <c r="A159" t="n">
        <v>2</v>
      </c>
      <c r="B159" t="n">
        <v>2037</v>
      </c>
      <c r="C159" t="n">
        <v>0.125</v>
      </c>
      <c r="D159" t="n">
        <v>0.481</v>
      </c>
      <c r="E159" t="n">
        <v>0.3</v>
      </c>
      <c r="F159" t="n">
        <v>0</v>
      </c>
    </row>
    <row r="160">
      <c r="A160" t="n">
        <v>3</v>
      </c>
      <c r="B160" t="n">
        <v>2037</v>
      </c>
      <c r="C160" t="n">
        <v>0.125</v>
      </c>
      <c r="D160" t="n">
        <v>0.481</v>
      </c>
      <c r="E160" t="n">
        <v>0.3</v>
      </c>
      <c r="F160" t="n">
        <v>0</v>
      </c>
    </row>
    <row r="161">
      <c r="A161" t="n">
        <v>4</v>
      </c>
      <c r="B161" t="n">
        <v>2037</v>
      </c>
      <c r="C161" t="n">
        <v>0.125</v>
      </c>
      <c r="D161" t="n">
        <v>0.481</v>
      </c>
      <c r="E161" t="n">
        <v>0.3</v>
      </c>
      <c r="F161" t="n">
        <v>0</v>
      </c>
    </row>
    <row r="162">
      <c r="A162" t="n">
        <v>5</v>
      </c>
      <c r="B162" t="n">
        <v>2037</v>
      </c>
      <c r="C162" t="n">
        <v>0.125</v>
      </c>
      <c r="D162" t="n">
        <v>0.481</v>
      </c>
      <c r="E162" t="n">
        <v>0.3</v>
      </c>
      <c r="F162" t="n">
        <v>0</v>
      </c>
    </row>
    <row r="163">
      <c r="A163" t="n">
        <v>6</v>
      </c>
      <c r="B163" t="n">
        <v>2037</v>
      </c>
      <c r="C163" t="n">
        <v>0.125</v>
      </c>
      <c r="D163" t="n">
        <v>0.481</v>
      </c>
      <c r="E163" t="n">
        <v>0.3</v>
      </c>
      <c r="F163" t="n">
        <v>0</v>
      </c>
    </row>
    <row r="164">
      <c r="A164" t="n">
        <v>7</v>
      </c>
      <c r="B164" t="n">
        <v>2037</v>
      </c>
      <c r="C164" t="n">
        <v>0.125</v>
      </c>
      <c r="D164" t="n">
        <v>0.481</v>
      </c>
      <c r="E164" t="n">
        <v>0.3</v>
      </c>
      <c r="F164" t="n">
        <v>0</v>
      </c>
    </row>
    <row r="165">
      <c r="A165" t="n">
        <v>8</v>
      </c>
      <c r="B165" t="n">
        <v>2037</v>
      </c>
      <c r="C165" t="n">
        <v>0.125</v>
      </c>
      <c r="D165" t="n">
        <v>0.481</v>
      </c>
      <c r="E165" t="n">
        <v>0.3</v>
      </c>
      <c r="F165" t="n">
        <v>0</v>
      </c>
    </row>
    <row r="166">
      <c r="A166" t="n">
        <v>9</v>
      </c>
      <c r="B166" t="n">
        <v>2037</v>
      </c>
      <c r="C166" t="n">
        <v>0.125</v>
      </c>
      <c r="D166" t="n">
        <v>0.481</v>
      </c>
      <c r="E166" t="n">
        <v>0.3</v>
      </c>
      <c r="F166" t="n">
        <v>0</v>
      </c>
    </row>
    <row r="167">
      <c r="A167" t="n">
        <v>10</v>
      </c>
      <c r="B167" t="n">
        <v>2037</v>
      </c>
      <c r="C167" t="n">
        <v>0.125</v>
      </c>
      <c r="D167" t="n">
        <v>0.481</v>
      </c>
      <c r="E167" t="n">
        <v>0.3</v>
      </c>
      <c r="F167" t="n">
        <v>0</v>
      </c>
    </row>
    <row r="168">
      <c r="A168" t="n">
        <v>11</v>
      </c>
      <c r="B168" t="n">
        <v>2037</v>
      </c>
      <c r="C168" t="n">
        <v>0.125</v>
      </c>
      <c r="D168" t="n">
        <v>0.481</v>
      </c>
      <c r="E168" t="n">
        <v>0.3</v>
      </c>
      <c r="F168" t="n">
        <v>0</v>
      </c>
    </row>
    <row r="169">
      <c r="A169" t="n">
        <v>12</v>
      </c>
      <c r="B169" t="n">
        <v>2037</v>
      </c>
      <c r="C169" t="n">
        <v>0.125</v>
      </c>
      <c r="D169" t="n">
        <v>0.481</v>
      </c>
      <c r="E169" t="n">
        <v>0.3</v>
      </c>
      <c r="F169" t="n">
        <v>0</v>
      </c>
    </row>
    <row r="170">
      <c r="A170" t="n">
        <v>1</v>
      </c>
      <c r="B170" t="n">
        <v>2038</v>
      </c>
      <c r="C170" t="n">
        <v>0.125</v>
      </c>
      <c r="D170" t="n">
        <v>0.481</v>
      </c>
      <c r="E170" t="n">
        <v>0.3</v>
      </c>
      <c r="F170" t="n">
        <v>0</v>
      </c>
    </row>
    <row r="171">
      <c r="A171" t="n">
        <v>2</v>
      </c>
      <c r="B171" t="n">
        <v>2038</v>
      </c>
      <c r="C171" t="n">
        <v>0.125</v>
      </c>
      <c r="D171" t="n">
        <v>0.481</v>
      </c>
      <c r="E171" t="n">
        <v>0.3</v>
      </c>
      <c r="F171" t="n">
        <v>0</v>
      </c>
    </row>
    <row r="172">
      <c r="A172" t="n">
        <v>3</v>
      </c>
      <c r="B172" t="n">
        <v>2038</v>
      </c>
      <c r="C172" t="n">
        <v>0.125</v>
      </c>
      <c r="D172" t="n">
        <v>0.481</v>
      </c>
      <c r="E172" t="n">
        <v>0.3</v>
      </c>
      <c r="F172" t="n">
        <v>0</v>
      </c>
    </row>
    <row r="173">
      <c r="A173" t="n">
        <v>4</v>
      </c>
      <c r="B173" t="n">
        <v>2038</v>
      </c>
      <c r="C173" t="n">
        <v>0.125</v>
      </c>
      <c r="D173" t="n">
        <v>0.481</v>
      </c>
      <c r="E173" t="n">
        <v>0.3</v>
      </c>
      <c r="F173" t="n">
        <v>0</v>
      </c>
    </row>
    <row r="174">
      <c r="A174" t="n">
        <v>5</v>
      </c>
      <c r="B174" t="n">
        <v>2038</v>
      </c>
      <c r="C174" t="n">
        <v>0.125</v>
      </c>
      <c r="D174" t="n">
        <v>0.481</v>
      </c>
      <c r="E174" t="n">
        <v>0.3</v>
      </c>
      <c r="F174" t="n">
        <v>0</v>
      </c>
    </row>
    <row r="175">
      <c r="A175" t="n">
        <v>6</v>
      </c>
      <c r="B175" t="n">
        <v>2038</v>
      </c>
      <c r="C175" t="n">
        <v>0.125</v>
      </c>
      <c r="D175" t="n">
        <v>0.481</v>
      </c>
      <c r="E175" t="n">
        <v>0.3</v>
      </c>
      <c r="F175" t="n">
        <v>0</v>
      </c>
    </row>
    <row r="176">
      <c r="A176" t="n">
        <v>7</v>
      </c>
      <c r="B176" t="n">
        <v>2038</v>
      </c>
      <c r="C176" t="n">
        <v>0.125</v>
      </c>
      <c r="D176" t="n">
        <v>0.481</v>
      </c>
      <c r="E176" t="n">
        <v>0.3</v>
      </c>
      <c r="F176" t="n">
        <v>0</v>
      </c>
    </row>
    <row r="177">
      <c r="A177" t="n">
        <v>8</v>
      </c>
      <c r="B177" t="n">
        <v>2038</v>
      </c>
      <c r="C177" t="n">
        <v>0.125</v>
      </c>
      <c r="D177" t="n">
        <v>0.481</v>
      </c>
      <c r="E177" t="n">
        <v>0.3</v>
      </c>
      <c r="F177" t="n">
        <v>0</v>
      </c>
    </row>
    <row r="178">
      <c r="A178" t="n">
        <v>9</v>
      </c>
      <c r="B178" t="n">
        <v>2038</v>
      </c>
      <c r="C178" t="n">
        <v>0.125</v>
      </c>
      <c r="D178" t="n">
        <v>0.481</v>
      </c>
      <c r="E178" t="n">
        <v>0.3</v>
      </c>
      <c r="F178" t="n">
        <v>0</v>
      </c>
    </row>
    <row r="179">
      <c r="A179" t="n">
        <v>10</v>
      </c>
      <c r="B179" t="n">
        <v>2038</v>
      </c>
      <c r="C179" t="n">
        <v>0.125</v>
      </c>
      <c r="D179" t="n">
        <v>0.481</v>
      </c>
      <c r="E179" t="n">
        <v>0.3</v>
      </c>
      <c r="F179" t="n">
        <v>0</v>
      </c>
    </row>
    <row r="180">
      <c r="A180" t="n">
        <v>11</v>
      </c>
      <c r="B180" t="n">
        <v>2038</v>
      </c>
      <c r="C180" t="n">
        <v>0.125</v>
      </c>
      <c r="D180" t="n">
        <v>0.481</v>
      </c>
      <c r="E180" t="n">
        <v>0.3</v>
      </c>
      <c r="F180" t="n">
        <v>0</v>
      </c>
    </row>
    <row r="181">
      <c r="A181" t="n">
        <v>12</v>
      </c>
      <c r="B181" t="n">
        <v>2038</v>
      </c>
      <c r="C181" t="n">
        <v>0.125</v>
      </c>
      <c r="D181" t="n">
        <v>0.481</v>
      </c>
      <c r="E181" t="n">
        <v>0.3</v>
      </c>
      <c r="F181" t="n">
        <v>0</v>
      </c>
    </row>
    <row r="182">
      <c r="A182" t="n">
        <v>1</v>
      </c>
      <c r="B182" t="n">
        <v>2039</v>
      </c>
      <c r="C182" t="n">
        <v>0.125</v>
      </c>
      <c r="D182" t="n">
        <v>0.481</v>
      </c>
      <c r="E182" t="n">
        <v>0.3</v>
      </c>
      <c r="F182" t="n">
        <v>0</v>
      </c>
    </row>
    <row r="183">
      <c r="A183" t="n">
        <v>2</v>
      </c>
      <c r="B183" t="n">
        <v>2039</v>
      </c>
      <c r="C183" t="n">
        <v>0.125</v>
      </c>
      <c r="D183" t="n">
        <v>0.481</v>
      </c>
      <c r="E183" t="n">
        <v>0.3</v>
      </c>
      <c r="F183" t="n">
        <v>0</v>
      </c>
    </row>
    <row r="184">
      <c r="A184" t="n">
        <v>3</v>
      </c>
      <c r="B184" t="n">
        <v>2039</v>
      </c>
      <c r="C184" t="n">
        <v>0.125</v>
      </c>
      <c r="D184" t="n">
        <v>0.481</v>
      </c>
      <c r="E184" t="n">
        <v>0.3</v>
      </c>
      <c r="F184" t="n">
        <v>0</v>
      </c>
    </row>
    <row r="185">
      <c r="A185" t="n">
        <v>4</v>
      </c>
      <c r="B185" t="n">
        <v>2039</v>
      </c>
      <c r="C185" t="n">
        <v>0.125</v>
      </c>
      <c r="D185" t="n">
        <v>0.481</v>
      </c>
      <c r="E185" t="n">
        <v>0.3</v>
      </c>
      <c r="F185" t="n">
        <v>0</v>
      </c>
    </row>
    <row r="186">
      <c r="A186" t="n">
        <v>5</v>
      </c>
      <c r="B186" t="n">
        <v>2039</v>
      </c>
      <c r="C186" t="n">
        <v>0.125</v>
      </c>
      <c r="D186" t="n">
        <v>0.481</v>
      </c>
      <c r="E186" t="n">
        <v>0.3</v>
      </c>
      <c r="F186" t="n">
        <v>0</v>
      </c>
    </row>
    <row r="187">
      <c r="A187" t="n">
        <v>6</v>
      </c>
      <c r="B187" t="n">
        <v>2039</v>
      </c>
      <c r="C187" t="n">
        <v>0.125</v>
      </c>
      <c r="D187" t="n">
        <v>0.481</v>
      </c>
      <c r="E187" t="n">
        <v>0.3</v>
      </c>
      <c r="F187" t="n">
        <v>0</v>
      </c>
    </row>
    <row r="188">
      <c r="A188" t="n">
        <v>7</v>
      </c>
      <c r="B188" t="n">
        <v>2039</v>
      </c>
      <c r="C188" t="n">
        <v>0.125</v>
      </c>
      <c r="D188" t="n">
        <v>0.481</v>
      </c>
      <c r="E188" t="n">
        <v>0.3</v>
      </c>
      <c r="F188" t="n">
        <v>0</v>
      </c>
    </row>
    <row r="189">
      <c r="A189" t="n">
        <v>8</v>
      </c>
      <c r="B189" t="n">
        <v>2039</v>
      </c>
      <c r="C189" t="n">
        <v>0.125</v>
      </c>
      <c r="D189" t="n">
        <v>0.481</v>
      </c>
      <c r="E189" t="n">
        <v>0.3</v>
      </c>
      <c r="F189" t="n">
        <v>0</v>
      </c>
    </row>
    <row r="190">
      <c r="A190" t="n">
        <v>9</v>
      </c>
      <c r="B190" t="n">
        <v>2039</v>
      </c>
      <c r="C190" t="n">
        <v>0.125</v>
      </c>
      <c r="D190" t="n">
        <v>0.481</v>
      </c>
      <c r="E190" t="n">
        <v>0.3</v>
      </c>
      <c r="F190" t="n">
        <v>0</v>
      </c>
    </row>
    <row r="191">
      <c r="A191" t="n">
        <v>10</v>
      </c>
      <c r="B191" t="n">
        <v>2039</v>
      </c>
      <c r="C191" t="n">
        <v>0.125</v>
      </c>
      <c r="D191" t="n">
        <v>0.481</v>
      </c>
      <c r="E191" t="n">
        <v>0.3</v>
      </c>
      <c r="F191" t="n">
        <v>0</v>
      </c>
    </row>
    <row r="192">
      <c r="A192" t="n">
        <v>11</v>
      </c>
      <c r="B192" t="n">
        <v>2039</v>
      </c>
      <c r="C192" t="n">
        <v>0.125</v>
      </c>
      <c r="D192" t="n">
        <v>0.481</v>
      </c>
      <c r="E192" t="n">
        <v>0.3</v>
      </c>
      <c r="F192" t="n">
        <v>0</v>
      </c>
    </row>
    <row r="193">
      <c r="A193" t="n">
        <v>12</v>
      </c>
      <c r="B193" t="n">
        <v>2039</v>
      </c>
      <c r="C193" t="n">
        <v>0.125</v>
      </c>
      <c r="D193" t="n">
        <v>0.481</v>
      </c>
      <c r="E193" t="n">
        <v>0.3</v>
      </c>
      <c r="F193" t="n">
        <v>0</v>
      </c>
    </row>
    <row r="194">
      <c r="A194" t="n">
        <v>1</v>
      </c>
      <c r="B194" t="n">
        <v>2040</v>
      </c>
      <c r="C194" t="n">
        <v>0.125</v>
      </c>
      <c r="D194" t="n">
        <v>0.481</v>
      </c>
      <c r="E194" t="n">
        <v>0.3</v>
      </c>
      <c r="F194" t="n">
        <v>0</v>
      </c>
    </row>
    <row r="195">
      <c r="A195" t="n">
        <v>2</v>
      </c>
      <c r="B195" t="n">
        <v>2040</v>
      </c>
      <c r="C195" t="n">
        <v>0.125</v>
      </c>
      <c r="D195" t="n">
        <v>0.481</v>
      </c>
      <c r="E195" t="n">
        <v>0.3</v>
      </c>
      <c r="F195" t="n">
        <v>0</v>
      </c>
    </row>
    <row r="196">
      <c r="A196" t="n">
        <v>3</v>
      </c>
      <c r="B196" t="n">
        <v>2040</v>
      </c>
      <c r="C196" t="n">
        <v>0.125</v>
      </c>
      <c r="D196" t="n">
        <v>0.481</v>
      </c>
      <c r="E196" t="n">
        <v>0.3</v>
      </c>
      <c r="F196" t="n">
        <v>0</v>
      </c>
    </row>
    <row r="197">
      <c r="A197" t="n">
        <v>4</v>
      </c>
      <c r="B197" t="n">
        <v>2040</v>
      </c>
      <c r="C197" t="n">
        <v>0.125</v>
      </c>
      <c r="D197" t="n">
        <v>0.481</v>
      </c>
      <c r="E197" t="n">
        <v>0.3</v>
      </c>
      <c r="F197" t="n">
        <v>0</v>
      </c>
    </row>
    <row r="198">
      <c r="A198" t="n">
        <v>5</v>
      </c>
      <c r="B198" t="n">
        <v>2040</v>
      </c>
      <c r="C198" t="n">
        <v>0.125</v>
      </c>
      <c r="D198" t="n">
        <v>0.481</v>
      </c>
      <c r="E198" t="n">
        <v>0.3</v>
      </c>
      <c r="F198" t="n">
        <v>0</v>
      </c>
    </row>
    <row r="199">
      <c r="A199" t="n">
        <v>6</v>
      </c>
      <c r="B199" t="n">
        <v>2040</v>
      </c>
      <c r="C199" t="n">
        <v>0.125</v>
      </c>
      <c r="D199" t="n">
        <v>0.481</v>
      </c>
      <c r="E199" t="n">
        <v>0.3</v>
      </c>
      <c r="F199" t="n">
        <v>0</v>
      </c>
    </row>
    <row r="200">
      <c r="A200" t="n">
        <v>7</v>
      </c>
      <c r="B200" t="n">
        <v>2040</v>
      </c>
      <c r="C200" t="n">
        <v>0.125</v>
      </c>
      <c r="D200" t="n">
        <v>0.481</v>
      </c>
      <c r="E200" t="n">
        <v>0.3</v>
      </c>
      <c r="F200" t="n">
        <v>0</v>
      </c>
    </row>
    <row r="201">
      <c r="A201" t="n">
        <v>8</v>
      </c>
      <c r="B201" t="n">
        <v>2040</v>
      </c>
      <c r="C201" t="n">
        <v>0.125</v>
      </c>
      <c r="D201" t="n">
        <v>0.481</v>
      </c>
      <c r="E201" t="n">
        <v>0.3</v>
      </c>
      <c r="F201" t="n">
        <v>0</v>
      </c>
    </row>
    <row r="202">
      <c r="A202" t="n">
        <v>9</v>
      </c>
      <c r="B202" t="n">
        <v>2040</v>
      </c>
      <c r="C202" t="n">
        <v>0.125</v>
      </c>
      <c r="D202" t="n">
        <v>0.481</v>
      </c>
      <c r="E202" t="n">
        <v>0.3</v>
      </c>
      <c r="F202" t="n">
        <v>0</v>
      </c>
    </row>
    <row r="203">
      <c r="A203" t="n">
        <v>10</v>
      </c>
      <c r="B203" t="n">
        <v>2040</v>
      </c>
      <c r="C203" t="n">
        <v>0.125</v>
      </c>
      <c r="D203" t="n">
        <v>0.481</v>
      </c>
      <c r="E203" t="n">
        <v>0.3</v>
      </c>
      <c r="F203" t="n">
        <v>0</v>
      </c>
    </row>
    <row r="204">
      <c r="A204" t="n">
        <v>11</v>
      </c>
      <c r="B204" t="n">
        <v>2040</v>
      </c>
      <c r="C204" t="n">
        <v>0.125</v>
      </c>
      <c r="D204" t="n">
        <v>0.481</v>
      </c>
      <c r="E204" t="n">
        <v>0.3</v>
      </c>
      <c r="F204" t="n">
        <v>0</v>
      </c>
    </row>
    <row r="205">
      <c r="A205" t="n">
        <v>12</v>
      </c>
      <c r="B205" t="n">
        <v>2040</v>
      </c>
      <c r="C205" t="n">
        <v>0.125</v>
      </c>
      <c r="D205" t="n">
        <v>0.481</v>
      </c>
      <c r="E205" t="n">
        <v>0.3</v>
      </c>
      <c r="F205" t="n">
        <v>0</v>
      </c>
    </row>
    <row r="206">
      <c r="A206" t="n">
        <v>1</v>
      </c>
      <c r="B206" t="n">
        <v>2041</v>
      </c>
      <c r="C206" t="n">
        <v>0.125</v>
      </c>
      <c r="D206" t="n">
        <v>0.481</v>
      </c>
      <c r="E206" t="n">
        <v>0.3</v>
      </c>
      <c r="F206" t="n">
        <v>0</v>
      </c>
    </row>
    <row r="207">
      <c r="A207" t="n">
        <v>2</v>
      </c>
      <c r="B207" t="n">
        <v>2041</v>
      </c>
      <c r="C207" t="n">
        <v>0.125</v>
      </c>
      <c r="D207" t="n">
        <v>0.481</v>
      </c>
      <c r="E207" t="n">
        <v>0.3</v>
      </c>
      <c r="F207" t="n">
        <v>0</v>
      </c>
    </row>
    <row r="208">
      <c r="A208" t="n">
        <v>3</v>
      </c>
      <c r="B208" t="n">
        <v>2041</v>
      </c>
      <c r="C208" t="n">
        <v>0.125</v>
      </c>
      <c r="D208" t="n">
        <v>0.481</v>
      </c>
      <c r="E208" t="n">
        <v>0.3</v>
      </c>
      <c r="F208" t="n">
        <v>0</v>
      </c>
    </row>
    <row r="209">
      <c r="A209" t="n">
        <v>4</v>
      </c>
      <c r="B209" t="n">
        <v>2041</v>
      </c>
      <c r="C209" t="n">
        <v>0.125</v>
      </c>
      <c r="D209" t="n">
        <v>0.481</v>
      </c>
      <c r="E209" t="n">
        <v>0.3</v>
      </c>
      <c r="F209" t="n">
        <v>0</v>
      </c>
    </row>
    <row r="210">
      <c r="A210" t="n">
        <v>5</v>
      </c>
      <c r="B210" t="n">
        <v>2041</v>
      </c>
      <c r="C210" t="n">
        <v>0.125</v>
      </c>
      <c r="D210" t="n">
        <v>0.481</v>
      </c>
      <c r="E210" t="n">
        <v>0.3</v>
      </c>
      <c r="F210" t="n">
        <v>0</v>
      </c>
    </row>
    <row r="211">
      <c r="A211" t="n">
        <v>6</v>
      </c>
      <c r="B211" t="n">
        <v>2041</v>
      </c>
      <c r="C211" t="n">
        <v>0.125</v>
      </c>
      <c r="D211" t="n">
        <v>0.481</v>
      </c>
      <c r="E211" t="n">
        <v>0.3</v>
      </c>
      <c r="F211" t="n">
        <v>0</v>
      </c>
    </row>
    <row r="212">
      <c r="A212" t="n">
        <v>7</v>
      </c>
      <c r="B212" t="n">
        <v>2041</v>
      </c>
      <c r="C212" t="n">
        <v>0.125</v>
      </c>
      <c r="D212" t="n">
        <v>0.481</v>
      </c>
      <c r="E212" t="n">
        <v>0.3</v>
      </c>
      <c r="F212" t="n">
        <v>0</v>
      </c>
    </row>
    <row r="213">
      <c r="A213" t="n">
        <v>8</v>
      </c>
      <c r="B213" t="n">
        <v>2041</v>
      </c>
      <c r="C213" t="n">
        <v>0.125</v>
      </c>
      <c r="D213" t="n">
        <v>0.481</v>
      </c>
      <c r="E213" t="n">
        <v>0.3</v>
      </c>
      <c r="F213" t="n">
        <v>0</v>
      </c>
    </row>
    <row r="214">
      <c r="A214" t="n">
        <v>9</v>
      </c>
      <c r="B214" t="n">
        <v>2041</v>
      </c>
      <c r="C214" t="n">
        <v>0.125</v>
      </c>
      <c r="D214" t="n">
        <v>0.481</v>
      </c>
      <c r="E214" t="n">
        <v>0.3</v>
      </c>
      <c r="F214" t="n">
        <v>0</v>
      </c>
    </row>
    <row r="215">
      <c r="A215" t="n">
        <v>10</v>
      </c>
      <c r="B215" t="n">
        <v>2041</v>
      </c>
      <c r="C215" t="n">
        <v>0.125</v>
      </c>
      <c r="D215" t="n">
        <v>0.481</v>
      </c>
      <c r="E215" t="n">
        <v>0.3</v>
      </c>
      <c r="F215" t="n">
        <v>0</v>
      </c>
    </row>
    <row r="216">
      <c r="A216" t="n">
        <v>11</v>
      </c>
      <c r="B216" t="n">
        <v>2041</v>
      </c>
      <c r="C216" t="n">
        <v>0.125</v>
      </c>
      <c r="D216" t="n">
        <v>0.481</v>
      </c>
      <c r="E216" t="n">
        <v>0.3</v>
      </c>
      <c r="F216" t="n">
        <v>0</v>
      </c>
    </row>
    <row r="217">
      <c r="A217" t="n">
        <v>12</v>
      </c>
      <c r="B217" t="n">
        <v>2041</v>
      </c>
      <c r="C217" t="n">
        <v>0.125</v>
      </c>
      <c r="D217" t="n">
        <v>0.481</v>
      </c>
      <c r="E217" t="n">
        <v>0.3</v>
      </c>
      <c r="F217" t="n">
        <v>0</v>
      </c>
    </row>
    <row r="218">
      <c r="A218" t="n">
        <v>1</v>
      </c>
      <c r="B218" t="n">
        <v>2042</v>
      </c>
      <c r="C218" t="n">
        <v>0.125</v>
      </c>
      <c r="D218" t="n">
        <v>0.481</v>
      </c>
      <c r="E218" t="n">
        <v>0.3</v>
      </c>
      <c r="F218" t="n">
        <v>0</v>
      </c>
    </row>
    <row r="219">
      <c r="A219" t="n">
        <v>2</v>
      </c>
      <c r="B219" t="n">
        <v>2042</v>
      </c>
      <c r="C219" t="n">
        <v>0.125</v>
      </c>
      <c r="D219" t="n">
        <v>0.481</v>
      </c>
      <c r="E219" t="n">
        <v>0.3</v>
      </c>
      <c r="F219" t="n">
        <v>0</v>
      </c>
    </row>
    <row r="220">
      <c r="A220" t="n">
        <v>3</v>
      </c>
      <c r="B220" t="n">
        <v>2042</v>
      </c>
      <c r="C220" t="n">
        <v>0.125</v>
      </c>
      <c r="D220" t="n">
        <v>0.481</v>
      </c>
      <c r="E220" t="n">
        <v>0.3</v>
      </c>
      <c r="F220" t="n">
        <v>0</v>
      </c>
    </row>
    <row r="221">
      <c r="A221" t="n">
        <v>4</v>
      </c>
      <c r="B221" t="n">
        <v>2042</v>
      </c>
      <c r="C221" t="n">
        <v>0.125</v>
      </c>
      <c r="D221" t="n">
        <v>0.481</v>
      </c>
      <c r="E221" t="n">
        <v>0.3</v>
      </c>
      <c r="F221" t="n">
        <v>0</v>
      </c>
    </row>
    <row r="222">
      <c r="A222" t="n">
        <v>5</v>
      </c>
      <c r="B222" t="n">
        <v>2042</v>
      </c>
      <c r="C222" t="n">
        <v>0.125</v>
      </c>
      <c r="D222" t="n">
        <v>0.481</v>
      </c>
      <c r="E222" t="n">
        <v>0.3</v>
      </c>
      <c r="F222" t="n">
        <v>0</v>
      </c>
    </row>
    <row r="223">
      <c r="A223" t="n">
        <v>6</v>
      </c>
      <c r="B223" t="n">
        <v>2042</v>
      </c>
      <c r="C223" t="n">
        <v>0.125</v>
      </c>
      <c r="D223" t="n">
        <v>0.481</v>
      </c>
      <c r="E223" t="n">
        <v>0.3</v>
      </c>
      <c r="F223" t="n">
        <v>0</v>
      </c>
    </row>
    <row r="224">
      <c r="A224" t="n">
        <v>7</v>
      </c>
      <c r="B224" t="n">
        <v>2042</v>
      </c>
      <c r="C224" t="n">
        <v>0.125</v>
      </c>
      <c r="D224" t="n">
        <v>0.481</v>
      </c>
      <c r="E224" t="n">
        <v>0.3</v>
      </c>
      <c r="F224" t="n">
        <v>0</v>
      </c>
    </row>
    <row r="225">
      <c r="A225" t="n">
        <v>8</v>
      </c>
      <c r="B225" t="n">
        <v>2042</v>
      </c>
      <c r="C225" t="n">
        <v>0.125</v>
      </c>
      <c r="D225" t="n">
        <v>0.481</v>
      </c>
      <c r="E225" t="n">
        <v>0.3</v>
      </c>
      <c r="F225" t="n">
        <v>0</v>
      </c>
    </row>
    <row r="226">
      <c r="A226" t="n">
        <v>9</v>
      </c>
      <c r="B226" t="n">
        <v>2042</v>
      </c>
      <c r="C226" t="n">
        <v>0.125</v>
      </c>
      <c r="D226" t="n">
        <v>0.481</v>
      </c>
      <c r="E226" t="n">
        <v>0.3</v>
      </c>
      <c r="F226" t="n">
        <v>0</v>
      </c>
    </row>
    <row r="227">
      <c r="A227" t="n">
        <v>10</v>
      </c>
      <c r="B227" t="n">
        <v>2042</v>
      </c>
      <c r="C227" t="n">
        <v>0.125</v>
      </c>
      <c r="D227" t="n">
        <v>0.481</v>
      </c>
      <c r="E227" t="n">
        <v>0.3</v>
      </c>
      <c r="F227" t="n">
        <v>0</v>
      </c>
    </row>
    <row r="228">
      <c r="A228" t="n">
        <v>11</v>
      </c>
      <c r="B228" t="n">
        <v>2042</v>
      </c>
      <c r="C228" t="n">
        <v>0.125</v>
      </c>
      <c r="D228" t="n">
        <v>0.481</v>
      </c>
      <c r="E228" t="n">
        <v>0.3</v>
      </c>
      <c r="F228" t="n">
        <v>0</v>
      </c>
    </row>
    <row r="229">
      <c r="A229" t="n">
        <v>12</v>
      </c>
      <c r="B229" t="n">
        <v>2042</v>
      </c>
      <c r="C229" t="n">
        <v>0.125</v>
      </c>
      <c r="D229" t="n">
        <v>0.481</v>
      </c>
      <c r="E229" t="n">
        <v>0.3</v>
      </c>
      <c r="F229" t="n">
        <v>0</v>
      </c>
    </row>
    <row r="230">
      <c r="A230" t="n">
        <v>1</v>
      </c>
      <c r="B230" t="n">
        <v>2043</v>
      </c>
      <c r="C230" t="n">
        <v>0.125</v>
      </c>
      <c r="D230" t="n">
        <v>0.481</v>
      </c>
      <c r="E230" t="n">
        <v>0.3</v>
      </c>
      <c r="F230" t="n">
        <v>0</v>
      </c>
    </row>
    <row r="231">
      <c r="A231" t="n">
        <v>2</v>
      </c>
      <c r="B231" t="n">
        <v>2043</v>
      </c>
      <c r="C231" t="n">
        <v>0.125</v>
      </c>
      <c r="D231" t="n">
        <v>0.481</v>
      </c>
      <c r="E231" t="n">
        <v>0.3</v>
      </c>
      <c r="F231" t="n">
        <v>0</v>
      </c>
    </row>
    <row r="232">
      <c r="A232" t="n">
        <v>3</v>
      </c>
      <c r="B232" t="n">
        <v>2043</v>
      </c>
      <c r="C232" t="n">
        <v>0.125</v>
      </c>
      <c r="D232" t="n">
        <v>0.481</v>
      </c>
      <c r="E232" t="n">
        <v>0.3</v>
      </c>
      <c r="F232" t="n">
        <v>0</v>
      </c>
    </row>
    <row r="233">
      <c r="A233" t="n">
        <v>4</v>
      </c>
      <c r="B233" t="n">
        <v>2043</v>
      </c>
      <c r="C233" t="n">
        <v>0.125</v>
      </c>
      <c r="D233" t="n">
        <v>0.481</v>
      </c>
      <c r="E233" t="n">
        <v>0.3</v>
      </c>
      <c r="F233" t="n">
        <v>0</v>
      </c>
    </row>
    <row r="234">
      <c r="A234" t="n">
        <v>5</v>
      </c>
      <c r="B234" t="n">
        <v>2043</v>
      </c>
      <c r="C234" t="n">
        <v>0.125</v>
      </c>
      <c r="D234" t="n">
        <v>0.481</v>
      </c>
      <c r="E234" t="n">
        <v>0.3</v>
      </c>
      <c r="F234" t="n">
        <v>0</v>
      </c>
    </row>
    <row r="235">
      <c r="A235" t="n">
        <v>6</v>
      </c>
      <c r="B235" t="n">
        <v>2043</v>
      </c>
      <c r="C235" t="n">
        <v>0.125</v>
      </c>
      <c r="D235" t="n">
        <v>0.481</v>
      </c>
      <c r="E235" t="n">
        <v>0.3</v>
      </c>
      <c r="F235" t="n">
        <v>0</v>
      </c>
    </row>
    <row r="236">
      <c r="A236" t="n">
        <v>7</v>
      </c>
      <c r="B236" t="n">
        <v>2043</v>
      </c>
      <c r="C236" t="n">
        <v>0.125</v>
      </c>
      <c r="D236" t="n">
        <v>0.481</v>
      </c>
      <c r="E236" t="n">
        <v>0.3</v>
      </c>
      <c r="F236" t="n">
        <v>0</v>
      </c>
    </row>
    <row r="237">
      <c r="A237" t="n">
        <v>8</v>
      </c>
      <c r="B237" t="n">
        <v>2043</v>
      </c>
      <c r="C237" t="n">
        <v>0.125</v>
      </c>
      <c r="D237" t="n">
        <v>0.481</v>
      </c>
      <c r="E237" t="n">
        <v>0.3</v>
      </c>
      <c r="F237" t="n">
        <v>0</v>
      </c>
    </row>
    <row r="238">
      <c r="A238" t="n">
        <v>9</v>
      </c>
      <c r="B238" t="n">
        <v>2043</v>
      </c>
      <c r="C238" t="n">
        <v>0.125</v>
      </c>
      <c r="D238" t="n">
        <v>0.481</v>
      </c>
      <c r="E238" t="n">
        <v>0.3</v>
      </c>
      <c r="F238" t="n">
        <v>0</v>
      </c>
    </row>
    <row r="239">
      <c r="A239" t="n">
        <v>10</v>
      </c>
      <c r="B239" t="n">
        <v>2043</v>
      </c>
      <c r="C239" t="n">
        <v>0.125</v>
      </c>
      <c r="D239" t="n">
        <v>0.481</v>
      </c>
      <c r="E239" t="n">
        <v>0.3</v>
      </c>
      <c r="F239" t="n">
        <v>0</v>
      </c>
    </row>
    <row r="240">
      <c r="A240" t="n">
        <v>11</v>
      </c>
      <c r="B240" t="n">
        <v>2043</v>
      </c>
      <c r="C240" t="n">
        <v>0.125</v>
      </c>
      <c r="D240" t="n">
        <v>0.481</v>
      </c>
      <c r="E240" t="n">
        <v>0.3</v>
      </c>
      <c r="F240" t="n">
        <v>0</v>
      </c>
    </row>
    <row r="241">
      <c r="A241" t="n">
        <v>12</v>
      </c>
      <c r="B241" t="n">
        <v>2043</v>
      </c>
      <c r="C241" t="n">
        <v>0.125</v>
      </c>
      <c r="D241" t="n">
        <v>0.481</v>
      </c>
      <c r="E241" t="n">
        <v>0.3</v>
      </c>
      <c r="F241" t="n">
        <v>0</v>
      </c>
    </row>
    <row r="242">
      <c r="A242" t="n">
        <v>1</v>
      </c>
      <c r="B242" t="n">
        <v>2044</v>
      </c>
      <c r="C242" t="n">
        <v>0.125</v>
      </c>
      <c r="D242" t="n">
        <v>0.481</v>
      </c>
      <c r="E242" t="n">
        <v>0.3</v>
      </c>
      <c r="F242" t="n">
        <v>0</v>
      </c>
    </row>
    <row r="243">
      <c r="A243" t="n">
        <v>2</v>
      </c>
      <c r="B243" t="n">
        <v>2044</v>
      </c>
      <c r="C243" t="n">
        <v>0.125</v>
      </c>
      <c r="D243" t="n">
        <v>0.481</v>
      </c>
      <c r="E243" t="n">
        <v>0.3</v>
      </c>
      <c r="F243" t="n">
        <v>0</v>
      </c>
    </row>
    <row r="244">
      <c r="A244" t="n">
        <v>3</v>
      </c>
      <c r="B244" t="n">
        <v>2044</v>
      </c>
      <c r="C244" t="n">
        <v>0.125</v>
      </c>
      <c r="D244" t="n">
        <v>0.481</v>
      </c>
      <c r="E244" t="n">
        <v>0.3</v>
      </c>
      <c r="F244" t="n">
        <v>0</v>
      </c>
    </row>
    <row r="245">
      <c r="A245" t="n">
        <v>4</v>
      </c>
      <c r="B245" t="n">
        <v>2044</v>
      </c>
      <c r="C245" t="n">
        <v>0.125</v>
      </c>
      <c r="D245" t="n">
        <v>0.481</v>
      </c>
      <c r="E245" t="n">
        <v>0.3</v>
      </c>
      <c r="F245" t="n">
        <v>0</v>
      </c>
    </row>
    <row r="246">
      <c r="A246" t="n">
        <v>5</v>
      </c>
      <c r="B246" t="n">
        <v>2044</v>
      </c>
      <c r="C246" t="n">
        <v>0.125</v>
      </c>
      <c r="D246" t="n">
        <v>0.481</v>
      </c>
      <c r="E246" t="n">
        <v>0.3</v>
      </c>
      <c r="F246" t="n">
        <v>0</v>
      </c>
    </row>
    <row r="247">
      <c r="A247" t="n">
        <v>6</v>
      </c>
      <c r="B247" t="n">
        <v>2044</v>
      </c>
      <c r="C247" t="n">
        <v>0.125</v>
      </c>
      <c r="D247" t="n">
        <v>0.481</v>
      </c>
      <c r="E247" t="n">
        <v>0.3</v>
      </c>
      <c r="F247" t="n">
        <v>0</v>
      </c>
    </row>
    <row r="248">
      <c r="A248" t="n">
        <v>7</v>
      </c>
      <c r="B248" t="n">
        <v>2044</v>
      </c>
      <c r="C248" t="n">
        <v>0.125</v>
      </c>
      <c r="D248" t="n">
        <v>0.481</v>
      </c>
      <c r="E248" t="n">
        <v>0.3</v>
      </c>
      <c r="F248" t="n">
        <v>0</v>
      </c>
    </row>
    <row r="249">
      <c r="A249" t="n">
        <v>8</v>
      </c>
      <c r="B249" t="n">
        <v>2044</v>
      </c>
      <c r="C249" t="n">
        <v>0.125</v>
      </c>
      <c r="D249" t="n">
        <v>0.481</v>
      </c>
      <c r="E249" t="n">
        <v>0.3</v>
      </c>
      <c r="F249" t="n">
        <v>0</v>
      </c>
    </row>
    <row r="250">
      <c r="A250" t="n">
        <v>9</v>
      </c>
      <c r="B250" t="n">
        <v>2044</v>
      </c>
      <c r="C250" t="n">
        <v>0.125</v>
      </c>
      <c r="D250" t="n">
        <v>0.481</v>
      </c>
      <c r="E250" t="n">
        <v>0.3</v>
      </c>
      <c r="F250" t="n">
        <v>0</v>
      </c>
    </row>
    <row r="251">
      <c r="A251" t="n">
        <v>10</v>
      </c>
      <c r="B251" t="n">
        <v>2044</v>
      </c>
      <c r="C251" t="n">
        <v>0.125</v>
      </c>
      <c r="D251" t="n">
        <v>0.481</v>
      </c>
      <c r="E251" t="n">
        <v>0.3</v>
      </c>
      <c r="F251" t="n">
        <v>0</v>
      </c>
    </row>
    <row r="252">
      <c r="A252" t="n">
        <v>11</v>
      </c>
      <c r="B252" t="n">
        <v>2044</v>
      </c>
      <c r="C252" t="n">
        <v>0.125</v>
      </c>
      <c r="D252" t="n">
        <v>0.481</v>
      </c>
      <c r="E252" t="n">
        <v>0.3</v>
      </c>
      <c r="F252" t="n">
        <v>0</v>
      </c>
    </row>
    <row r="253">
      <c r="A253" t="n">
        <v>12</v>
      </c>
      <c r="B253" t="n">
        <v>2044</v>
      </c>
      <c r="C253" t="n">
        <v>0.125</v>
      </c>
      <c r="D253" t="n">
        <v>0.481</v>
      </c>
      <c r="E253" t="n">
        <v>0.3</v>
      </c>
      <c r="F253" t="n">
        <v>0</v>
      </c>
    </row>
    <row r="254">
      <c r="A254" t="n">
        <v>1</v>
      </c>
      <c r="B254" t="n">
        <v>2045</v>
      </c>
      <c r="C254" t="n">
        <v>0.125</v>
      </c>
      <c r="D254" t="n">
        <v>0.481</v>
      </c>
      <c r="E254" t="n">
        <v>0.3</v>
      </c>
      <c r="F254" t="n">
        <v>0</v>
      </c>
    </row>
    <row r="255">
      <c r="A255" t="n">
        <v>2</v>
      </c>
      <c r="B255" t="n">
        <v>2045</v>
      </c>
      <c r="C255" t="n">
        <v>0.125</v>
      </c>
      <c r="D255" t="n">
        <v>0.481</v>
      </c>
      <c r="E255" t="n">
        <v>0.3</v>
      </c>
      <c r="F255" t="n">
        <v>0</v>
      </c>
    </row>
    <row r="256">
      <c r="A256" t="n">
        <v>3</v>
      </c>
      <c r="B256" t="n">
        <v>2045</v>
      </c>
      <c r="C256" t="n">
        <v>0.125</v>
      </c>
      <c r="D256" t="n">
        <v>0.481</v>
      </c>
      <c r="E256" t="n">
        <v>0.3</v>
      </c>
      <c r="F256" t="n">
        <v>0</v>
      </c>
    </row>
    <row r="257">
      <c r="A257" t="n">
        <v>4</v>
      </c>
      <c r="B257" t="n">
        <v>2045</v>
      </c>
      <c r="C257" t="n">
        <v>0.125</v>
      </c>
      <c r="D257" t="n">
        <v>0.481</v>
      </c>
      <c r="E257" t="n">
        <v>0.3</v>
      </c>
      <c r="F257" t="n">
        <v>0</v>
      </c>
    </row>
    <row r="258">
      <c r="A258" t="n">
        <v>5</v>
      </c>
      <c r="B258" t="n">
        <v>2045</v>
      </c>
      <c r="C258" t="n">
        <v>0.125</v>
      </c>
      <c r="D258" t="n">
        <v>0.481</v>
      </c>
      <c r="E258" t="n">
        <v>0.3</v>
      </c>
      <c r="F258" t="n">
        <v>0</v>
      </c>
    </row>
    <row r="259">
      <c r="A259" t="n">
        <v>6</v>
      </c>
      <c r="B259" t="n">
        <v>2045</v>
      </c>
      <c r="C259" t="n">
        <v>0.125</v>
      </c>
      <c r="D259" t="n">
        <v>0.481</v>
      </c>
      <c r="E259" t="n">
        <v>0.3</v>
      </c>
      <c r="F259" t="n">
        <v>0</v>
      </c>
    </row>
    <row r="260">
      <c r="A260" t="n">
        <v>7</v>
      </c>
      <c r="B260" t="n">
        <v>2045</v>
      </c>
      <c r="C260" t="n">
        <v>0.125</v>
      </c>
      <c r="D260" t="n">
        <v>0.481</v>
      </c>
      <c r="E260" t="n">
        <v>0.3</v>
      </c>
      <c r="F260" t="n">
        <v>0</v>
      </c>
    </row>
    <row r="261">
      <c r="A261" t="n">
        <v>8</v>
      </c>
      <c r="B261" t="n">
        <v>2045</v>
      </c>
      <c r="C261" t="n">
        <v>0.125</v>
      </c>
      <c r="D261" t="n">
        <v>0.481</v>
      </c>
      <c r="E261" t="n">
        <v>0.3</v>
      </c>
      <c r="F261" t="n">
        <v>0</v>
      </c>
    </row>
    <row r="262">
      <c r="A262" t="n">
        <v>9</v>
      </c>
      <c r="B262" t="n">
        <v>2045</v>
      </c>
      <c r="C262" t="n">
        <v>0.125</v>
      </c>
      <c r="D262" t="n">
        <v>0.481</v>
      </c>
      <c r="E262" t="n">
        <v>0.3</v>
      </c>
      <c r="F262" t="n">
        <v>0</v>
      </c>
    </row>
    <row r="263">
      <c r="A263" t="n">
        <v>10</v>
      </c>
      <c r="B263" t="n">
        <v>2045</v>
      </c>
      <c r="C263" t="n">
        <v>0.125</v>
      </c>
      <c r="D263" t="n">
        <v>0.481</v>
      </c>
      <c r="E263" t="n">
        <v>0.3</v>
      </c>
      <c r="F263" t="n">
        <v>0</v>
      </c>
    </row>
    <row r="264">
      <c r="A264" t="n">
        <v>11</v>
      </c>
      <c r="B264" t="n">
        <v>2045</v>
      </c>
      <c r="C264" t="n">
        <v>0.125</v>
      </c>
      <c r="D264" t="n">
        <v>0.481</v>
      </c>
      <c r="E264" t="n">
        <v>0.3</v>
      </c>
      <c r="F264" t="n">
        <v>0</v>
      </c>
    </row>
    <row r="265">
      <c r="A265" t="n">
        <v>12</v>
      </c>
      <c r="B265" t="n">
        <v>2045</v>
      </c>
      <c r="C265" t="n">
        <v>0.125</v>
      </c>
      <c r="D265" t="n">
        <v>0.481</v>
      </c>
      <c r="E265" t="n">
        <v>0.3</v>
      </c>
      <c r="F265" t="n">
        <v>0</v>
      </c>
    </row>
    <row r="266">
      <c r="A266" t="n">
        <v>1</v>
      </c>
      <c r="B266" t="n">
        <v>2046</v>
      </c>
      <c r="C266" t="n">
        <v>0.125</v>
      </c>
      <c r="D266" t="n">
        <v>0.481</v>
      </c>
      <c r="E266" t="n">
        <v>0.3</v>
      </c>
      <c r="F266" t="n">
        <v>0</v>
      </c>
    </row>
    <row r="267">
      <c r="A267" t="n">
        <v>2</v>
      </c>
      <c r="B267" t="n">
        <v>2046</v>
      </c>
      <c r="C267" t="n">
        <v>0.125</v>
      </c>
      <c r="D267" t="n">
        <v>0.481</v>
      </c>
      <c r="E267" t="n">
        <v>0.3</v>
      </c>
      <c r="F267" t="n">
        <v>0</v>
      </c>
    </row>
    <row r="268">
      <c r="A268" t="n">
        <v>3</v>
      </c>
      <c r="B268" t="n">
        <v>2046</v>
      </c>
      <c r="C268" t="n">
        <v>0.125</v>
      </c>
      <c r="D268" t="n">
        <v>0.481</v>
      </c>
      <c r="E268" t="n">
        <v>0.3</v>
      </c>
      <c r="F268" t="n">
        <v>0</v>
      </c>
    </row>
    <row r="269">
      <c r="A269" t="n">
        <v>4</v>
      </c>
      <c r="B269" t="n">
        <v>2046</v>
      </c>
      <c r="C269" t="n">
        <v>0.125</v>
      </c>
      <c r="D269" t="n">
        <v>0.481</v>
      </c>
      <c r="E269" t="n">
        <v>0.3</v>
      </c>
      <c r="F269" t="n">
        <v>0</v>
      </c>
    </row>
    <row r="270">
      <c r="A270" t="n">
        <v>5</v>
      </c>
      <c r="B270" t="n">
        <v>2046</v>
      </c>
      <c r="C270" t="n">
        <v>0.125</v>
      </c>
      <c r="D270" t="n">
        <v>0.481</v>
      </c>
      <c r="E270" t="n">
        <v>0.3</v>
      </c>
      <c r="F270" t="n">
        <v>0</v>
      </c>
    </row>
    <row r="271">
      <c r="A271" t="n">
        <v>6</v>
      </c>
      <c r="B271" t="n">
        <v>2046</v>
      </c>
      <c r="C271" t="n">
        <v>0.125</v>
      </c>
      <c r="D271" t="n">
        <v>0.481</v>
      </c>
      <c r="E271" t="n">
        <v>0.3</v>
      </c>
      <c r="F271" t="n">
        <v>0</v>
      </c>
    </row>
    <row r="272">
      <c r="A272" t="n">
        <v>7</v>
      </c>
      <c r="B272" t="n">
        <v>2046</v>
      </c>
      <c r="C272" t="n">
        <v>0.125</v>
      </c>
      <c r="D272" t="n">
        <v>0.481</v>
      </c>
      <c r="E272" t="n">
        <v>0.3</v>
      </c>
      <c r="F272" t="n">
        <v>0</v>
      </c>
    </row>
    <row r="273">
      <c r="A273" t="n">
        <v>8</v>
      </c>
      <c r="B273" t="n">
        <v>2046</v>
      </c>
      <c r="C273" t="n">
        <v>0.125</v>
      </c>
      <c r="D273" t="n">
        <v>0.481</v>
      </c>
      <c r="E273" t="n">
        <v>0.3</v>
      </c>
      <c r="F273" t="n">
        <v>0</v>
      </c>
    </row>
    <row r="274">
      <c r="A274" t="n">
        <v>9</v>
      </c>
      <c r="B274" t="n">
        <v>2046</v>
      </c>
      <c r="C274" t="n">
        <v>0.125</v>
      </c>
      <c r="D274" t="n">
        <v>0.481</v>
      </c>
      <c r="E274" t="n">
        <v>0.3</v>
      </c>
      <c r="F274" t="n">
        <v>0</v>
      </c>
    </row>
    <row r="275">
      <c r="A275" t="n">
        <v>10</v>
      </c>
      <c r="B275" t="n">
        <v>2046</v>
      </c>
      <c r="C275" t="n">
        <v>0.125</v>
      </c>
      <c r="D275" t="n">
        <v>0.481</v>
      </c>
      <c r="E275" t="n">
        <v>0.3</v>
      </c>
      <c r="F275" t="n">
        <v>0</v>
      </c>
    </row>
    <row r="276">
      <c r="A276" t="n">
        <v>11</v>
      </c>
      <c r="B276" t="n">
        <v>2046</v>
      </c>
      <c r="C276" t="n">
        <v>0.125</v>
      </c>
      <c r="D276" t="n">
        <v>0.481</v>
      </c>
      <c r="E276" t="n">
        <v>0.3</v>
      </c>
      <c r="F276" t="n">
        <v>0</v>
      </c>
    </row>
    <row r="277">
      <c r="A277" t="n">
        <v>12</v>
      </c>
      <c r="B277" t="n">
        <v>2046</v>
      </c>
      <c r="C277" t="n">
        <v>0.125</v>
      </c>
      <c r="D277" t="n">
        <v>0.481</v>
      </c>
      <c r="E277" t="n">
        <v>0.3</v>
      </c>
      <c r="F277" t="n">
        <v>0</v>
      </c>
    </row>
    <row r="278">
      <c r="A278" t="n">
        <v>1</v>
      </c>
      <c r="B278" t="n">
        <v>2047</v>
      </c>
      <c r="C278" t="n">
        <v>0.125</v>
      </c>
      <c r="D278" t="n">
        <v>0.481</v>
      </c>
      <c r="E278" t="n">
        <v>0.3</v>
      </c>
      <c r="F278" t="n">
        <v>0</v>
      </c>
    </row>
    <row r="279">
      <c r="A279" t="n">
        <v>2</v>
      </c>
      <c r="B279" t="n">
        <v>2047</v>
      </c>
      <c r="C279" t="n">
        <v>0.125</v>
      </c>
      <c r="D279" t="n">
        <v>0.481</v>
      </c>
      <c r="E279" t="n">
        <v>0.3</v>
      </c>
      <c r="F279" t="n">
        <v>0</v>
      </c>
    </row>
    <row r="280">
      <c r="A280" t="n">
        <v>3</v>
      </c>
      <c r="B280" t="n">
        <v>2047</v>
      </c>
      <c r="C280" t="n">
        <v>0.125</v>
      </c>
      <c r="D280" t="n">
        <v>0.481</v>
      </c>
      <c r="E280" t="n">
        <v>0.3</v>
      </c>
      <c r="F280" t="n">
        <v>0</v>
      </c>
    </row>
    <row r="281">
      <c r="A281" t="n">
        <v>4</v>
      </c>
      <c r="B281" t="n">
        <v>2047</v>
      </c>
      <c r="C281" t="n">
        <v>0.125</v>
      </c>
      <c r="D281" t="n">
        <v>0.481</v>
      </c>
      <c r="E281" t="n">
        <v>0.3</v>
      </c>
      <c r="F281" t="n">
        <v>0</v>
      </c>
    </row>
    <row r="282">
      <c r="A282" t="n">
        <v>5</v>
      </c>
      <c r="B282" t="n">
        <v>2047</v>
      </c>
      <c r="C282" t="n">
        <v>0.125</v>
      </c>
      <c r="D282" t="n">
        <v>0.481</v>
      </c>
      <c r="E282" t="n">
        <v>0.3</v>
      </c>
      <c r="F282" t="n">
        <v>0</v>
      </c>
    </row>
    <row r="283">
      <c r="A283" t="n">
        <v>6</v>
      </c>
      <c r="B283" t="n">
        <v>2047</v>
      </c>
      <c r="C283" t="n">
        <v>0.125</v>
      </c>
      <c r="D283" t="n">
        <v>0.481</v>
      </c>
      <c r="E283" t="n">
        <v>0.3</v>
      </c>
      <c r="F283" t="n">
        <v>0</v>
      </c>
    </row>
    <row r="284">
      <c r="A284" t="n">
        <v>7</v>
      </c>
      <c r="B284" t="n">
        <v>2047</v>
      </c>
      <c r="C284" t="n">
        <v>0.125</v>
      </c>
      <c r="D284" t="n">
        <v>0.481</v>
      </c>
      <c r="E284" t="n">
        <v>0.3</v>
      </c>
      <c r="F284" t="n">
        <v>0</v>
      </c>
    </row>
    <row r="285">
      <c r="A285" t="n">
        <v>8</v>
      </c>
      <c r="B285" t="n">
        <v>2047</v>
      </c>
      <c r="C285" t="n">
        <v>0.125</v>
      </c>
      <c r="D285" t="n">
        <v>0.481</v>
      </c>
      <c r="E285" t="n">
        <v>0.3</v>
      </c>
      <c r="F285" t="n">
        <v>0</v>
      </c>
    </row>
    <row r="286">
      <c r="A286" t="n">
        <v>9</v>
      </c>
      <c r="B286" t="n">
        <v>2047</v>
      </c>
      <c r="C286" t="n">
        <v>0.125</v>
      </c>
      <c r="D286" t="n">
        <v>0.481</v>
      </c>
      <c r="E286" t="n">
        <v>0.3</v>
      </c>
      <c r="F286" t="n">
        <v>0</v>
      </c>
    </row>
    <row r="287">
      <c r="A287" t="n">
        <v>10</v>
      </c>
      <c r="B287" t="n">
        <v>2047</v>
      </c>
      <c r="C287" t="n">
        <v>0.125</v>
      </c>
      <c r="D287" t="n">
        <v>0.481</v>
      </c>
      <c r="E287" t="n">
        <v>0.3</v>
      </c>
      <c r="F287" t="n">
        <v>0</v>
      </c>
    </row>
    <row r="288">
      <c r="A288" t="n">
        <v>11</v>
      </c>
      <c r="B288" t="n">
        <v>2047</v>
      </c>
      <c r="C288" t="n">
        <v>0.125</v>
      </c>
      <c r="D288" t="n">
        <v>0.481</v>
      </c>
      <c r="E288" t="n">
        <v>0.3</v>
      </c>
      <c r="F288" t="n">
        <v>0</v>
      </c>
    </row>
    <row r="289">
      <c r="A289" t="n">
        <v>12</v>
      </c>
      <c r="B289" t="n">
        <v>2047</v>
      </c>
      <c r="C289" t="n">
        <v>0.125</v>
      </c>
      <c r="D289" t="n">
        <v>0.481</v>
      </c>
      <c r="E289" t="n">
        <v>0.3</v>
      </c>
      <c r="F289" t="n">
        <v>0</v>
      </c>
    </row>
    <row r="290">
      <c r="A290" t="n">
        <v>1</v>
      </c>
      <c r="B290" t="n">
        <v>2048</v>
      </c>
      <c r="C290" t="n">
        <v>0.125</v>
      </c>
      <c r="D290" t="n">
        <v>0.481</v>
      </c>
      <c r="E290" t="n">
        <v>0.3</v>
      </c>
      <c r="F290" t="n">
        <v>0</v>
      </c>
    </row>
    <row r="291">
      <c r="A291" t="n">
        <v>2</v>
      </c>
      <c r="B291" t="n">
        <v>2048</v>
      </c>
      <c r="C291" t="n">
        <v>0.125</v>
      </c>
      <c r="D291" t="n">
        <v>0.481</v>
      </c>
      <c r="E291" t="n">
        <v>0.3</v>
      </c>
      <c r="F291" t="n">
        <v>0</v>
      </c>
    </row>
    <row r="292">
      <c r="A292" t="n">
        <v>3</v>
      </c>
      <c r="B292" t="n">
        <v>2048</v>
      </c>
      <c r="C292" t="n">
        <v>0.125</v>
      </c>
      <c r="D292" t="n">
        <v>0.481</v>
      </c>
      <c r="E292" t="n">
        <v>0.3</v>
      </c>
      <c r="F292" t="n">
        <v>0</v>
      </c>
    </row>
    <row r="293">
      <c r="A293" t="n">
        <v>4</v>
      </c>
      <c r="B293" t="n">
        <v>2048</v>
      </c>
      <c r="C293" t="n">
        <v>0.125</v>
      </c>
      <c r="D293" t="n">
        <v>0.481</v>
      </c>
      <c r="E293" t="n">
        <v>0.3</v>
      </c>
      <c r="F293" t="n">
        <v>0</v>
      </c>
    </row>
    <row r="294">
      <c r="A294" t="n">
        <v>5</v>
      </c>
      <c r="B294" t="n">
        <v>2048</v>
      </c>
      <c r="C294" t="n">
        <v>0.125</v>
      </c>
      <c r="D294" t="n">
        <v>0.481</v>
      </c>
      <c r="E294" t="n">
        <v>0.3</v>
      </c>
      <c r="F294" t="n">
        <v>0</v>
      </c>
    </row>
    <row r="295">
      <c r="A295" t="n">
        <v>6</v>
      </c>
      <c r="B295" t="n">
        <v>2048</v>
      </c>
      <c r="C295" t="n">
        <v>0.125</v>
      </c>
      <c r="D295" t="n">
        <v>0.481</v>
      </c>
      <c r="E295" t="n">
        <v>0.3</v>
      </c>
      <c r="F295" t="n">
        <v>0</v>
      </c>
    </row>
    <row r="296">
      <c r="A296" t="n">
        <v>7</v>
      </c>
      <c r="B296" t="n">
        <v>2048</v>
      </c>
      <c r="C296" t="n">
        <v>0.125</v>
      </c>
      <c r="D296" t="n">
        <v>0.481</v>
      </c>
      <c r="E296" t="n">
        <v>0.3</v>
      </c>
      <c r="F296" t="n">
        <v>0</v>
      </c>
    </row>
    <row r="297">
      <c r="A297" t="n">
        <v>8</v>
      </c>
      <c r="B297" t="n">
        <v>2048</v>
      </c>
      <c r="C297" t="n">
        <v>0.125</v>
      </c>
      <c r="D297" t="n">
        <v>0.481</v>
      </c>
      <c r="E297" t="n">
        <v>0.3</v>
      </c>
      <c r="F297" t="n">
        <v>0</v>
      </c>
    </row>
    <row r="298">
      <c r="A298" t="n">
        <v>9</v>
      </c>
      <c r="B298" t="n">
        <v>2048</v>
      </c>
      <c r="C298" t="n">
        <v>0.125</v>
      </c>
      <c r="D298" t="n">
        <v>0.481</v>
      </c>
      <c r="E298" t="n">
        <v>0.3</v>
      </c>
      <c r="F298" t="n">
        <v>0</v>
      </c>
    </row>
    <row r="299">
      <c r="A299" t="n">
        <v>10</v>
      </c>
      <c r="B299" t="n">
        <v>2048</v>
      </c>
      <c r="C299" t="n">
        <v>0.125</v>
      </c>
      <c r="D299" t="n">
        <v>0.481</v>
      </c>
      <c r="E299" t="n">
        <v>0.3</v>
      </c>
      <c r="F299" t="n">
        <v>0</v>
      </c>
    </row>
    <row r="300">
      <c r="A300" t="n">
        <v>11</v>
      </c>
      <c r="B300" t="n">
        <v>2048</v>
      </c>
      <c r="C300" t="n">
        <v>0.125</v>
      </c>
      <c r="D300" t="n">
        <v>0.481</v>
      </c>
      <c r="E300" t="n">
        <v>0.3</v>
      </c>
      <c r="F300" t="n">
        <v>0</v>
      </c>
    </row>
    <row r="301">
      <c r="A301" t="n">
        <v>12</v>
      </c>
      <c r="B301" t="n">
        <v>2048</v>
      </c>
      <c r="C301" t="n">
        <v>0.125</v>
      </c>
      <c r="D301" t="n">
        <v>0.481</v>
      </c>
      <c r="E301" t="n">
        <v>0.3</v>
      </c>
      <c r="F301" t="n">
        <v>0</v>
      </c>
    </row>
    <row r="302">
      <c r="A302" t="n">
        <v>1</v>
      </c>
      <c r="B302" t="n">
        <v>2049</v>
      </c>
      <c r="C302" t="n">
        <v>0.125</v>
      </c>
      <c r="D302" t="n">
        <v>0.481</v>
      </c>
      <c r="E302" t="n">
        <v>0.3</v>
      </c>
      <c r="F302" t="n">
        <v>0</v>
      </c>
    </row>
    <row r="303">
      <c r="A303" t="n">
        <v>2</v>
      </c>
      <c r="B303" t="n">
        <v>2049</v>
      </c>
      <c r="C303" t="n">
        <v>0.125</v>
      </c>
      <c r="D303" t="n">
        <v>0.481</v>
      </c>
      <c r="E303" t="n">
        <v>0.3</v>
      </c>
      <c r="F303" t="n">
        <v>0</v>
      </c>
    </row>
    <row r="304">
      <c r="A304" t="n">
        <v>3</v>
      </c>
      <c r="B304" t="n">
        <v>2049</v>
      </c>
      <c r="C304" t="n">
        <v>0.125</v>
      </c>
      <c r="D304" t="n">
        <v>0.481</v>
      </c>
      <c r="E304" t="n">
        <v>0.3</v>
      </c>
      <c r="F304" t="n">
        <v>0</v>
      </c>
    </row>
    <row r="305">
      <c r="A305" t="n">
        <v>4</v>
      </c>
      <c r="B305" t="n">
        <v>2049</v>
      </c>
      <c r="C305" t="n">
        <v>0.125</v>
      </c>
      <c r="D305" t="n">
        <v>0.481</v>
      </c>
      <c r="E305" t="n">
        <v>0.3</v>
      </c>
      <c r="F305" t="n">
        <v>0</v>
      </c>
    </row>
    <row r="306">
      <c r="A306" t="n">
        <v>5</v>
      </c>
      <c r="B306" t="n">
        <v>2049</v>
      </c>
      <c r="C306" t="n">
        <v>0.125</v>
      </c>
      <c r="D306" t="n">
        <v>0.481</v>
      </c>
      <c r="E306" t="n">
        <v>0.3</v>
      </c>
      <c r="F306" t="n">
        <v>0</v>
      </c>
    </row>
    <row r="307">
      <c r="A307" t="n">
        <v>6</v>
      </c>
      <c r="B307" t="n">
        <v>2049</v>
      </c>
      <c r="C307" t="n">
        <v>0.125</v>
      </c>
      <c r="D307" t="n">
        <v>0.481</v>
      </c>
      <c r="E307" t="n">
        <v>0.3</v>
      </c>
      <c r="F307" t="n">
        <v>0</v>
      </c>
    </row>
    <row r="308">
      <c r="A308" t="n">
        <v>7</v>
      </c>
      <c r="B308" t="n">
        <v>2049</v>
      </c>
      <c r="C308" t="n">
        <v>0.125</v>
      </c>
      <c r="D308" t="n">
        <v>0.481</v>
      </c>
      <c r="E308" t="n">
        <v>0.3</v>
      </c>
      <c r="F308" t="n">
        <v>0</v>
      </c>
    </row>
    <row r="309">
      <c r="A309" t="n">
        <v>8</v>
      </c>
      <c r="B309" t="n">
        <v>2049</v>
      </c>
      <c r="C309" t="n">
        <v>0.125</v>
      </c>
      <c r="D309" t="n">
        <v>0.481</v>
      </c>
      <c r="E309" t="n">
        <v>0.3</v>
      </c>
      <c r="F309" t="n">
        <v>0</v>
      </c>
    </row>
    <row r="310">
      <c r="A310" t="n">
        <v>9</v>
      </c>
      <c r="B310" t="n">
        <v>2049</v>
      </c>
      <c r="C310" t="n">
        <v>0.125</v>
      </c>
      <c r="D310" t="n">
        <v>0.481</v>
      </c>
      <c r="E310" t="n">
        <v>0.3</v>
      </c>
      <c r="F310" t="n">
        <v>0</v>
      </c>
    </row>
    <row r="311">
      <c r="A311" t="n">
        <v>10</v>
      </c>
      <c r="B311" t="n">
        <v>2049</v>
      </c>
      <c r="C311" t="n">
        <v>0.125</v>
      </c>
      <c r="D311" t="n">
        <v>0.481</v>
      </c>
      <c r="E311" t="n">
        <v>0.3</v>
      </c>
      <c r="F311" t="n">
        <v>0</v>
      </c>
    </row>
    <row r="312">
      <c r="A312" t="n">
        <v>11</v>
      </c>
      <c r="B312" t="n">
        <v>2049</v>
      </c>
      <c r="C312" t="n">
        <v>0.125</v>
      </c>
      <c r="D312" t="n">
        <v>0.481</v>
      </c>
      <c r="E312" t="n">
        <v>0.3</v>
      </c>
      <c r="F312" t="n">
        <v>0</v>
      </c>
    </row>
    <row r="313">
      <c r="A313" t="n">
        <v>12</v>
      </c>
      <c r="B313" t="n">
        <v>2049</v>
      </c>
      <c r="C313" t="n">
        <v>0.125</v>
      </c>
      <c r="D313" t="n">
        <v>0.481</v>
      </c>
      <c r="E313" t="n">
        <v>0.3</v>
      </c>
      <c r="F313" t="n">
        <v>0</v>
      </c>
    </row>
    <row r="314">
      <c r="A314" t="n">
        <v>1</v>
      </c>
      <c r="B314" t="n">
        <v>2050</v>
      </c>
      <c r="C314" t="n">
        <v>0.125</v>
      </c>
      <c r="D314" t="n">
        <v>0.481</v>
      </c>
      <c r="E314" t="n">
        <v>0.3</v>
      </c>
      <c r="F314" t="n">
        <v>0</v>
      </c>
    </row>
    <row r="315">
      <c r="A315" t="n">
        <v>2</v>
      </c>
      <c r="B315" t="n">
        <v>2050</v>
      </c>
      <c r="C315" t="n">
        <v>0.125</v>
      </c>
      <c r="D315" t="n">
        <v>0.481</v>
      </c>
      <c r="E315" t="n">
        <v>0.3</v>
      </c>
      <c r="F315" t="n">
        <v>0</v>
      </c>
    </row>
    <row r="316">
      <c r="A316" t="n">
        <v>3</v>
      </c>
      <c r="B316" t="n">
        <v>2050</v>
      </c>
      <c r="C316" t="n">
        <v>0.125</v>
      </c>
      <c r="D316" t="n">
        <v>0.481</v>
      </c>
      <c r="E316" t="n">
        <v>0.3</v>
      </c>
      <c r="F316" t="n">
        <v>0</v>
      </c>
    </row>
    <row r="317">
      <c r="A317" t="n">
        <v>4</v>
      </c>
      <c r="B317" t="n">
        <v>2050</v>
      </c>
      <c r="C317" t="n">
        <v>0.125</v>
      </c>
      <c r="D317" t="n">
        <v>0.481</v>
      </c>
      <c r="E317" t="n">
        <v>0.3</v>
      </c>
      <c r="F317" t="n">
        <v>0</v>
      </c>
    </row>
    <row r="318">
      <c r="A318" t="n">
        <v>5</v>
      </c>
      <c r="B318" t="n">
        <v>2050</v>
      </c>
      <c r="C318" t="n">
        <v>0.125</v>
      </c>
      <c r="D318" t="n">
        <v>0.481</v>
      </c>
      <c r="E318" t="n">
        <v>0.3</v>
      </c>
      <c r="F318" t="n">
        <v>0</v>
      </c>
    </row>
    <row r="319">
      <c r="A319" t="n">
        <v>6</v>
      </c>
      <c r="B319" t="n">
        <v>2050</v>
      </c>
      <c r="C319" t="n">
        <v>0.125</v>
      </c>
      <c r="D319" t="n">
        <v>0.481</v>
      </c>
      <c r="E319" t="n">
        <v>0.3</v>
      </c>
      <c r="F319" t="n">
        <v>0</v>
      </c>
    </row>
    <row r="320">
      <c r="A320" t="n">
        <v>7</v>
      </c>
      <c r="B320" t="n">
        <v>2050</v>
      </c>
      <c r="C320" t="n">
        <v>0.125</v>
      </c>
      <c r="D320" t="n">
        <v>0.481</v>
      </c>
      <c r="E320" t="n">
        <v>0.3</v>
      </c>
      <c r="F320" t="n">
        <v>0</v>
      </c>
    </row>
    <row r="321">
      <c r="A321" t="n">
        <v>8</v>
      </c>
      <c r="B321" t="n">
        <v>2050</v>
      </c>
      <c r="C321" t="n">
        <v>0.125</v>
      </c>
      <c r="D321" t="n">
        <v>0.481</v>
      </c>
      <c r="E321" t="n">
        <v>0.3</v>
      </c>
      <c r="F321" t="n">
        <v>0</v>
      </c>
    </row>
    <row r="322">
      <c r="A322" t="n">
        <v>9</v>
      </c>
      <c r="B322" t="n">
        <v>2050</v>
      </c>
      <c r="C322" t="n">
        <v>0.125</v>
      </c>
      <c r="D322" t="n">
        <v>0.481</v>
      </c>
      <c r="E322" t="n">
        <v>0.3</v>
      </c>
      <c r="F322" t="n">
        <v>0</v>
      </c>
    </row>
    <row r="323">
      <c r="A323" t="n">
        <v>10</v>
      </c>
      <c r="B323" t="n">
        <v>2050</v>
      </c>
      <c r="C323" t="n">
        <v>0.125</v>
      </c>
      <c r="D323" t="n">
        <v>0.481</v>
      </c>
      <c r="E323" t="n">
        <v>0.3</v>
      </c>
      <c r="F323" t="n">
        <v>0</v>
      </c>
    </row>
    <row r="324">
      <c r="A324" t="n">
        <v>11</v>
      </c>
      <c r="B324" t="n">
        <v>2050</v>
      </c>
      <c r="C324" t="n">
        <v>0.125</v>
      </c>
      <c r="D324" t="n">
        <v>0.481</v>
      </c>
      <c r="E324" t="n">
        <v>0.3</v>
      </c>
      <c r="F324" t="n">
        <v>0</v>
      </c>
    </row>
    <row r="325">
      <c r="A325" t="n">
        <v>12</v>
      </c>
      <c r="B325" t="n">
        <v>2050</v>
      </c>
      <c r="C325" t="n">
        <v>0.125</v>
      </c>
      <c r="D325" t="n">
        <v>0.481</v>
      </c>
      <c r="E325" t="n">
        <v>0.3</v>
      </c>
      <c r="F325" t="n">
        <v>0</v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8"/>
  <sheetViews>
    <sheetView tabSelected="1" topLeftCell="J1" workbookViewId="0">
      <selection activeCell="P9" sqref="P9"/>
    </sheetView>
  </sheetViews>
  <sheetFormatPr baseColWidth="10" defaultRowHeight="15"/>
  <cols>
    <col width="17.7109375" customWidth="1" min="1" max="1"/>
    <col width="14.42578125" customWidth="1" min="2" max="2"/>
    <col width="18" customWidth="1" min="3" max="3"/>
    <col width="17.42578125" customWidth="1" min="6" max="6"/>
    <col width="18.28515625" customWidth="1" min="7" max="7"/>
    <col width="18" customWidth="1" min="8" max="8"/>
    <col width="19.28515625" customWidth="1" min="9" max="9"/>
    <col width="21.85546875" customWidth="1" min="10" max="10"/>
    <col width="20.140625" customWidth="1" min="14" max="14"/>
    <col width="20.5703125" customWidth="1" min="20" max="20"/>
  </cols>
  <sheetData>
    <row r="1">
      <c r="A1" s="4" t="inlineStr">
        <is>
          <t>Technologies</t>
        </is>
      </c>
      <c r="B1" s="4" t="inlineStr">
        <is>
          <t>InitialCapacity</t>
        </is>
      </c>
      <c r="C1" s="4" t="inlineStr">
        <is>
          <t>InitialStockpile</t>
        </is>
      </c>
      <c r="D1" s="4" t="inlineStr">
        <is>
          <t>Storagecost</t>
        </is>
      </c>
      <c r="E1" s="4" t="inlineStr">
        <is>
          <t>FT</t>
        </is>
      </c>
      <c r="F1" s="4" t="inlineStr">
        <is>
          <t>anti duping Index</t>
        </is>
      </c>
      <c r="G1" s="4" t="inlineStr">
        <is>
          <t>dQ EU Primary</t>
        </is>
      </c>
      <c r="H1" s="4" t="inlineStr">
        <is>
          <t>dQ EU Secondary</t>
        </is>
      </c>
      <c r="I1" s="4" t="inlineStr">
        <is>
          <t>IR EU Primary</t>
        </is>
      </c>
      <c r="J1" s="4" t="inlineStr">
        <is>
          <t>IR EU Secondary</t>
        </is>
      </c>
      <c r="K1" s="1" t="inlineStr">
        <is>
          <t>DR Primary</t>
        </is>
      </c>
      <c r="L1" s="1" t="inlineStr">
        <is>
          <t>DR Secondary</t>
        </is>
      </c>
      <c r="M1" s="4" t="inlineStr">
        <is>
          <t>l</t>
        </is>
      </c>
      <c r="N1" s="4" t="inlineStr">
        <is>
          <t>n turnover stockpile</t>
        </is>
      </c>
      <c r="O1" s="4" t="inlineStr">
        <is>
          <t>logisticcost</t>
        </is>
      </c>
      <c r="P1" s="4" t="inlineStr">
        <is>
          <t>scrap</t>
        </is>
      </c>
      <c r="Q1" s="4" t="inlineStr">
        <is>
          <t xml:space="preserve">mining </t>
        </is>
      </c>
      <c r="R1" s="4" t="inlineStr">
        <is>
          <t>recycling_efficiency</t>
        </is>
      </c>
      <c r="S1" s="4" t="inlineStr">
        <is>
          <t>IR_recycling</t>
        </is>
      </c>
      <c r="T1" s="4" t="inlineStr">
        <is>
          <t>Initial_decommisions</t>
        </is>
      </c>
      <c r="U1" s="4" t="inlineStr">
        <is>
          <t>Initial_secondary_cap</t>
        </is>
      </c>
      <c r="V1" s="4" t="inlineStr">
        <is>
          <t>price_reduction_init</t>
        </is>
      </c>
      <c r="W1" s="4" t="inlineStr">
        <is>
          <t>last_prim_cap</t>
        </is>
      </c>
      <c r="X1" s="4" t="inlineStr">
        <is>
          <t>last_sec_cap</t>
        </is>
      </c>
      <c r="Y1" s="4" t="inlineStr">
        <is>
          <t>factor_bess</t>
        </is>
      </c>
      <c r="Z1" s="4" t="inlineStr">
        <is>
          <t>capacity_scrap_total</t>
        </is>
      </c>
      <c r="AA1" s="4" t="inlineStr">
        <is>
          <t>total_facility_cap_initial</t>
        </is>
      </c>
    </row>
    <row r="2">
      <c r="A2" s="3" t="inlineStr">
        <is>
          <t>EU27.solarPV</t>
        </is>
      </c>
      <c r="B2" s="10" t="n">
        <v>211115</v>
      </c>
      <c r="C2" s="6" t="n">
        <v>40000</v>
      </c>
      <c r="D2" s="6" t="n">
        <v>25</v>
      </c>
      <c r="E2" s="5" t="n">
        <v>0.25</v>
      </c>
      <c r="F2" s="5" t="n">
        <v>0</v>
      </c>
      <c r="G2" s="6" t="n">
        <v>13000</v>
      </c>
      <c r="H2" s="5" t="n">
        <v>0</v>
      </c>
      <c r="I2" s="6" t="n">
        <v>0.098</v>
      </c>
      <c r="J2" s="6" t="n">
        <v>0.2</v>
      </c>
      <c r="K2" s="5" t="n">
        <v>0.5</v>
      </c>
      <c r="L2" s="5" t="n">
        <v>0.8</v>
      </c>
      <c r="M2" t="n">
        <v>25</v>
      </c>
      <c r="N2" s="5" t="n">
        <v>5</v>
      </c>
      <c r="O2" s="5" t="n">
        <v>5</v>
      </c>
      <c r="P2" s="6" t="n">
        <v>68.99749300000001</v>
      </c>
      <c r="Q2" s="6" t="n">
        <v>68.99749300000001</v>
      </c>
      <c r="R2" s="13" t="n">
        <v>0.85</v>
      </c>
      <c r="S2" s="6" t="n">
        <v>0.3888</v>
      </c>
      <c r="T2" s="5" t="n">
        <v>100000</v>
      </c>
      <c r="U2" s="5" t="n">
        <v>0</v>
      </c>
      <c r="V2" s="5" t="n">
        <v>0</v>
      </c>
      <c r="W2" s="5" t="n">
        <v>0</v>
      </c>
      <c r="X2" s="5" t="n">
        <v>0</v>
      </c>
      <c r="Y2" s="6" t="n">
        <v>0.118</v>
      </c>
      <c r="Z2" s="5" t="n">
        <v>0</v>
      </c>
      <c r="AA2" s="5" t="n">
        <v>0</v>
      </c>
    </row>
    <row r="3">
      <c r="A3" s="3" t="inlineStr">
        <is>
          <t>EU27.windoff</t>
        </is>
      </c>
      <c r="B3" s="7" t="n">
        <v>18800</v>
      </c>
      <c r="C3" s="7" t="n">
        <v>0</v>
      </c>
      <c r="D3" t="n">
        <v>200</v>
      </c>
      <c r="E3" s="5" t="n">
        <v>0.25</v>
      </c>
      <c r="F3" s="5" t="n">
        <v>0</v>
      </c>
      <c r="G3" s="6" t="n">
        <v>5000</v>
      </c>
      <c r="H3" s="5" t="n">
        <v>0</v>
      </c>
      <c r="I3" s="6" t="n">
        <v>0.08599999999999999</v>
      </c>
      <c r="J3" s="6" t="n">
        <v>0.2</v>
      </c>
      <c r="K3" s="5" t="n">
        <v>0.5</v>
      </c>
      <c r="L3" s="5" t="n">
        <v>0.8</v>
      </c>
      <c r="M3" t="n">
        <v>20</v>
      </c>
      <c r="N3" s="5" t="n">
        <v>5</v>
      </c>
      <c r="O3" s="5" t="n">
        <v>5</v>
      </c>
      <c r="P3" s="6" t="n">
        <v>284.429049</v>
      </c>
      <c r="Q3" s="6" t="n">
        <v>284.429049</v>
      </c>
      <c r="R3" s="13" t="n">
        <v>0.95</v>
      </c>
      <c r="S3" s="6" t="n">
        <v>0.2</v>
      </c>
      <c r="T3" s="5" t="n">
        <v>25000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</row>
    <row r="4">
      <c r="A4" s="3" t="inlineStr">
        <is>
          <t>EU27.windon</t>
        </is>
      </c>
      <c r="B4" s="7" t="n">
        <v>195370</v>
      </c>
      <c r="C4" s="7" t="n">
        <v>0</v>
      </c>
      <c r="D4" t="n">
        <v>200</v>
      </c>
      <c r="E4" s="5" t="n">
        <v>0.25</v>
      </c>
      <c r="F4" s="5" t="n">
        <v>0</v>
      </c>
      <c r="G4" s="6" t="n">
        <v>20000</v>
      </c>
      <c r="H4" s="5" t="n">
        <v>0</v>
      </c>
      <c r="I4" s="6" t="n">
        <v>0.08599999999999999</v>
      </c>
      <c r="J4" s="6" t="n">
        <v>0.2</v>
      </c>
      <c r="K4" s="5" t="n">
        <v>0.5</v>
      </c>
      <c r="L4" s="5" t="n">
        <v>0.8</v>
      </c>
      <c r="M4" s="9" t="n">
        <v>20</v>
      </c>
      <c r="N4" s="5" t="n">
        <v>5</v>
      </c>
      <c r="O4" s="5" t="n">
        <v>5</v>
      </c>
      <c r="P4" s="6" t="n">
        <v>201.002072</v>
      </c>
      <c r="Q4" s="6" t="n">
        <v>201.002072</v>
      </c>
      <c r="R4" s="13" t="n">
        <v>0.95</v>
      </c>
      <c r="S4" s="6" t="n">
        <v>0.2</v>
      </c>
      <c r="T4" s="5" t="n">
        <v>25000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</row>
    <row r="5">
      <c r="A5" s="3" t="inlineStr">
        <is>
          <t>EU27.Batteries</t>
        </is>
      </c>
      <c r="B5" s="7" t="n">
        <v>35000</v>
      </c>
      <c r="C5" s="7" t="n">
        <v>0</v>
      </c>
      <c r="D5" t="n">
        <v>50</v>
      </c>
      <c r="E5" s="5" t="n">
        <v>0.25</v>
      </c>
      <c r="F5" s="5" t="n">
        <v>0</v>
      </c>
      <c r="G5" s="6" t="n">
        <v>50000</v>
      </c>
      <c r="H5" s="5" t="n">
        <v>0</v>
      </c>
      <c r="I5" s="6" t="n">
        <v>0.3</v>
      </c>
      <c r="J5" s="6" t="n">
        <v>0.3</v>
      </c>
      <c r="K5" s="5" t="n">
        <v>0.5</v>
      </c>
      <c r="L5" s="5" t="n">
        <v>0.8</v>
      </c>
      <c r="M5" t="n">
        <v>30</v>
      </c>
      <c r="N5" s="5" t="n">
        <v>5</v>
      </c>
      <c r="O5" s="5" t="n">
        <v>5</v>
      </c>
      <c r="P5" s="6" t="n">
        <v>0</v>
      </c>
      <c r="Q5" s="6" t="n">
        <v>0</v>
      </c>
      <c r="R5" s="13" t="n">
        <v>0.7</v>
      </c>
      <c r="S5" s="6" t="n">
        <v>0.2744</v>
      </c>
      <c r="T5" s="5" t="n">
        <v>25000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</row>
    <row r="6">
      <c r="A6" s="3" t="n"/>
    </row>
    <row r="7">
      <c r="A7" s="3" t="n"/>
    </row>
    <row r="8">
      <c r="A8" s="3" t="n"/>
    </row>
    <row r="9">
      <c r="A9" s="3" t="n"/>
    </row>
    <row r="10">
      <c r="A10" s="3" t="n"/>
    </row>
    <row r="11">
      <c r="A11" s="3" t="n"/>
    </row>
    <row r="12">
      <c r="A12" s="3" t="n"/>
    </row>
    <row r="13">
      <c r="A13" s="3" t="n"/>
    </row>
    <row r="14">
      <c r="A14" s="3" t="n"/>
    </row>
    <row r="15">
      <c r="A15" s="3" t="n"/>
    </row>
    <row r="16">
      <c r="A16" s="3" t="n"/>
    </row>
    <row r="17">
      <c r="A17" s="3" t="n"/>
    </row>
    <row r="18">
      <c r="A18" s="3" t="n"/>
    </row>
  </sheetData>
  <pageMargins left="0.7" right="0.7" top="0.787401575" bottom="0.7874015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O11" sqref="O11"/>
    </sheetView>
  </sheetViews>
  <sheetFormatPr baseColWidth="10" defaultRowHeight="15"/>
  <sheetData>
    <row r="1">
      <c r="A1" t="inlineStr">
        <is>
          <t>Year</t>
        </is>
      </c>
      <c r="B1" t="inlineStr">
        <is>
          <t>solarPV</t>
        </is>
      </c>
      <c r="C1" t="inlineStr">
        <is>
          <t>windon</t>
        </is>
      </c>
      <c r="D1" t="inlineStr">
        <is>
          <t>windoff</t>
        </is>
      </c>
      <c r="H1" s="23" t="inlineStr">
        <is>
          <t>Installed wind energy capacity</t>
        </is>
      </c>
    </row>
    <row r="2">
      <c r="A2" t="n">
        <v>2024</v>
      </c>
      <c r="B2" t="n">
        <v>978.381998026</v>
      </c>
      <c r="C2" t="n">
        <v>5800</v>
      </c>
      <c r="D2" t="n">
        <v>100</v>
      </c>
    </row>
    <row r="3">
      <c r="A3" t="n">
        <v>2025</v>
      </c>
      <c r="B3" t="n">
        <v>1299.885202244</v>
      </c>
      <c r="C3" t="n">
        <v>5510</v>
      </c>
      <c r="D3" t="n">
        <v>100</v>
      </c>
    </row>
    <row r="4">
      <c r="A4" t="n">
        <v>2026</v>
      </c>
      <c r="B4" t="n">
        <v>2471.383808256</v>
      </c>
      <c r="C4" t="n">
        <v>6730</v>
      </c>
      <c r="D4" t="n">
        <v>100</v>
      </c>
    </row>
    <row r="5">
      <c r="A5" t="n">
        <v>2027</v>
      </c>
      <c r="B5" t="n">
        <v>6469.080604579002</v>
      </c>
      <c r="C5" t="n">
        <v>7630</v>
      </c>
      <c r="D5" t="n">
        <v>200</v>
      </c>
    </row>
    <row r="6">
      <c r="A6" t="n">
        <v>2028</v>
      </c>
      <c r="B6" t="n">
        <v>7645.58760545</v>
      </c>
      <c r="C6" t="n">
        <v>6440</v>
      </c>
      <c r="D6" t="n">
        <v>250</v>
      </c>
    </row>
    <row r="7">
      <c r="A7" t="n">
        <v>2029</v>
      </c>
      <c r="B7" t="n">
        <v>15830.97403172</v>
      </c>
      <c r="C7" t="n">
        <v>10440</v>
      </c>
      <c r="D7" t="n">
        <v>300</v>
      </c>
    </row>
    <row r="8">
      <c r="A8" t="n">
        <v>2030</v>
      </c>
      <c r="B8" t="n">
        <v>24666.21393527499</v>
      </c>
      <c r="C8" t="n">
        <v>7830</v>
      </c>
      <c r="D8" t="n">
        <v>250</v>
      </c>
    </row>
    <row r="9">
      <c r="A9" t="n">
        <v>2031</v>
      </c>
      <c r="B9" t="n">
        <v>20049.64031760999</v>
      </c>
      <c r="C9" t="n">
        <v>7970</v>
      </c>
      <c r="D9" t="n">
        <v>500</v>
      </c>
    </row>
    <row r="10">
      <c r="A10" t="n">
        <v>2032</v>
      </c>
      <c r="B10" t="n">
        <v>13100.92675722</v>
      </c>
      <c r="C10" t="n">
        <v>9150</v>
      </c>
      <c r="D10" t="n">
        <v>600</v>
      </c>
    </row>
    <row r="11">
      <c r="A11" t="n">
        <v>2033</v>
      </c>
      <c r="B11" t="n">
        <v>7005.038790819997</v>
      </c>
      <c r="C11" t="n">
        <v>7780</v>
      </c>
      <c r="D11" t="n">
        <v>700</v>
      </c>
    </row>
    <row r="12">
      <c r="A12" t="n">
        <v>2034</v>
      </c>
      <c r="B12" t="n">
        <v>7489.445197020003</v>
      </c>
      <c r="C12" t="n">
        <v>9090</v>
      </c>
      <c r="D12" t="n">
        <v>900</v>
      </c>
    </row>
    <row r="13">
      <c r="A13" t="n">
        <v>2035</v>
      </c>
      <c r="B13" t="n">
        <v>10467.74252102</v>
      </c>
      <c r="C13" t="n">
        <v>10150</v>
      </c>
      <c r="D13" t="n">
        <v>1400</v>
      </c>
    </row>
    <row r="14">
      <c r="A14" t="n">
        <v>2036</v>
      </c>
      <c r="B14" t="n">
        <v>8872.042999019997</v>
      </c>
      <c r="C14" t="n">
        <v>9600</v>
      </c>
      <c r="D14" t="n">
        <v>1200</v>
      </c>
    </row>
    <row r="15">
      <c r="A15" t="n">
        <v>2037</v>
      </c>
      <c r="B15" t="n">
        <v>12362.18724902</v>
      </c>
      <c r="C15" t="n">
        <v>9440</v>
      </c>
      <c r="D15" t="n">
        <v>1500</v>
      </c>
    </row>
    <row r="16">
      <c r="A16" t="n">
        <v>2038</v>
      </c>
      <c r="B16" t="n">
        <v>24865.88241022</v>
      </c>
      <c r="C16" t="n">
        <v>6900</v>
      </c>
      <c r="D16" t="n">
        <v>1400</v>
      </c>
    </row>
    <row r="17">
      <c r="A17" t="n">
        <v>2039</v>
      </c>
      <c r="B17" t="n">
        <v>23840.87600052</v>
      </c>
      <c r="C17" t="n">
        <v>7830</v>
      </c>
      <c r="D17" t="n">
        <v>2100</v>
      </c>
    </row>
    <row r="18">
      <c r="A18" t="n">
        <v>2040</v>
      </c>
      <c r="B18" t="n">
        <v>29360</v>
      </c>
      <c r="C18" t="n">
        <v>7230</v>
      </c>
      <c r="D18" t="n">
        <v>2700</v>
      </c>
    </row>
    <row r="19">
      <c r="A19" t="n">
        <v>2041</v>
      </c>
      <c r="B19" t="n">
        <v>34880</v>
      </c>
      <c r="C19" t="n">
        <v>9860</v>
      </c>
      <c r="D19" t="n">
        <v>1000</v>
      </c>
    </row>
    <row r="20">
      <c r="A20" t="n">
        <v>2042</v>
      </c>
      <c r="B20" t="n">
        <v>40400</v>
      </c>
      <c r="C20" t="n">
        <v>14890</v>
      </c>
      <c r="D20" t="n">
        <v>800</v>
      </c>
    </row>
    <row r="21">
      <c r="A21" t="n">
        <v>2043</v>
      </c>
      <c r="B21" t="n">
        <v>45920</v>
      </c>
      <c r="C21" t="n">
        <v>13340</v>
      </c>
      <c r="D21" t="n">
        <v>1900</v>
      </c>
    </row>
    <row r="22">
      <c r="A22" t="n">
        <v>2044</v>
      </c>
      <c r="B22" t="n">
        <v>51440</v>
      </c>
      <c r="C22" s="7" t="n">
        <v>11210</v>
      </c>
      <c r="D22" s="7" t="n">
        <v>1200</v>
      </c>
    </row>
    <row r="23">
      <c r="A23" t="n">
        <v>2045</v>
      </c>
      <c r="B23" t="n">
        <v>56960</v>
      </c>
      <c r="C23" t="n">
        <v>0</v>
      </c>
      <c r="D23" t="n">
        <v>0</v>
      </c>
    </row>
    <row r="24">
      <c r="A24" t="n">
        <v>2046</v>
      </c>
      <c r="B24" t="n">
        <v>62480</v>
      </c>
      <c r="C24" t="n">
        <v>0</v>
      </c>
      <c r="D24" t="n">
        <v>0</v>
      </c>
    </row>
    <row r="25">
      <c r="A25" t="n">
        <v>2047</v>
      </c>
      <c r="B25" t="n">
        <v>68000</v>
      </c>
      <c r="C25" t="n">
        <v>0</v>
      </c>
      <c r="D25" t="n">
        <v>0</v>
      </c>
    </row>
    <row r="26">
      <c r="A26" t="n">
        <v>2048</v>
      </c>
      <c r="B26" t="n">
        <v>0</v>
      </c>
      <c r="C26" t="n">
        <v>0</v>
      </c>
      <c r="D26" t="n">
        <v>0</v>
      </c>
    </row>
    <row r="27">
      <c r="A27" t="n">
        <v>2049</v>
      </c>
      <c r="B27" t="n">
        <v>0</v>
      </c>
      <c r="C27" t="n">
        <v>0</v>
      </c>
      <c r="D27" t="n">
        <v>0</v>
      </c>
    </row>
    <row r="28">
      <c r="A28" t="n">
        <v>2050</v>
      </c>
      <c r="B28" t="n">
        <v>0</v>
      </c>
      <c r="C28" t="n">
        <v>0</v>
      </c>
      <c r="D28" t="n">
        <v>0</v>
      </c>
    </row>
  </sheetData>
  <hyperlinks>
    <hyperlink xmlns:r="http://schemas.openxmlformats.org/officeDocument/2006/relationships" ref="H1" display="https://ourworldindata.org/grapher/cumulative-installed-wind-energy-capacity-gigawatts?time=earliest..2024&amp;country=~OWID_EU27&amp;tableFilter=countries" r:id="rId1"/>
  </hyperlinks>
  <pageMargins left="0.7" right="0.7" top="0.787401575" bottom="0.7874015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C5" sqref="C5"/>
    </sheetView>
  </sheetViews>
  <sheetFormatPr baseColWidth="10" defaultRowHeight="15"/>
  <sheetData>
    <row r="1">
      <c r="A1" t="inlineStr">
        <is>
          <t>Stf</t>
        </is>
      </c>
      <c r="B1" s="3" t="inlineStr">
        <is>
          <t>EU27_solarPV</t>
        </is>
      </c>
      <c r="C1" s="3" t="inlineStr">
        <is>
          <t>EU27_windoff</t>
        </is>
      </c>
      <c r="D1" s="3" t="inlineStr">
        <is>
          <t>EU27_windon</t>
        </is>
      </c>
      <c r="E1" s="3" t="inlineStr">
        <is>
          <t>EU27_Batteries</t>
        </is>
      </c>
    </row>
    <row r="2">
      <c r="A2" t="n">
        <v>2024</v>
      </c>
      <c r="B2" t="n">
        <v>0.02</v>
      </c>
      <c r="C2" t="n">
        <v>0.02</v>
      </c>
      <c r="D2" t="n">
        <v>0.02</v>
      </c>
      <c r="E2" t="n">
        <v>0.02</v>
      </c>
    </row>
    <row r="3">
      <c r="A3" t="n">
        <v>2025</v>
      </c>
      <c r="B3" s="2" t="n">
        <v>0.0222</v>
      </c>
      <c r="C3" s="2" t="n">
        <v>0.0222</v>
      </c>
      <c r="D3" s="2" t="n">
        <v>0.0222</v>
      </c>
      <c r="E3" s="2" t="n">
        <v>0.0222</v>
      </c>
    </row>
    <row r="4">
      <c r="A4" t="n">
        <v>2026</v>
      </c>
      <c r="B4" s="2" t="n">
        <v>0.0244</v>
      </c>
      <c r="C4" s="2" t="n">
        <v>0.0244</v>
      </c>
      <c r="D4" s="2" t="n">
        <v>0.0244</v>
      </c>
      <c r="E4" s="2" t="n">
        <v>0.0244</v>
      </c>
    </row>
    <row r="5">
      <c r="A5" t="n">
        <v>2027</v>
      </c>
      <c r="B5" s="2" t="n">
        <v>0.0266</v>
      </c>
      <c r="C5" s="2" t="n">
        <v>0.0266</v>
      </c>
      <c r="D5" s="2" t="n">
        <v>0.0266</v>
      </c>
      <c r="E5" s="2" t="n">
        <v>0.0266</v>
      </c>
    </row>
    <row r="6">
      <c r="A6" t="n">
        <v>2028</v>
      </c>
      <c r="B6" s="2" t="n">
        <v>0.0288</v>
      </c>
      <c r="C6" s="2" t="n">
        <v>0.0288</v>
      </c>
      <c r="D6" s="2" t="n">
        <v>0.0288</v>
      </c>
      <c r="E6" s="2" t="n">
        <v>0.0288</v>
      </c>
    </row>
    <row r="7">
      <c r="A7" t="n">
        <v>2029</v>
      </c>
      <c r="B7" s="2" t="n">
        <v>0.031</v>
      </c>
      <c r="C7" s="2" t="n">
        <v>0.031</v>
      </c>
      <c r="D7" s="2" t="n">
        <v>0.031</v>
      </c>
      <c r="E7" s="2" t="n">
        <v>0.031</v>
      </c>
    </row>
    <row r="8">
      <c r="A8" t="n">
        <v>2030</v>
      </c>
      <c r="B8" s="2" t="n">
        <v>0.0332</v>
      </c>
      <c r="C8" s="2" t="n">
        <v>0.0332</v>
      </c>
      <c r="D8" s="2" t="n">
        <v>0.0332</v>
      </c>
      <c r="E8" s="2" t="n">
        <v>0.0332</v>
      </c>
    </row>
    <row r="9">
      <c r="A9" t="n">
        <v>2031</v>
      </c>
      <c r="B9" s="2" t="n">
        <v>0.0354</v>
      </c>
      <c r="C9" s="2" t="n">
        <v>0.0354</v>
      </c>
      <c r="D9" s="2" t="n">
        <v>0.0354</v>
      </c>
      <c r="E9" s="2" t="n">
        <v>0.0354</v>
      </c>
    </row>
    <row r="10">
      <c r="A10" t="n">
        <v>2032</v>
      </c>
      <c r="B10" s="2" t="n">
        <v>0.0376</v>
      </c>
      <c r="C10" s="2" t="n">
        <v>0.0376</v>
      </c>
      <c r="D10" s="2" t="n">
        <v>0.0376</v>
      </c>
      <c r="E10" s="2" t="n">
        <v>0.0376</v>
      </c>
    </row>
    <row r="11">
      <c r="A11" t="n">
        <v>2033</v>
      </c>
      <c r="B11" s="2" t="n">
        <v>0.0398</v>
      </c>
      <c r="C11" s="2" t="n">
        <v>0.0398</v>
      </c>
      <c r="D11" s="2" t="n">
        <v>0.0398</v>
      </c>
      <c r="E11" s="2" t="n">
        <v>0.0398</v>
      </c>
    </row>
    <row r="12">
      <c r="A12" t="n">
        <v>2034</v>
      </c>
      <c r="B12" s="2" t="n">
        <v>0.0398</v>
      </c>
      <c r="C12" s="2" t="n">
        <v>0.0398</v>
      </c>
      <c r="D12" s="2" t="n">
        <v>0.0398</v>
      </c>
      <c r="E12" s="2" t="n">
        <v>0.0398</v>
      </c>
    </row>
    <row r="13">
      <c r="A13" t="n">
        <v>2035</v>
      </c>
      <c r="B13" s="2" t="n">
        <v>0.042</v>
      </c>
      <c r="C13" s="2" t="n">
        <v>0.042</v>
      </c>
      <c r="D13" s="2" t="n">
        <v>0.042</v>
      </c>
      <c r="E13" s="2" t="n">
        <v>0.042</v>
      </c>
    </row>
    <row r="14">
      <c r="A14" t="n">
        <v>2036</v>
      </c>
      <c r="B14" s="2" t="n">
        <v>0.0442</v>
      </c>
      <c r="C14" s="2" t="n">
        <v>0.0442</v>
      </c>
      <c r="D14" s="2" t="n">
        <v>0.0442</v>
      </c>
      <c r="E14" s="2" t="n">
        <v>0.0442</v>
      </c>
    </row>
    <row r="15">
      <c r="A15" t="n">
        <v>2037</v>
      </c>
      <c r="B15" s="2" t="n">
        <v>0.0464</v>
      </c>
      <c r="C15" s="2" t="n">
        <v>0.0464</v>
      </c>
      <c r="D15" s="2" t="n">
        <v>0.0464</v>
      </c>
      <c r="E15" s="2" t="n">
        <v>0.0464</v>
      </c>
    </row>
    <row r="16">
      <c r="A16" t="n">
        <v>2038</v>
      </c>
      <c r="B16" s="2" t="n">
        <v>0.0486</v>
      </c>
      <c r="C16" s="2" t="n">
        <v>0.0486</v>
      </c>
      <c r="D16" s="2" t="n">
        <v>0.0486</v>
      </c>
      <c r="E16" s="2" t="n">
        <v>0.0486</v>
      </c>
    </row>
    <row r="17">
      <c r="A17" t="n">
        <v>2039</v>
      </c>
      <c r="B17" s="2" t="n">
        <v>0.0508</v>
      </c>
      <c r="C17" s="2" t="n">
        <v>0.0508</v>
      </c>
      <c r="D17" s="2" t="n">
        <v>0.0508</v>
      </c>
      <c r="E17" s="2" t="n">
        <v>0.0508</v>
      </c>
    </row>
    <row r="18">
      <c r="A18" t="n">
        <v>2040</v>
      </c>
      <c r="B18" s="2" t="n">
        <v>0.053</v>
      </c>
      <c r="C18" s="2" t="n">
        <v>0.053</v>
      </c>
      <c r="D18" s="2" t="n">
        <v>0.053</v>
      </c>
      <c r="E18" s="2" t="n">
        <v>0.053</v>
      </c>
    </row>
    <row r="19">
      <c r="A19" t="n">
        <v>2041</v>
      </c>
      <c r="B19" s="2" t="n">
        <v>0.0552</v>
      </c>
      <c r="C19" s="2" t="n">
        <v>0.0552</v>
      </c>
      <c r="D19" s="2" t="n">
        <v>0.0552</v>
      </c>
      <c r="E19" s="2" t="n">
        <v>0.0552</v>
      </c>
    </row>
    <row r="20">
      <c r="A20" t="n">
        <v>2042</v>
      </c>
      <c r="B20" s="2" t="n">
        <v>0.0574</v>
      </c>
      <c r="C20" s="2" t="n">
        <v>0.0574</v>
      </c>
      <c r="D20" s="2" t="n">
        <v>0.0574</v>
      </c>
      <c r="E20" s="2" t="n">
        <v>0.0574</v>
      </c>
    </row>
    <row r="21">
      <c r="A21" t="n">
        <v>2043</v>
      </c>
      <c r="B21" s="2" t="n">
        <v>0.0596</v>
      </c>
      <c r="C21" s="2" t="n">
        <v>0.0596</v>
      </c>
      <c r="D21" s="2" t="n">
        <v>0.0596</v>
      </c>
      <c r="E21" s="2" t="n">
        <v>0.0596</v>
      </c>
    </row>
    <row r="22">
      <c r="A22" t="n">
        <v>2044</v>
      </c>
      <c r="B22" s="2" t="n">
        <v>0.0618</v>
      </c>
      <c r="C22" s="2" t="n">
        <v>0.0618</v>
      </c>
      <c r="D22" s="2" t="n">
        <v>0.0618</v>
      </c>
      <c r="E22" s="2" t="n">
        <v>0.0618</v>
      </c>
    </row>
    <row r="23">
      <c r="A23" t="n">
        <v>2045</v>
      </c>
      <c r="B23" s="2" t="n">
        <v>0.064</v>
      </c>
      <c r="C23" s="2" t="n">
        <v>0.064</v>
      </c>
      <c r="D23" s="2" t="n">
        <v>0.064</v>
      </c>
      <c r="E23" s="2" t="n">
        <v>0.064</v>
      </c>
    </row>
    <row r="24">
      <c r="A24" t="n">
        <v>2046</v>
      </c>
      <c r="B24" s="2" t="n">
        <v>0.06619999999999999</v>
      </c>
      <c r="C24" s="2" t="n">
        <v>0.06619999999999999</v>
      </c>
      <c r="D24" s="2" t="n">
        <v>0.06619999999999999</v>
      </c>
      <c r="E24" s="2" t="n">
        <v>0.06619999999999999</v>
      </c>
    </row>
    <row r="25">
      <c r="A25" t="n">
        <v>2047</v>
      </c>
      <c r="B25" s="2" t="n">
        <v>0.0684</v>
      </c>
      <c r="C25" s="2" t="n">
        <v>0.0684</v>
      </c>
      <c r="D25" s="2" t="n">
        <v>0.0684</v>
      </c>
      <c r="E25" s="2" t="n">
        <v>0.0684</v>
      </c>
    </row>
    <row r="26">
      <c r="A26" t="n">
        <v>2048</v>
      </c>
      <c r="B26" s="2" t="n">
        <v>0.0706</v>
      </c>
      <c r="C26" s="2" t="n">
        <v>0.0706</v>
      </c>
      <c r="D26" s="2" t="n">
        <v>0.0706</v>
      </c>
      <c r="E26" s="2" t="n">
        <v>0.0706</v>
      </c>
    </row>
    <row r="27">
      <c r="A27" t="n">
        <v>2049</v>
      </c>
      <c r="B27" s="2" t="n">
        <v>0.0728</v>
      </c>
      <c r="C27" s="2" t="n">
        <v>0.0728</v>
      </c>
      <c r="D27" s="2" t="n">
        <v>0.0728</v>
      </c>
      <c r="E27" s="2" t="n">
        <v>0.0728</v>
      </c>
    </row>
    <row r="28">
      <c r="A28" t="n">
        <v>2050</v>
      </c>
      <c r="B28" t="n">
        <v>0.075</v>
      </c>
      <c r="C28" t="n">
        <v>0.075</v>
      </c>
      <c r="D28" t="n">
        <v>0.075</v>
      </c>
      <c r="E28" t="n">
        <v>0.075</v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B12" sqref="B12"/>
    </sheetView>
  </sheetViews>
  <sheetFormatPr baseColWidth="10" defaultRowHeight="15"/>
  <sheetData>
    <row r="1">
      <c r="A1" t="inlineStr">
        <is>
          <t>Stf</t>
        </is>
      </c>
      <c r="B1" s="3" t="inlineStr">
        <is>
          <t>EU27_solarPV</t>
        </is>
      </c>
      <c r="C1" s="3" t="inlineStr">
        <is>
          <t>EU27_windoff</t>
        </is>
      </c>
      <c r="D1" s="3" t="inlineStr">
        <is>
          <t>EU27_windon</t>
        </is>
      </c>
      <c r="E1" s="3" t="inlineStr">
        <is>
          <t>EU27_Batteries</t>
        </is>
      </c>
    </row>
    <row r="2">
      <c r="A2" t="n">
        <v>2024</v>
      </c>
      <c r="B2" t="n">
        <v>26229.70772</v>
      </c>
      <c r="C2" t="n">
        <v>26229.70772</v>
      </c>
      <c r="D2" t="n">
        <v>26229.70772</v>
      </c>
      <c r="E2" t="n">
        <v>26229.70772</v>
      </c>
    </row>
    <row r="3">
      <c r="A3" t="n">
        <v>2025</v>
      </c>
      <c r="B3" t="n">
        <v>26589.17467</v>
      </c>
      <c r="C3" t="n">
        <v>26589.17467</v>
      </c>
      <c r="D3" t="n">
        <v>26589.17467</v>
      </c>
      <c r="E3" t="n">
        <v>26589.17467</v>
      </c>
    </row>
    <row r="4">
      <c r="A4" t="n">
        <v>2026</v>
      </c>
      <c r="B4" t="n">
        <v>60431.69513</v>
      </c>
      <c r="C4" t="n">
        <v>60431.69513</v>
      </c>
      <c r="D4" t="n">
        <v>60431.69513</v>
      </c>
      <c r="E4" t="n">
        <v>60431.69513</v>
      </c>
    </row>
    <row r="5">
      <c r="A5" t="n">
        <v>2027</v>
      </c>
      <c r="B5" t="n">
        <v>95314.19513000001</v>
      </c>
      <c r="C5" t="n">
        <v>95314.19513000001</v>
      </c>
      <c r="D5" t="n">
        <v>95314.19513000001</v>
      </c>
      <c r="E5" t="n">
        <v>95314.19513000001</v>
      </c>
    </row>
    <row r="6">
      <c r="A6" t="n">
        <v>2028</v>
      </c>
      <c r="B6" t="n">
        <v>130196.6951</v>
      </c>
      <c r="C6" t="n">
        <v>130196.6951</v>
      </c>
      <c r="D6" t="n">
        <v>130196.6951</v>
      </c>
      <c r="E6" t="n">
        <v>130196.6951</v>
      </c>
    </row>
    <row r="7">
      <c r="A7" t="n">
        <v>2029</v>
      </c>
      <c r="B7" t="n">
        <v>165780.465</v>
      </c>
      <c r="C7" t="n">
        <v>165780.465</v>
      </c>
      <c r="D7" t="n">
        <v>165780.465</v>
      </c>
      <c r="E7" t="n">
        <v>165780.465</v>
      </c>
    </row>
    <row r="8">
      <c r="A8" t="n">
        <v>2030</v>
      </c>
      <c r="B8" t="n">
        <v>179750.5488</v>
      </c>
      <c r="C8" t="n">
        <v>179750.5488</v>
      </c>
      <c r="D8" t="n">
        <v>179750.5488</v>
      </c>
      <c r="E8" t="n">
        <v>179750.5488</v>
      </c>
    </row>
    <row r="9">
      <c r="A9" t="n">
        <v>2031</v>
      </c>
      <c r="B9" t="n">
        <v>195610.7611</v>
      </c>
      <c r="C9" t="n">
        <v>195610.7611</v>
      </c>
      <c r="D9" t="n">
        <v>195610.7611</v>
      </c>
      <c r="E9" t="n">
        <v>195610.7611</v>
      </c>
    </row>
    <row r="10">
      <c r="A10" t="n">
        <v>2032</v>
      </c>
      <c r="B10" t="n">
        <v>196499.7234</v>
      </c>
      <c r="C10" t="n">
        <v>196499.7234</v>
      </c>
      <c r="D10" t="n">
        <v>196499.7234</v>
      </c>
      <c r="E10" t="n">
        <v>196499.7234</v>
      </c>
    </row>
    <row r="11">
      <c r="A11" t="n">
        <v>2033</v>
      </c>
      <c r="B11" t="n">
        <v>198853.9976</v>
      </c>
      <c r="C11" t="n">
        <v>198853.9976</v>
      </c>
      <c r="D11" t="n">
        <v>198853.9976</v>
      </c>
      <c r="E11" t="n">
        <v>198853.9976</v>
      </c>
    </row>
    <row r="12">
      <c r="A12" t="n">
        <v>2034</v>
      </c>
      <c r="B12" t="n">
        <v>202089.0058</v>
      </c>
      <c r="C12" t="n">
        <v>202089.0058</v>
      </c>
      <c r="D12" t="n">
        <v>202089.0058</v>
      </c>
      <c r="E12" t="n">
        <v>202089.0058</v>
      </c>
    </row>
    <row r="13">
      <c r="A13" t="n">
        <v>2035</v>
      </c>
      <c r="B13" t="n">
        <v>164077.8836</v>
      </c>
      <c r="C13" t="n">
        <v>164077.8836</v>
      </c>
      <c r="D13" t="n">
        <v>164077.8836</v>
      </c>
      <c r="E13" t="n">
        <v>164077.8836</v>
      </c>
    </row>
    <row r="14">
      <c r="A14" t="n">
        <v>2036</v>
      </c>
      <c r="B14" t="n">
        <v>126654.4977</v>
      </c>
      <c r="C14" t="n">
        <v>126654.4977</v>
      </c>
      <c r="D14" t="n">
        <v>126654.4977</v>
      </c>
      <c r="E14" t="n">
        <v>126654.4977</v>
      </c>
    </row>
    <row r="15">
      <c r="A15" t="n">
        <v>2037</v>
      </c>
      <c r="B15" t="n">
        <v>90701.34478</v>
      </c>
      <c r="C15" t="n">
        <v>90701.34478</v>
      </c>
      <c r="D15" t="n">
        <v>90701.34478</v>
      </c>
      <c r="E15" t="n">
        <v>90701.34478</v>
      </c>
    </row>
    <row r="16">
      <c r="A16" t="n">
        <v>2038</v>
      </c>
      <c r="B16" t="n">
        <v>57298.53838</v>
      </c>
      <c r="C16" t="n">
        <v>57298.53838</v>
      </c>
      <c r="D16" t="n">
        <v>57298.53838</v>
      </c>
      <c r="E16" t="n">
        <v>57298.53838</v>
      </c>
    </row>
    <row r="17">
      <c r="A17" t="n">
        <v>2039</v>
      </c>
      <c r="B17" t="n">
        <v>40938.3227</v>
      </c>
      <c r="C17" t="n">
        <v>40938.3227</v>
      </c>
      <c r="D17" t="n">
        <v>40938.3227</v>
      </c>
      <c r="E17" t="n">
        <v>40938.3227</v>
      </c>
    </row>
    <row r="18">
      <c r="A18" t="n">
        <v>2040</v>
      </c>
      <c r="B18" t="n">
        <v>30788.29641</v>
      </c>
      <c r="C18" t="n">
        <v>30788.29641</v>
      </c>
      <c r="D18" t="n">
        <v>30788.29641</v>
      </c>
      <c r="E18" t="n">
        <v>30788.29641</v>
      </c>
    </row>
    <row r="19">
      <c r="A19" t="n">
        <v>2041</v>
      </c>
      <c r="B19" t="n">
        <v>28368.05408</v>
      </c>
      <c r="C19" t="n">
        <v>28368.05408</v>
      </c>
      <c r="D19" t="n">
        <v>28368.05408</v>
      </c>
      <c r="E19" t="n">
        <v>28368.05408</v>
      </c>
    </row>
    <row r="20">
      <c r="A20" t="n">
        <v>2042</v>
      </c>
      <c r="B20" t="n">
        <v>31250.81408</v>
      </c>
      <c r="C20" t="n">
        <v>31250.81408</v>
      </c>
      <c r="D20" t="n">
        <v>31250.81408</v>
      </c>
      <c r="E20" t="n">
        <v>31250.81408</v>
      </c>
    </row>
    <row r="21">
      <c r="A21" t="n">
        <v>2043</v>
      </c>
      <c r="B21" t="n">
        <v>34011.35016</v>
      </c>
      <c r="C21" t="n">
        <v>34011.35016</v>
      </c>
      <c r="D21" t="n">
        <v>34011.35016</v>
      </c>
      <c r="E21" t="n">
        <v>34011.35016</v>
      </c>
    </row>
    <row r="22">
      <c r="A22" t="n">
        <v>2044</v>
      </c>
      <c r="B22" t="n">
        <v>35066.67502</v>
      </c>
      <c r="C22" t="n">
        <v>35066.67502</v>
      </c>
      <c r="D22" t="n">
        <v>35066.67502</v>
      </c>
      <c r="E22" t="n">
        <v>35066.67502</v>
      </c>
    </row>
    <row r="23">
      <c r="A23" t="n">
        <v>2045</v>
      </c>
      <c r="B23" t="n">
        <v>33453.54359</v>
      </c>
      <c r="C23" t="n">
        <v>33453.54359</v>
      </c>
      <c r="D23" t="n">
        <v>33453.54359</v>
      </c>
      <c r="E23" t="n">
        <v>33453.54359</v>
      </c>
    </row>
    <row r="24">
      <c r="A24" t="n">
        <v>2046</v>
      </c>
      <c r="B24" t="n">
        <v>25310.30189</v>
      </c>
      <c r="C24" t="n">
        <v>25310.30189</v>
      </c>
      <c r="D24" t="n">
        <v>25310.30189</v>
      </c>
      <c r="E24" t="n">
        <v>25310.30189</v>
      </c>
    </row>
    <row r="25">
      <c r="A25" t="n">
        <v>2047</v>
      </c>
      <c r="B25" t="n">
        <v>11877.08452</v>
      </c>
      <c r="C25" t="n">
        <v>11877.08452</v>
      </c>
      <c r="D25" t="n">
        <v>11877.08452</v>
      </c>
      <c r="E25" t="n">
        <v>11877.08452</v>
      </c>
    </row>
    <row r="26">
      <c r="A26" t="n">
        <v>2048</v>
      </c>
      <c r="B26" t="n">
        <v>0</v>
      </c>
      <c r="C26" t="n">
        <v>0</v>
      </c>
      <c r="D26" t="n">
        <v>0</v>
      </c>
      <c r="E26" t="n">
        <v>0</v>
      </c>
    </row>
    <row r="27">
      <c r="A27" t="n">
        <v>2049</v>
      </c>
      <c r="B27" t="n">
        <v>0</v>
      </c>
      <c r="C27" t="n">
        <v>0</v>
      </c>
      <c r="D27" t="n">
        <v>0</v>
      </c>
      <c r="E27" t="n">
        <v>0</v>
      </c>
    </row>
    <row r="28">
      <c r="A28" t="n">
        <v>2050</v>
      </c>
      <c r="B28" t="n">
        <v>0</v>
      </c>
      <c r="C28" t="n">
        <v>0</v>
      </c>
      <c r="D28" t="n">
        <v>0</v>
      </c>
      <c r="E28" t="n">
        <v>0</v>
      </c>
    </row>
  </sheetData>
  <pageMargins left="0.7" right="0.7" top="0.787401575" bottom="0.7874015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O19" sqref="O19"/>
    </sheetView>
  </sheetViews>
  <sheetFormatPr baseColWidth="10" defaultRowHeight="15"/>
  <sheetData>
    <row r="1">
      <c r="A1" t="inlineStr">
        <is>
          <t>Stf</t>
        </is>
      </c>
      <c r="B1" s="3" t="inlineStr">
        <is>
          <t>EU27_solarPV</t>
        </is>
      </c>
      <c r="C1" s="3" t="inlineStr">
        <is>
          <t>EU27_windoff</t>
        </is>
      </c>
      <c r="D1" s="3" t="inlineStr">
        <is>
          <t>EU27_windon</t>
        </is>
      </c>
      <c r="E1" s="3" t="inlineStr">
        <is>
          <t>EU27_Batteries</t>
        </is>
      </c>
    </row>
    <row r="2">
      <c r="A2" t="n">
        <v>2024</v>
      </c>
      <c r="B2" t="n">
        <v>65500</v>
      </c>
      <c r="C2" t="n">
        <v>2100</v>
      </c>
      <c r="D2" t="n">
        <v>15280</v>
      </c>
      <c r="E2" t="n">
        <v>999999</v>
      </c>
    </row>
    <row r="3">
      <c r="A3" t="n">
        <v>2025</v>
      </c>
      <c r="B3" t="n">
        <v>68120</v>
      </c>
      <c r="C3" t="n">
        <v>2100</v>
      </c>
      <c r="D3" t="n">
        <v>15280</v>
      </c>
      <c r="E3" t="n">
        <v>999999</v>
      </c>
    </row>
    <row r="4">
      <c r="A4" t="n">
        <v>2026</v>
      </c>
      <c r="B4" t="n">
        <v>70844.8</v>
      </c>
      <c r="C4" t="n">
        <v>3960</v>
      </c>
      <c r="D4" t="n">
        <v>15850</v>
      </c>
      <c r="E4" t="n">
        <v>999999</v>
      </c>
    </row>
    <row r="5">
      <c r="A5" t="n">
        <v>2027</v>
      </c>
      <c r="B5" t="n">
        <v>73678.592</v>
      </c>
      <c r="C5" t="n">
        <v>3420</v>
      </c>
      <c r="D5" t="n">
        <v>18700</v>
      </c>
      <c r="E5" t="n">
        <v>999999</v>
      </c>
    </row>
    <row r="6">
      <c r="A6" t="n">
        <v>2028</v>
      </c>
      <c r="B6" t="n">
        <v>76625.73568000001</v>
      </c>
      <c r="C6" t="n">
        <v>4990</v>
      </c>
      <c r="D6" t="n">
        <v>20440</v>
      </c>
      <c r="E6" t="n">
        <v>999999</v>
      </c>
    </row>
    <row r="7">
      <c r="A7" t="n">
        <v>2029</v>
      </c>
      <c r="B7" t="n">
        <v>79690.7651072</v>
      </c>
      <c r="C7" t="n">
        <v>6410</v>
      </c>
      <c r="D7" t="n">
        <v>20900</v>
      </c>
      <c r="E7" t="n">
        <v>999999</v>
      </c>
    </row>
    <row r="8">
      <c r="A8" t="n">
        <v>2030</v>
      </c>
      <c r="B8" t="n">
        <v>82878.39571148802</v>
      </c>
      <c r="C8" t="n">
        <v>6310</v>
      </c>
      <c r="D8" t="n">
        <v>21800</v>
      </c>
      <c r="E8" t="n">
        <v>999999</v>
      </c>
    </row>
    <row r="9">
      <c r="A9" t="n">
        <v>2031</v>
      </c>
      <c r="B9" t="n">
        <v>82878.39571148802</v>
      </c>
      <c r="C9" t="n">
        <v>7865.414999999999</v>
      </c>
      <c r="D9" t="n">
        <v>23164.68</v>
      </c>
      <c r="E9" t="n">
        <v>999999</v>
      </c>
    </row>
    <row r="10">
      <c r="A10" t="n">
        <v>2032</v>
      </c>
      <c r="B10" t="n">
        <v>82878.39571148802</v>
      </c>
      <c r="C10" t="n">
        <v>9804.239797499997</v>
      </c>
      <c r="D10" t="n">
        <v>24614.788968</v>
      </c>
      <c r="E10" t="n">
        <v>999999</v>
      </c>
    </row>
    <row r="11">
      <c r="A11" t="n">
        <v>2033</v>
      </c>
      <c r="B11" t="n">
        <v>82878.39571148802</v>
      </c>
      <c r="C11" t="n">
        <v>12220.98490758375</v>
      </c>
      <c r="D11" t="n">
        <v>26155.6747573968</v>
      </c>
      <c r="E11" t="n">
        <v>999999</v>
      </c>
    </row>
    <row r="12">
      <c r="A12" t="n">
        <v>2034</v>
      </c>
      <c r="B12" t="n">
        <v>82878.39571148802</v>
      </c>
      <c r="C12" t="n">
        <v>15233.45768730314</v>
      </c>
      <c r="D12" t="n">
        <v>27793.01999720984</v>
      </c>
      <c r="E12" t="n">
        <v>999999</v>
      </c>
    </row>
    <row r="13">
      <c r="A13" t="n">
        <v>2035</v>
      </c>
      <c r="B13" t="n">
        <v>82878.39571148802</v>
      </c>
      <c r="C13" t="n">
        <v>18988.50500722336</v>
      </c>
      <c r="D13" t="n">
        <v>29532.86304903518</v>
      </c>
      <c r="E13" t="n">
        <v>999999</v>
      </c>
    </row>
    <row r="14">
      <c r="A14" t="n">
        <v>2036</v>
      </c>
      <c r="B14" t="n">
        <v>82878.39571148802</v>
      </c>
      <c r="C14" t="n">
        <v>20887.3555079457</v>
      </c>
      <c r="D14" t="n">
        <v>31009.50620148694</v>
      </c>
      <c r="E14" t="n">
        <v>999999</v>
      </c>
    </row>
    <row r="15">
      <c r="A15" t="n">
        <v>2037</v>
      </c>
      <c r="B15" t="n">
        <v>82878.39571148802</v>
      </c>
      <c r="C15" t="n">
        <v>22976.09105874026</v>
      </c>
      <c r="D15" t="n">
        <v>32559.98151156128</v>
      </c>
      <c r="E15" t="n">
        <v>999999</v>
      </c>
    </row>
    <row r="16">
      <c r="A16" t="n">
        <v>2038</v>
      </c>
      <c r="B16" t="n">
        <v>82878.39571148802</v>
      </c>
      <c r="C16" t="n">
        <v>25273.70016461429</v>
      </c>
      <c r="D16" t="n">
        <v>34187.98058713935</v>
      </c>
      <c r="E16" t="n">
        <v>999999</v>
      </c>
    </row>
    <row r="17">
      <c r="A17" t="n">
        <v>2039</v>
      </c>
      <c r="B17" t="n">
        <v>82878.39571148802</v>
      </c>
      <c r="C17" t="n">
        <v>27801.07018107573</v>
      </c>
      <c r="D17" t="n">
        <v>35897.37961649631</v>
      </c>
      <c r="E17" t="n">
        <v>999999</v>
      </c>
    </row>
    <row r="18">
      <c r="A18" t="n">
        <v>2040</v>
      </c>
      <c r="B18" t="n">
        <v>82878.39571148802</v>
      </c>
      <c r="C18" t="n">
        <v>30581.1771991833</v>
      </c>
      <c r="D18" t="n">
        <v>37692.24859732113</v>
      </c>
      <c r="E18" t="n">
        <v>999999</v>
      </c>
    </row>
    <row r="19">
      <c r="A19" t="n">
        <v>2041</v>
      </c>
      <c r="B19" t="n">
        <v>82878.39571148802</v>
      </c>
      <c r="C19" t="n">
        <v>30581.1771991833</v>
      </c>
      <c r="D19" t="n">
        <v>37692.24859732113</v>
      </c>
      <c r="E19" t="n">
        <v>999999</v>
      </c>
    </row>
    <row r="20">
      <c r="A20" t="n">
        <v>2042</v>
      </c>
      <c r="B20" t="n">
        <v>82878.39571148802</v>
      </c>
      <c r="C20" t="n">
        <v>30581.1771991833</v>
      </c>
      <c r="D20" t="n">
        <v>37692.24859732113</v>
      </c>
      <c r="E20" t="n">
        <v>999999</v>
      </c>
    </row>
    <row r="21">
      <c r="A21" t="n">
        <v>2043</v>
      </c>
      <c r="B21" t="n">
        <v>82878.39571148802</v>
      </c>
      <c r="C21" t="n">
        <v>30581.1771991833</v>
      </c>
      <c r="D21" t="n">
        <v>37692.24859732113</v>
      </c>
      <c r="E21" t="n">
        <v>999999</v>
      </c>
    </row>
    <row r="22">
      <c r="A22" t="n">
        <v>2044</v>
      </c>
      <c r="B22" t="n">
        <v>82878.39571148802</v>
      </c>
      <c r="C22" t="n">
        <v>30581.1771991833</v>
      </c>
      <c r="D22" t="n">
        <v>37692.24859732113</v>
      </c>
      <c r="E22" t="n">
        <v>999999</v>
      </c>
    </row>
    <row r="23">
      <c r="A23" t="n">
        <v>2045</v>
      </c>
      <c r="B23" t="n">
        <v>82878.39571148802</v>
      </c>
      <c r="C23" t="n">
        <v>30581.1771991833</v>
      </c>
      <c r="D23" t="n">
        <v>37692.24859732113</v>
      </c>
      <c r="E23" t="n">
        <v>999999</v>
      </c>
    </row>
    <row r="24">
      <c r="A24" t="n">
        <v>2046</v>
      </c>
      <c r="B24" t="n">
        <v>82878.39571148802</v>
      </c>
      <c r="C24" t="n">
        <v>30581.1771991833</v>
      </c>
      <c r="D24" t="n">
        <v>37692.24859732113</v>
      </c>
      <c r="E24" t="n">
        <v>999999</v>
      </c>
    </row>
    <row r="25">
      <c r="A25" t="n">
        <v>2047</v>
      </c>
      <c r="B25" t="n">
        <v>82878.39571148802</v>
      </c>
      <c r="C25" t="n">
        <v>30581.1771991833</v>
      </c>
      <c r="D25" t="n">
        <v>37692.24859732113</v>
      </c>
      <c r="E25" t="n">
        <v>999999</v>
      </c>
    </row>
    <row r="26">
      <c r="A26" t="n">
        <v>2048</v>
      </c>
      <c r="B26" t="n">
        <v>82878.39571148802</v>
      </c>
      <c r="C26" t="n">
        <v>30581.1771991833</v>
      </c>
      <c r="D26" t="n">
        <v>37692.24859732113</v>
      </c>
      <c r="E26" t="n">
        <v>999999</v>
      </c>
    </row>
    <row r="27">
      <c r="A27" t="n">
        <v>2049</v>
      </c>
      <c r="B27" t="n">
        <v>82878.39571148802</v>
      </c>
      <c r="C27" t="n">
        <v>30581.1771991833</v>
      </c>
      <c r="D27" t="n">
        <v>37692.24859732113</v>
      </c>
      <c r="E27" t="n">
        <v>999999</v>
      </c>
    </row>
    <row r="28">
      <c r="A28" t="n">
        <v>2050</v>
      </c>
      <c r="B28" t="n">
        <v>82878.39571148802</v>
      </c>
      <c r="C28" t="n">
        <v>30581.1771991833</v>
      </c>
      <c r="D28" t="n">
        <v>37692.24859732113</v>
      </c>
      <c r="E28" t="n">
        <v>999999</v>
      </c>
    </row>
  </sheetData>
  <pageMargins left="0.7" right="0.7" top="0.787401575" bottom="0.7874015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9"/>
  <sheetViews>
    <sheetView workbookViewId="0">
      <selection activeCell="I39" sqref="I39"/>
    </sheetView>
  </sheetViews>
  <sheetFormatPr baseColWidth="10" defaultRowHeight="15"/>
  <cols>
    <col width="17.5703125" customWidth="1" min="2" max="2"/>
    <col width="8.7109375" customWidth="1" min="3" max="3"/>
    <col width="8.28515625" customWidth="1" min="5" max="5"/>
  </cols>
  <sheetData>
    <row r="1">
      <c r="A1" s="24" t="inlineStr">
        <is>
          <t>stf</t>
        </is>
      </c>
      <c r="B1" s="24" t="inlineStr">
        <is>
          <t>block</t>
        </is>
      </c>
      <c r="C1" s="24" t="inlineStr">
        <is>
          <t>limit</t>
        </is>
      </c>
      <c r="D1" s="24" t="inlineStr">
        <is>
          <t>price</t>
        </is>
      </c>
    </row>
    <row r="2">
      <c r="A2" s="24" t="n">
        <v>2024</v>
      </c>
      <c r="B2" s="24" t="inlineStr">
        <is>
          <t>NZ_LNG</t>
        </is>
      </c>
      <c r="C2" s="2" t="n">
        <v>270613611.1</v>
      </c>
      <c r="D2" t="n">
        <v>29.19</v>
      </c>
    </row>
    <row r="3">
      <c r="A3" s="25" t="n"/>
      <c r="B3" s="24" t="inlineStr">
        <is>
          <t>NM_LNG</t>
        </is>
      </c>
      <c r="C3" s="2" t="n">
        <v>1047284444</v>
      </c>
      <c r="D3" t="n">
        <v>42.69</v>
      </c>
      <c r="E3" s="2" t="n"/>
    </row>
    <row r="4">
      <c r="A4" s="25" t="n"/>
      <c r="B4" s="24" t="inlineStr">
        <is>
          <t>WTF_LNG</t>
        </is>
      </c>
      <c r="C4" s="2" t="n">
        <v>2930833333</v>
      </c>
      <c r="D4" t="n">
        <v>150</v>
      </c>
    </row>
    <row r="5">
      <c r="A5" s="26" t="n"/>
      <c r="B5" s="24" t="inlineStr">
        <is>
          <t>pipegas</t>
        </is>
      </c>
      <c r="C5" s="2" t="n">
        <v>484006334</v>
      </c>
      <c r="D5" t="n">
        <v>22.68</v>
      </c>
    </row>
    <row r="6">
      <c r="A6" s="24" t="n">
        <v>2025</v>
      </c>
      <c r="B6" s="24" t="inlineStr">
        <is>
          <t>NZ_LNG</t>
        </is>
      </c>
      <c r="C6" s="2" t="n">
        <v>270613611.1</v>
      </c>
      <c r="D6" t="n">
        <v>29.19</v>
      </c>
    </row>
    <row r="7">
      <c r="A7" s="25" t="n"/>
      <c r="B7" s="24" t="inlineStr">
        <is>
          <t>NM_LNG</t>
        </is>
      </c>
      <c r="C7" s="2" t="n">
        <v>1047284444</v>
      </c>
      <c r="D7" t="n">
        <v>42.69</v>
      </c>
    </row>
    <row r="8">
      <c r="A8" s="25" t="n"/>
      <c r="B8" s="24" t="inlineStr">
        <is>
          <t>WTF_LNG</t>
        </is>
      </c>
      <c r="C8" s="2" t="n">
        <v>2930833333</v>
      </c>
      <c r="D8" t="n">
        <v>150</v>
      </c>
    </row>
    <row r="9">
      <c r="A9" s="26" t="n"/>
      <c r="B9" s="24" t="inlineStr">
        <is>
          <t>pipegas</t>
        </is>
      </c>
      <c r="C9" s="2">
        <f>SUM(C5*(1-0.04052))</f>
        <v/>
      </c>
      <c r="D9" t="n">
        <v>22.545</v>
      </c>
    </row>
    <row r="10">
      <c r="A10" s="24" t="n">
        <v>2026</v>
      </c>
      <c r="B10" s="24" t="inlineStr">
        <is>
          <t>NZ_LNG</t>
        </is>
      </c>
      <c r="C10" s="2" t="n">
        <v>270613611.1</v>
      </c>
      <c r="D10" t="n">
        <v>29.19</v>
      </c>
    </row>
    <row r="11">
      <c r="A11" s="25" t="n"/>
      <c r="B11" s="24" t="inlineStr">
        <is>
          <t>NM_LNG</t>
        </is>
      </c>
      <c r="C11" s="2" t="n">
        <v>1047284444</v>
      </c>
      <c r="D11" t="n">
        <v>42.69</v>
      </c>
    </row>
    <row r="12">
      <c r="A12" s="25" t="n"/>
      <c r="B12" s="24" t="inlineStr">
        <is>
          <t>WTF_LNG</t>
        </is>
      </c>
      <c r="C12" s="2" t="n">
        <v>2930833333</v>
      </c>
      <c r="D12" t="n">
        <v>150</v>
      </c>
    </row>
    <row r="13">
      <c r="A13" s="26" t="n"/>
      <c r="B13" s="24" t="inlineStr">
        <is>
          <t>pipegas</t>
        </is>
      </c>
      <c r="C13" s="2">
        <f>SUM(C9*(1-0.04052))</f>
        <v/>
      </c>
      <c r="D13" t="n">
        <v>22.41</v>
      </c>
    </row>
    <row r="14">
      <c r="A14" s="24" t="n">
        <v>2027</v>
      </c>
      <c r="B14" s="24" t="inlineStr">
        <is>
          <t>NZ_LNG</t>
        </is>
      </c>
      <c r="C14" s="2" t="n">
        <v>270613611.1</v>
      </c>
      <c r="D14" t="n">
        <v>29.19</v>
      </c>
    </row>
    <row r="15">
      <c r="A15" s="25" t="n"/>
      <c r="B15" s="24" t="inlineStr">
        <is>
          <t>NM_LNG</t>
        </is>
      </c>
      <c r="C15" s="2" t="n">
        <v>1047284444</v>
      </c>
      <c r="D15" t="n">
        <v>42.69</v>
      </c>
    </row>
    <row r="16">
      <c r="A16" s="25" t="n"/>
      <c r="B16" s="24" t="inlineStr">
        <is>
          <t>WTF_LNG</t>
        </is>
      </c>
      <c r="C16" s="2" t="n">
        <v>2930833333</v>
      </c>
      <c r="D16" t="n">
        <v>150</v>
      </c>
    </row>
    <row r="17">
      <c r="A17" s="26" t="n"/>
      <c r="B17" s="24" t="inlineStr">
        <is>
          <t>pipegas</t>
        </is>
      </c>
      <c r="C17" s="2">
        <f>SUM(C13*(1-0.04052))</f>
        <v/>
      </c>
      <c r="D17" t="n">
        <v>22.275</v>
      </c>
    </row>
    <row r="18">
      <c r="A18" s="24" t="n">
        <v>2028</v>
      </c>
      <c r="B18" s="24" t="inlineStr">
        <is>
          <t>NZ_LNG</t>
        </is>
      </c>
      <c r="C18" s="2" t="n">
        <v>270613611.1</v>
      </c>
      <c r="D18" t="n">
        <v>29.19</v>
      </c>
    </row>
    <row r="19">
      <c r="A19" s="25" t="n"/>
      <c r="B19" s="24" t="inlineStr">
        <is>
          <t>NM_LNG</t>
        </is>
      </c>
      <c r="C19" s="2" t="n">
        <v>1047284444</v>
      </c>
      <c r="D19" t="n">
        <v>42.69</v>
      </c>
    </row>
    <row r="20">
      <c r="A20" s="25" t="n"/>
      <c r="B20" s="24" t="inlineStr">
        <is>
          <t>WTF_LNG</t>
        </is>
      </c>
      <c r="C20" s="2" t="n">
        <v>2930833333</v>
      </c>
      <c r="D20" t="n">
        <v>150</v>
      </c>
    </row>
    <row r="21">
      <c r="A21" s="26" t="n"/>
      <c r="B21" s="24" t="inlineStr">
        <is>
          <t>pipegas</t>
        </is>
      </c>
      <c r="C21" s="2">
        <f>SUM(C17*(1-0.04052))</f>
        <v/>
      </c>
      <c r="D21" t="n">
        <v>22.14</v>
      </c>
    </row>
    <row r="22">
      <c r="A22" s="24" t="n">
        <v>2029</v>
      </c>
      <c r="B22" s="24" t="inlineStr">
        <is>
          <t>NZ_LNG</t>
        </is>
      </c>
      <c r="C22" s="2" t="n">
        <v>270613611.1</v>
      </c>
      <c r="D22" t="n">
        <v>29.19</v>
      </c>
    </row>
    <row r="23">
      <c r="A23" s="25" t="n"/>
      <c r="B23" s="24" t="inlineStr">
        <is>
          <t>NM_LNG</t>
        </is>
      </c>
      <c r="C23" s="2" t="n">
        <v>1047284444</v>
      </c>
      <c r="D23" t="n">
        <v>42.69</v>
      </c>
    </row>
    <row r="24">
      <c r="A24" s="25" t="n"/>
      <c r="B24" s="24" t="inlineStr">
        <is>
          <t>WTF_LNG</t>
        </is>
      </c>
      <c r="C24" s="2" t="n">
        <v>2930833333</v>
      </c>
      <c r="D24" t="n">
        <v>150</v>
      </c>
    </row>
    <row r="25">
      <c r="A25" s="26" t="n"/>
      <c r="B25" s="24" t="inlineStr">
        <is>
          <t>pipegas</t>
        </is>
      </c>
      <c r="C25" s="2">
        <f>SUM(C21*(1-0.04052))</f>
        <v/>
      </c>
      <c r="D25" t="n">
        <v>22.005</v>
      </c>
    </row>
    <row r="26">
      <c r="A26" s="24" t="n">
        <v>2030</v>
      </c>
      <c r="B26" s="24" t="inlineStr">
        <is>
          <t>NZ_LNG</t>
        </is>
      </c>
      <c r="C26" s="2" t="n">
        <v>270613611.1</v>
      </c>
      <c r="D26" t="n">
        <v>29.19</v>
      </c>
    </row>
    <row r="27">
      <c r="A27" s="25" t="n"/>
      <c r="B27" s="24" t="inlineStr">
        <is>
          <t>NM_LNG</t>
        </is>
      </c>
      <c r="C27" s="2" t="n">
        <v>1047284444</v>
      </c>
      <c r="D27" t="n">
        <v>42.69</v>
      </c>
    </row>
    <row r="28">
      <c r="A28" s="25" t="n"/>
      <c r="B28" s="24" t="inlineStr">
        <is>
          <t>WTF_LNG</t>
        </is>
      </c>
      <c r="C28" s="2" t="n">
        <v>2930833333</v>
      </c>
      <c r="D28" t="n">
        <v>150</v>
      </c>
    </row>
    <row r="29">
      <c r="A29" s="26" t="n"/>
      <c r="B29" s="24" t="inlineStr">
        <is>
          <t>pipegas</t>
        </is>
      </c>
      <c r="C29" s="2">
        <f>SUM(C25*(1-0.04052))</f>
        <v/>
      </c>
      <c r="D29" t="n">
        <v>21.87</v>
      </c>
    </row>
    <row r="30">
      <c r="A30" s="24" t="n">
        <v>2031</v>
      </c>
      <c r="B30" s="24" t="inlineStr">
        <is>
          <t>NZ_LNG</t>
        </is>
      </c>
      <c r="C30" s="2" t="n">
        <v>270613611.1</v>
      </c>
      <c r="D30" t="n">
        <v>29.19</v>
      </c>
    </row>
    <row r="31">
      <c r="A31" s="25" t="n"/>
      <c r="B31" s="24" t="inlineStr">
        <is>
          <t>NM_LNG</t>
        </is>
      </c>
      <c r="C31" s="2" t="n">
        <v>1047284444</v>
      </c>
      <c r="D31" t="n">
        <v>42.69</v>
      </c>
    </row>
    <row r="32">
      <c r="A32" s="25" t="n"/>
      <c r="B32" s="24" t="inlineStr">
        <is>
          <t>WTF_LNG</t>
        </is>
      </c>
      <c r="C32" s="2" t="n">
        <v>2930833333</v>
      </c>
      <c r="D32" t="n">
        <v>150</v>
      </c>
    </row>
    <row r="33">
      <c r="A33" s="26" t="n"/>
      <c r="B33" s="24" t="inlineStr">
        <is>
          <t>pipegas</t>
        </is>
      </c>
      <c r="C33" s="2">
        <f>SUM(C29*(1-0.04052))</f>
        <v/>
      </c>
      <c r="D33" t="n">
        <v>21.735</v>
      </c>
    </row>
    <row r="34">
      <c r="A34" s="24" t="n">
        <v>2032</v>
      </c>
      <c r="B34" s="24" t="inlineStr">
        <is>
          <t>NZ_LNG</t>
        </is>
      </c>
      <c r="C34" s="2" t="n">
        <v>270613611.1</v>
      </c>
      <c r="D34" t="n">
        <v>29.19</v>
      </c>
    </row>
    <row r="35">
      <c r="A35" s="25" t="n"/>
      <c r="B35" s="24" t="inlineStr">
        <is>
          <t>NM_LNG</t>
        </is>
      </c>
      <c r="C35" s="2" t="n">
        <v>1047284444</v>
      </c>
      <c r="D35" t="n">
        <v>42.69</v>
      </c>
    </row>
    <row r="36">
      <c r="A36" s="25" t="n"/>
      <c r="B36" s="24" t="inlineStr">
        <is>
          <t>WTF_LNG</t>
        </is>
      </c>
      <c r="C36" s="2" t="n">
        <v>2930833333</v>
      </c>
      <c r="D36" t="n">
        <v>150</v>
      </c>
    </row>
    <row r="37">
      <c r="A37" s="26" t="n"/>
      <c r="B37" s="24" t="inlineStr">
        <is>
          <t>pipegas</t>
        </is>
      </c>
      <c r="C37" s="2">
        <f>SUM(C33*(1-0.04052))</f>
        <v/>
      </c>
      <c r="D37" t="n">
        <v>21.6</v>
      </c>
    </row>
    <row r="38">
      <c r="A38" s="24" t="n">
        <v>2033</v>
      </c>
      <c r="B38" s="24" t="inlineStr">
        <is>
          <t>NZ_LNG</t>
        </is>
      </c>
      <c r="C38" s="2" t="n">
        <v>270613611.1</v>
      </c>
      <c r="D38" t="n">
        <v>29.19</v>
      </c>
    </row>
    <row r="39">
      <c r="A39" s="25" t="n"/>
      <c r="B39" s="24" t="inlineStr">
        <is>
          <t>NM_LNG</t>
        </is>
      </c>
      <c r="C39" s="2" t="n">
        <v>1047284444</v>
      </c>
      <c r="D39" t="n">
        <v>42.69</v>
      </c>
    </row>
    <row r="40">
      <c r="A40" s="25" t="n"/>
      <c r="B40" s="24" t="inlineStr">
        <is>
          <t>WTF_LNG</t>
        </is>
      </c>
      <c r="C40" s="2" t="n">
        <v>2930833333</v>
      </c>
      <c r="D40" t="n">
        <v>150</v>
      </c>
    </row>
    <row r="41">
      <c r="A41" s="26" t="n"/>
      <c r="B41" s="24" t="inlineStr">
        <is>
          <t>pipegas</t>
        </is>
      </c>
      <c r="C41" s="2">
        <f>SUM(C37*(1-0.04052))</f>
        <v/>
      </c>
      <c r="D41" t="n">
        <v>21.465</v>
      </c>
    </row>
    <row r="42">
      <c r="A42" s="24" t="n">
        <v>2034</v>
      </c>
      <c r="B42" s="24" t="inlineStr">
        <is>
          <t>NZ_LNG</t>
        </is>
      </c>
      <c r="C42" s="2" t="n">
        <v>270613611.1</v>
      </c>
      <c r="D42" t="n">
        <v>29.19</v>
      </c>
    </row>
    <row r="43">
      <c r="A43" s="25" t="n"/>
      <c r="B43" s="24" t="inlineStr">
        <is>
          <t>NM_LNG</t>
        </is>
      </c>
      <c r="C43" s="2" t="n">
        <v>1047284444</v>
      </c>
      <c r="D43" t="n">
        <v>42.69</v>
      </c>
    </row>
    <row r="44">
      <c r="A44" s="25" t="n"/>
      <c r="B44" s="24" t="inlineStr">
        <is>
          <t>WTF_LNG</t>
        </is>
      </c>
      <c r="C44" s="2" t="n">
        <v>2930833333</v>
      </c>
      <c r="D44" t="n">
        <v>150</v>
      </c>
    </row>
    <row r="45">
      <c r="A45" s="26" t="n"/>
      <c r="B45" s="24" t="inlineStr">
        <is>
          <t>pipegas</t>
        </is>
      </c>
      <c r="C45" s="2">
        <f>SUM(C41*(1-0.04052))</f>
        <v/>
      </c>
      <c r="D45" t="n">
        <v>21.33</v>
      </c>
    </row>
    <row r="46">
      <c r="A46" s="24" t="n">
        <v>2035</v>
      </c>
      <c r="B46" s="24" t="inlineStr">
        <is>
          <t>NZ_LNG</t>
        </is>
      </c>
      <c r="C46" s="2" t="n">
        <v>270613611.1</v>
      </c>
      <c r="D46" t="n">
        <v>29.19</v>
      </c>
    </row>
    <row r="47">
      <c r="A47" s="25" t="n"/>
      <c r="B47" s="24" t="inlineStr">
        <is>
          <t>NM_LNG</t>
        </is>
      </c>
      <c r="C47" s="2" t="n">
        <v>1047284444</v>
      </c>
      <c r="D47" t="n">
        <v>42.69</v>
      </c>
    </row>
    <row r="48">
      <c r="A48" s="25" t="n"/>
      <c r="B48" s="24" t="inlineStr">
        <is>
          <t>WTF_LNG</t>
        </is>
      </c>
      <c r="C48" s="2" t="n">
        <v>2930833333</v>
      </c>
      <c r="D48" t="n">
        <v>150</v>
      </c>
    </row>
    <row r="49">
      <c r="A49" s="26" t="n"/>
      <c r="B49" s="24" t="inlineStr">
        <is>
          <t>pipegas</t>
        </is>
      </c>
      <c r="C49" s="2">
        <f>SUM(C45*(1-0.04052))</f>
        <v/>
      </c>
      <c r="D49" t="n">
        <v>21.195</v>
      </c>
    </row>
    <row r="50">
      <c r="A50" s="24" t="n">
        <v>2036</v>
      </c>
      <c r="B50" s="24" t="inlineStr">
        <is>
          <t>NZ_LNG</t>
        </is>
      </c>
      <c r="C50" s="2" t="n">
        <v>270613611.1</v>
      </c>
      <c r="D50" t="n">
        <v>29.19</v>
      </c>
    </row>
    <row r="51">
      <c r="A51" s="25" t="n"/>
      <c r="B51" s="24" t="inlineStr">
        <is>
          <t>NM_LNG</t>
        </is>
      </c>
      <c r="C51" s="2" t="n">
        <v>1047284444</v>
      </c>
      <c r="D51" t="n">
        <v>42.69</v>
      </c>
    </row>
    <row r="52">
      <c r="A52" s="25" t="n"/>
      <c r="B52" s="24" t="inlineStr">
        <is>
          <t>WTF_LNG</t>
        </is>
      </c>
      <c r="C52" s="2" t="n">
        <v>2930833333</v>
      </c>
      <c r="D52" t="n">
        <v>150</v>
      </c>
    </row>
    <row r="53">
      <c r="A53" s="26" t="n"/>
      <c r="B53" s="24" t="inlineStr">
        <is>
          <t>pipegas</t>
        </is>
      </c>
      <c r="C53" s="2">
        <f>SUM(C49*(1-0.04052))</f>
        <v/>
      </c>
      <c r="D53" t="n">
        <v>21.06</v>
      </c>
    </row>
    <row r="54">
      <c r="A54" s="24" t="n">
        <v>2037</v>
      </c>
      <c r="B54" s="24" t="inlineStr">
        <is>
          <t>NZ_LNG</t>
        </is>
      </c>
      <c r="C54" s="2" t="n">
        <v>270613611.1</v>
      </c>
      <c r="D54" t="n">
        <v>29.19</v>
      </c>
    </row>
    <row r="55">
      <c r="A55" s="25" t="n"/>
      <c r="B55" s="24" t="inlineStr">
        <is>
          <t>NM_LNG</t>
        </is>
      </c>
      <c r="C55" s="2" t="n">
        <v>1047284444</v>
      </c>
      <c r="D55" t="n">
        <v>42.69</v>
      </c>
    </row>
    <row r="56">
      <c r="A56" s="25" t="n"/>
      <c r="B56" s="24" t="inlineStr">
        <is>
          <t>WTF_LNG</t>
        </is>
      </c>
      <c r="C56" s="2" t="n">
        <v>2930833333</v>
      </c>
      <c r="D56" t="n">
        <v>150</v>
      </c>
    </row>
    <row r="57">
      <c r="A57" s="26" t="n"/>
      <c r="B57" s="24" t="inlineStr">
        <is>
          <t>pipegas</t>
        </is>
      </c>
      <c r="C57" s="2">
        <f>SUM(C53*(1-0.04052))</f>
        <v/>
      </c>
      <c r="D57" t="n">
        <v>20.925</v>
      </c>
    </row>
    <row r="58">
      <c r="A58" s="24" t="n">
        <v>2038</v>
      </c>
      <c r="B58" s="24" t="inlineStr">
        <is>
          <t>NZ_LNG</t>
        </is>
      </c>
      <c r="C58" s="2" t="n">
        <v>270613611.1</v>
      </c>
      <c r="D58" t="n">
        <v>29.19</v>
      </c>
    </row>
    <row r="59">
      <c r="A59" s="25" t="n"/>
      <c r="B59" s="24" t="inlineStr">
        <is>
          <t>NM_LNG</t>
        </is>
      </c>
      <c r="C59" s="2" t="n">
        <v>1047284444</v>
      </c>
      <c r="D59" t="n">
        <v>42.69</v>
      </c>
    </row>
    <row r="60">
      <c r="A60" s="25" t="n"/>
      <c r="B60" s="24" t="inlineStr">
        <is>
          <t>WTF_LNG</t>
        </is>
      </c>
      <c r="C60" s="2" t="n">
        <v>2930833333</v>
      </c>
      <c r="D60" t="n">
        <v>150</v>
      </c>
    </row>
    <row r="61">
      <c r="A61" s="26" t="n"/>
      <c r="B61" s="24" t="inlineStr">
        <is>
          <t>pipegas</t>
        </is>
      </c>
      <c r="C61" s="2">
        <f>SUM(C57*(1-0.04052))</f>
        <v/>
      </c>
      <c r="D61" t="n">
        <v>20.79</v>
      </c>
    </row>
    <row r="62">
      <c r="A62" s="24" t="n">
        <v>2039</v>
      </c>
      <c r="B62" s="24" t="inlineStr">
        <is>
          <t>NZ_LNG</t>
        </is>
      </c>
      <c r="C62" s="2" t="n">
        <v>270613611.1</v>
      </c>
      <c r="D62" t="n">
        <v>29.19</v>
      </c>
    </row>
    <row r="63">
      <c r="A63" s="25" t="n"/>
      <c r="B63" s="24" t="inlineStr">
        <is>
          <t>NM_LNG</t>
        </is>
      </c>
      <c r="C63" s="2" t="n">
        <v>1047284444</v>
      </c>
      <c r="D63" t="n">
        <v>42.69</v>
      </c>
    </row>
    <row r="64">
      <c r="A64" s="25" t="n"/>
      <c r="B64" s="24" t="inlineStr">
        <is>
          <t>WTF_LNG</t>
        </is>
      </c>
      <c r="C64" s="2" t="n">
        <v>2930833333</v>
      </c>
      <c r="D64" t="n">
        <v>150</v>
      </c>
    </row>
    <row r="65">
      <c r="A65" s="26" t="n"/>
      <c r="B65" s="24" t="inlineStr">
        <is>
          <t>pipegas</t>
        </is>
      </c>
      <c r="C65" s="2">
        <f>SUM(C61*(1-0.04052))</f>
        <v/>
      </c>
      <c r="D65" t="n">
        <v>20.655</v>
      </c>
    </row>
    <row r="66">
      <c r="A66" s="24" t="n">
        <v>2040</v>
      </c>
      <c r="B66" s="24" t="inlineStr">
        <is>
          <t>NZ_LNG</t>
        </is>
      </c>
      <c r="C66" s="2" t="n">
        <v>270613611.1</v>
      </c>
      <c r="D66" t="n">
        <v>29.19</v>
      </c>
    </row>
    <row r="67">
      <c r="A67" s="25" t="n"/>
      <c r="B67" s="24" t="inlineStr">
        <is>
          <t>NM_LNG</t>
        </is>
      </c>
      <c r="C67" s="2" t="n">
        <v>1047284444</v>
      </c>
      <c r="D67" t="n">
        <v>42.69</v>
      </c>
    </row>
    <row r="68">
      <c r="A68" s="25" t="n"/>
      <c r="B68" s="24" t="inlineStr">
        <is>
          <t>WTF_LNG</t>
        </is>
      </c>
      <c r="C68" s="2" t="n">
        <v>2930833333</v>
      </c>
      <c r="D68" t="n">
        <v>150</v>
      </c>
    </row>
    <row r="69">
      <c r="A69" s="26" t="n"/>
      <c r="B69" s="24" t="inlineStr">
        <is>
          <t>pipegas</t>
        </is>
      </c>
      <c r="C69" s="2">
        <f>SUM(C65*(1-0.04052))</f>
        <v/>
      </c>
      <c r="D69" t="n">
        <v>20.52</v>
      </c>
    </row>
    <row r="70">
      <c r="A70" s="24" t="n">
        <v>2041</v>
      </c>
      <c r="B70" s="24" t="inlineStr">
        <is>
          <t>NZ_LNG</t>
        </is>
      </c>
      <c r="C70" s="2" t="n">
        <v>270613611.1</v>
      </c>
      <c r="D70" t="n">
        <v>29.19</v>
      </c>
    </row>
    <row r="71">
      <c r="A71" s="25" t="n"/>
      <c r="B71" s="24" t="inlineStr">
        <is>
          <t>NM_LNG</t>
        </is>
      </c>
      <c r="C71" s="2" t="n">
        <v>1047284444</v>
      </c>
      <c r="D71" t="n">
        <v>42.69</v>
      </c>
    </row>
    <row r="72">
      <c r="A72" s="25" t="n"/>
      <c r="B72" s="24" t="inlineStr">
        <is>
          <t>WTF_LNG</t>
        </is>
      </c>
      <c r="C72" s="2" t="n">
        <v>2930833333</v>
      </c>
      <c r="D72" t="n">
        <v>150</v>
      </c>
    </row>
    <row r="73">
      <c r="A73" s="26" t="n"/>
      <c r="B73" s="24" t="inlineStr">
        <is>
          <t>pipegas</t>
        </is>
      </c>
      <c r="C73" s="2">
        <f>SUM(C69*(1-0.04052))</f>
        <v/>
      </c>
      <c r="D73" t="n">
        <v>20.52</v>
      </c>
    </row>
    <row r="74">
      <c r="A74" s="24" t="n">
        <v>2042</v>
      </c>
      <c r="B74" s="24" t="inlineStr">
        <is>
          <t>NZ_LNG</t>
        </is>
      </c>
      <c r="C74" s="2" t="n">
        <v>270613611.1</v>
      </c>
      <c r="D74" t="n">
        <v>29.19</v>
      </c>
    </row>
    <row r="75">
      <c r="A75" s="25" t="n"/>
      <c r="B75" s="24" t="inlineStr">
        <is>
          <t>NM_LNG</t>
        </is>
      </c>
      <c r="C75" s="2" t="n">
        <v>1047284444</v>
      </c>
      <c r="D75" t="n">
        <v>42.69</v>
      </c>
    </row>
    <row r="76">
      <c r="A76" s="25" t="n"/>
      <c r="B76" s="24" t="inlineStr">
        <is>
          <t>WTF_LNG</t>
        </is>
      </c>
      <c r="C76" s="2" t="n">
        <v>2930833333</v>
      </c>
      <c r="D76" t="n">
        <v>150</v>
      </c>
    </row>
    <row r="77">
      <c r="A77" s="26" t="n"/>
      <c r="B77" s="24" t="inlineStr">
        <is>
          <t>pipegas</t>
        </is>
      </c>
      <c r="C77" s="2">
        <f>SUM(C73*(1-0.04052))</f>
        <v/>
      </c>
      <c r="D77" t="n">
        <v>20.52</v>
      </c>
    </row>
    <row r="78">
      <c r="A78" s="24" t="n">
        <v>2043</v>
      </c>
      <c r="B78" s="24" t="inlineStr">
        <is>
          <t>NZ_LNG</t>
        </is>
      </c>
      <c r="C78" s="2" t="n">
        <v>270613611.1</v>
      </c>
      <c r="D78" t="n">
        <v>29.19</v>
      </c>
    </row>
    <row r="79">
      <c r="A79" s="25" t="n"/>
      <c r="B79" s="24" t="inlineStr">
        <is>
          <t>NM_LNG</t>
        </is>
      </c>
      <c r="C79" s="2" t="n">
        <v>1047284444</v>
      </c>
      <c r="D79" t="n">
        <v>42.69</v>
      </c>
    </row>
    <row r="80">
      <c r="A80" s="25" t="n"/>
      <c r="B80" s="24" t="inlineStr">
        <is>
          <t>WTF_LNG</t>
        </is>
      </c>
      <c r="C80" s="2" t="n">
        <v>2930833333</v>
      </c>
      <c r="D80" t="n">
        <v>150</v>
      </c>
    </row>
    <row r="81">
      <c r="A81" s="26" t="n"/>
      <c r="B81" s="24" t="inlineStr">
        <is>
          <t>pipegas</t>
        </is>
      </c>
      <c r="C81" s="2">
        <f>SUM(C77*(1-0.04052))</f>
        <v/>
      </c>
      <c r="D81" t="n">
        <v>20.52</v>
      </c>
    </row>
    <row r="82">
      <c r="A82" s="24" t="n">
        <v>2044</v>
      </c>
      <c r="B82" s="24" t="inlineStr">
        <is>
          <t>NZ_LNG</t>
        </is>
      </c>
      <c r="C82" s="2" t="n">
        <v>270613611.1</v>
      </c>
      <c r="D82" t="n">
        <v>29.19</v>
      </c>
    </row>
    <row r="83">
      <c r="A83" s="25" t="n"/>
      <c r="B83" s="24" t="inlineStr">
        <is>
          <t>NM_LNG</t>
        </is>
      </c>
      <c r="C83" s="2" t="n">
        <v>1047284444</v>
      </c>
      <c r="D83" t="n">
        <v>42.69</v>
      </c>
    </row>
    <row r="84">
      <c r="A84" s="25" t="n"/>
      <c r="B84" s="24" t="inlineStr">
        <is>
          <t>WTF_LNG</t>
        </is>
      </c>
      <c r="C84" s="2" t="n">
        <v>2930833333</v>
      </c>
      <c r="D84" t="n">
        <v>150</v>
      </c>
    </row>
    <row r="85">
      <c r="A85" s="26" t="n"/>
      <c r="B85" s="24" t="inlineStr">
        <is>
          <t>pipegas</t>
        </is>
      </c>
      <c r="C85" s="2">
        <f>SUM(C81*(1-0.04052))</f>
        <v/>
      </c>
      <c r="D85" t="n">
        <v>20.52</v>
      </c>
    </row>
    <row r="86">
      <c r="A86" s="24" t="n">
        <v>2045</v>
      </c>
      <c r="B86" s="24" t="inlineStr">
        <is>
          <t>NZ_LNG</t>
        </is>
      </c>
      <c r="C86" s="2" t="n">
        <v>270613611.1</v>
      </c>
      <c r="D86" t="n">
        <v>29.19</v>
      </c>
    </row>
    <row r="87">
      <c r="A87" s="25" t="n"/>
      <c r="B87" s="24" t="inlineStr">
        <is>
          <t>NM_LNG</t>
        </is>
      </c>
      <c r="C87" s="2" t="n">
        <v>1047284444</v>
      </c>
      <c r="D87" t="n">
        <v>42.69</v>
      </c>
    </row>
    <row r="88">
      <c r="A88" s="25" t="n"/>
      <c r="B88" s="24" t="inlineStr">
        <is>
          <t>WTF_LNG</t>
        </is>
      </c>
      <c r="C88" s="2" t="n">
        <v>2930833333</v>
      </c>
      <c r="D88" t="n">
        <v>150</v>
      </c>
    </row>
    <row r="89">
      <c r="A89" s="26" t="n"/>
      <c r="B89" s="24" t="inlineStr">
        <is>
          <t>pipegas</t>
        </is>
      </c>
      <c r="C89" s="2">
        <f>SUM(C85*(1-0.04052))</f>
        <v/>
      </c>
      <c r="D89" t="n">
        <v>20.52</v>
      </c>
    </row>
    <row r="90">
      <c r="A90" s="24" t="n">
        <v>2046</v>
      </c>
      <c r="B90" s="24" t="inlineStr">
        <is>
          <t>NZ_LNG</t>
        </is>
      </c>
      <c r="C90" s="2" t="n">
        <v>270613611.1</v>
      </c>
      <c r="D90" t="n">
        <v>29.19</v>
      </c>
    </row>
    <row r="91">
      <c r="A91" s="25" t="n"/>
      <c r="B91" s="24" t="inlineStr">
        <is>
          <t>NM_LNG</t>
        </is>
      </c>
      <c r="C91" s="2" t="n">
        <v>1047284444</v>
      </c>
      <c r="D91" t="n">
        <v>42.69</v>
      </c>
    </row>
    <row r="92">
      <c r="A92" s="25" t="n"/>
      <c r="B92" s="24" t="inlineStr">
        <is>
          <t>WTF_LNG</t>
        </is>
      </c>
      <c r="C92" s="2" t="n">
        <v>2930833333</v>
      </c>
      <c r="D92" t="n">
        <v>150</v>
      </c>
    </row>
    <row r="93">
      <c r="A93" s="26" t="n"/>
      <c r="B93" s="24" t="inlineStr">
        <is>
          <t>pipegas</t>
        </is>
      </c>
      <c r="C93" s="2">
        <f>SUM(C89*(1-0.04052))</f>
        <v/>
      </c>
      <c r="D93" t="n">
        <v>20.52</v>
      </c>
    </row>
    <row r="94">
      <c r="A94" s="24" t="n">
        <v>2047</v>
      </c>
      <c r="B94" s="24" t="inlineStr">
        <is>
          <t>NZ_LNG</t>
        </is>
      </c>
      <c r="C94" s="2" t="n">
        <v>270613611.1</v>
      </c>
      <c r="D94" t="n">
        <v>29.19</v>
      </c>
    </row>
    <row r="95">
      <c r="A95" s="25" t="n"/>
      <c r="B95" s="24" t="inlineStr">
        <is>
          <t>NM_LNG</t>
        </is>
      </c>
      <c r="C95" s="2" t="n">
        <v>1047284444</v>
      </c>
      <c r="D95" t="n">
        <v>42.69</v>
      </c>
    </row>
    <row r="96">
      <c r="A96" s="25" t="n"/>
      <c r="B96" s="24" t="inlineStr">
        <is>
          <t>WTF_LNG</t>
        </is>
      </c>
      <c r="C96" s="2" t="n">
        <v>2930833333</v>
      </c>
      <c r="D96" t="n">
        <v>150</v>
      </c>
    </row>
    <row r="97">
      <c r="A97" s="26" t="n"/>
      <c r="B97" s="24" t="inlineStr">
        <is>
          <t>pipegas</t>
        </is>
      </c>
      <c r="C97" s="2">
        <f>SUM(C93*(1-0.04052))</f>
        <v/>
      </c>
      <c r="D97" t="n">
        <v>20.52</v>
      </c>
    </row>
    <row r="98">
      <c r="A98" s="24" t="n">
        <v>2048</v>
      </c>
      <c r="B98" s="24" t="inlineStr">
        <is>
          <t>NZ_LNG</t>
        </is>
      </c>
      <c r="C98" s="2" t="n">
        <v>270613611.1</v>
      </c>
      <c r="D98" t="n">
        <v>29.19</v>
      </c>
    </row>
    <row r="99">
      <c r="A99" s="25" t="n"/>
      <c r="B99" s="24" t="inlineStr">
        <is>
          <t>NM_LNG</t>
        </is>
      </c>
      <c r="C99" s="2" t="n">
        <v>1047284444</v>
      </c>
      <c r="D99" t="n">
        <v>42.69</v>
      </c>
    </row>
    <row r="100">
      <c r="A100" s="25" t="n"/>
      <c r="B100" s="24" t="inlineStr">
        <is>
          <t>WTF_LNG</t>
        </is>
      </c>
      <c r="C100" s="2" t="n">
        <v>2930833333</v>
      </c>
      <c r="D100" t="n">
        <v>150</v>
      </c>
    </row>
    <row r="101">
      <c r="A101" s="26" t="n"/>
      <c r="B101" s="24" t="inlineStr">
        <is>
          <t>pipegas</t>
        </is>
      </c>
      <c r="C101" s="2">
        <f>SUM(C97*(1-0.04052))</f>
        <v/>
      </c>
      <c r="D101" t="n">
        <v>20.52</v>
      </c>
    </row>
    <row r="102">
      <c r="A102" s="24" t="n">
        <v>2049</v>
      </c>
      <c r="B102" s="24" t="inlineStr">
        <is>
          <t>NZ_LNG</t>
        </is>
      </c>
      <c r="C102" s="2" t="n">
        <v>270613611.1</v>
      </c>
      <c r="D102" t="n">
        <v>29.19</v>
      </c>
    </row>
    <row r="103">
      <c r="A103" s="25" t="n"/>
      <c r="B103" s="24" t="inlineStr">
        <is>
          <t>NM_LNG</t>
        </is>
      </c>
      <c r="C103" s="2" t="n">
        <v>1047284444</v>
      </c>
      <c r="D103" t="n">
        <v>42.69</v>
      </c>
    </row>
    <row r="104">
      <c r="A104" s="25" t="n"/>
      <c r="B104" s="24" t="inlineStr">
        <is>
          <t>WTF_LNG</t>
        </is>
      </c>
      <c r="C104" s="2" t="n">
        <v>2930833333</v>
      </c>
      <c r="D104" t="n">
        <v>150</v>
      </c>
    </row>
    <row r="105">
      <c r="A105" s="26" t="n"/>
      <c r="B105" s="24" t="inlineStr">
        <is>
          <t>pipegas</t>
        </is>
      </c>
      <c r="C105" s="2">
        <f>SUM(C101*(1-0.04052))</f>
        <v/>
      </c>
      <c r="D105" t="n">
        <v>20.52</v>
      </c>
    </row>
    <row r="106">
      <c r="A106" s="24" t="n">
        <v>2050</v>
      </c>
      <c r="B106" s="24" t="inlineStr">
        <is>
          <t>NZ_LNG</t>
        </is>
      </c>
      <c r="C106" s="2" t="n">
        <v>270613611.1</v>
      </c>
      <c r="D106" t="n">
        <v>29.19</v>
      </c>
    </row>
    <row r="107">
      <c r="A107" s="25" t="n"/>
      <c r="B107" s="24" t="inlineStr">
        <is>
          <t>NM_LNG</t>
        </is>
      </c>
      <c r="C107" s="2" t="n">
        <v>1047284444</v>
      </c>
      <c r="D107" t="n">
        <v>42.69</v>
      </c>
    </row>
    <row r="108">
      <c r="A108" s="25" t="n"/>
      <c r="B108" s="24" t="inlineStr">
        <is>
          <t>WTF_LNG</t>
        </is>
      </c>
      <c r="C108" s="2" t="n">
        <v>2930833333</v>
      </c>
      <c r="D108" t="n">
        <v>150</v>
      </c>
    </row>
    <row r="109">
      <c r="A109" s="26" t="n"/>
      <c r="B109" s="24" t="inlineStr">
        <is>
          <t>pipegas</t>
        </is>
      </c>
      <c r="C109" s="2">
        <f>SUM(C105*(1-0.04052))</f>
        <v/>
      </c>
      <c r="D109" t="n">
        <v>20.52</v>
      </c>
    </row>
  </sheetData>
  <autoFilter ref="B1:B109"/>
  <mergeCells count="27">
    <mergeCell ref="A94:A97"/>
    <mergeCell ref="A70:A73"/>
    <mergeCell ref="A78:A81"/>
    <mergeCell ref="A30:A33"/>
    <mergeCell ref="A54:A57"/>
    <mergeCell ref="A90:A93"/>
    <mergeCell ref="A66:A69"/>
    <mergeCell ref="A74:A77"/>
    <mergeCell ref="A6:A9"/>
    <mergeCell ref="A50:A53"/>
    <mergeCell ref="A86:A89"/>
    <mergeCell ref="A18:A21"/>
    <mergeCell ref="A46:A49"/>
    <mergeCell ref="A26:A29"/>
    <mergeCell ref="A2:A5"/>
    <mergeCell ref="A42:A45"/>
    <mergeCell ref="A14:A17"/>
    <mergeCell ref="A10:A13"/>
    <mergeCell ref="A22:A25"/>
    <mergeCell ref="A62:A65"/>
    <mergeCell ref="A106:A109"/>
    <mergeCell ref="A102:A105"/>
    <mergeCell ref="A38:A41"/>
    <mergeCell ref="A34:A37"/>
    <mergeCell ref="A82:A85"/>
    <mergeCell ref="A58:A61"/>
    <mergeCell ref="A98:A101"/>
  </mergeCells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D1" sqref="D1"/>
    </sheetView>
  </sheetViews>
  <sheetFormatPr baseColWidth="10" defaultRowHeight="15"/>
  <sheetData>
    <row r="1">
      <c r="A1" t="inlineStr">
        <is>
          <t>Location</t>
        </is>
      </c>
      <c r="B1" t="inlineStr">
        <is>
          <t>Technology</t>
        </is>
      </c>
      <c r="C1" t="inlineStr">
        <is>
          <t>Stage</t>
        </is>
      </c>
      <c r="D1" t="inlineStr">
        <is>
          <t>build_time_lag</t>
        </is>
      </c>
      <c r="E1" t="inlineStr">
        <is>
          <t>energy_needs</t>
        </is>
      </c>
      <c r="F1" t="inlineStr">
        <is>
          <t>init_cap</t>
        </is>
      </c>
      <c r="G1" t="inlineStr">
        <is>
          <t>is_final_stage</t>
        </is>
      </c>
      <c r="H1" t="inlineStr">
        <is>
          <t xml:space="preserve">note </t>
        </is>
      </c>
    </row>
    <row r="2">
      <c r="A2" t="inlineStr">
        <is>
          <t>EU27</t>
        </is>
      </c>
      <c r="B2" t="inlineStr">
        <is>
          <t>solarPV</t>
        </is>
      </c>
      <c r="C2" t="inlineStr">
        <is>
          <t>Polysilicon</t>
        </is>
      </c>
      <c r="D2" t="n">
        <v>1</v>
      </c>
      <c r="E2" s="12" t="n">
        <v>150</v>
      </c>
      <c r="F2" s="20" t="n">
        <v>24000</v>
      </c>
      <c r="G2" t="n">
        <v>0</v>
      </c>
    </row>
    <row r="3">
      <c r="A3" t="inlineStr">
        <is>
          <t>EU27</t>
        </is>
      </c>
      <c r="B3" t="inlineStr">
        <is>
          <t>solarPV</t>
        </is>
      </c>
      <c r="C3" t="inlineStr">
        <is>
          <t>Wafer</t>
        </is>
      </c>
      <c r="D3" t="n">
        <v>1</v>
      </c>
      <c r="E3" s="12" t="n">
        <v>125</v>
      </c>
      <c r="F3" s="20" t="n">
        <v>2000</v>
      </c>
      <c r="G3" t="n">
        <v>0</v>
      </c>
    </row>
    <row r="4">
      <c r="A4" t="inlineStr">
        <is>
          <t>EU27</t>
        </is>
      </c>
      <c r="B4" t="inlineStr">
        <is>
          <t>solarPV</t>
        </is>
      </c>
      <c r="C4" t="inlineStr">
        <is>
          <t>Cell</t>
        </is>
      </c>
      <c r="D4" t="n">
        <v>1</v>
      </c>
      <c r="E4" s="12" t="n">
        <v>76</v>
      </c>
      <c r="F4" s="20" t="n">
        <v>7000</v>
      </c>
      <c r="G4" t="n">
        <v>0</v>
      </c>
    </row>
    <row r="5">
      <c r="A5" t="inlineStr">
        <is>
          <t>EU27</t>
        </is>
      </c>
      <c r="B5" t="inlineStr">
        <is>
          <t>solarPV</t>
        </is>
      </c>
      <c r="C5" t="inlineStr">
        <is>
          <t>Module</t>
        </is>
      </c>
      <c r="D5" t="n">
        <v>1</v>
      </c>
      <c r="E5" s="12" t="n">
        <v>75</v>
      </c>
      <c r="F5" s="7" t="n">
        <v>22000</v>
      </c>
      <c r="G5" t="n">
        <v>1</v>
      </c>
      <c r="H5" t="inlineStr">
        <is>
          <t>finished</t>
        </is>
      </c>
    </row>
    <row r="6">
      <c r="A6" t="inlineStr">
        <is>
          <t>EU27</t>
        </is>
      </c>
      <c r="B6" t="inlineStr">
        <is>
          <t>windon</t>
        </is>
      </c>
      <c r="C6" t="inlineStr">
        <is>
          <t>BladeOn</t>
        </is>
      </c>
      <c r="D6" t="n">
        <v>1</v>
      </c>
      <c r="E6" s="12" t="n">
        <v>60</v>
      </c>
      <c r="F6" s="20" t="n">
        <v>18000</v>
      </c>
      <c r="G6" t="n">
        <v>0</v>
      </c>
      <c r="H6" t="inlineStr">
        <is>
          <t>host</t>
        </is>
      </c>
    </row>
    <row r="7">
      <c r="A7" t="inlineStr">
        <is>
          <t>EU27</t>
        </is>
      </c>
      <c r="B7" t="inlineStr">
        <is>
          <t>windon</t>
        </is>
      </c>
      <c r="C7" t="inlineStr">
        <is>
          <t>TowerOn</t>
        </is>
      </c>
      <c r="D7" t="n">
        <v>1</v>
      </c>
      <c r="E7" s="12" t="n">
        <v>55</v>
      </c>
      <c r="F7" s="20" t="n">
        <v>14000</v>
      </c>
      <c r="G7" t="n">
        <v>0</v>
      </c>
      <c r="H7" t="inlineStr">
        <is>
          <t>host</t>
        </is>
      </c>
    </row>
    <row r="8">
      <c r="A8" t="inlineStr">
        <is>
          <t>EU27</t>
        </is>
      </c>
      <c r="B8" t="inlineStr">
        <is>
          <t>windon</t>
        </is>
      </c>
      <c r="C8" t="inlineStr">
        <is>
          <t>NacelleOn</t>
        </is>
      </c>
      <c r="D8" t="n">
        <v>1</v>
      </c>
      <c r="E8" s="12" t="n">
        <v>35</v>
      </c>
      <c r="F8" s="20" t="n">
        <v>13000</v>
      </c>
      <c r="G8" t="n">
        <v>0</v>
      </c>
      <c r="H8" t="inlineStr">
        <is>
          <t>host</t>
        </is>
      </c>
    </row>
    <row r="9">
      <c r="A9" t="inlineStr">
        <is>
          <t>EU27</t>
        </is>
      </c>
      <c r="B9" t="inlineStr">
        <is>
          <t>windon</t>
        </is>
      </c>
      <c r="C9" t="inlineStr">
        <is>
          <t>AssemblyOn</t>
        </is>
      </c>
      <c r="D9" t="n">
        <v>1</v>
      </c>
      <c r="E9" s="12" t="n">
        <v>0</v>
      </c>
      <c r="F9" s="7" t="n">
        <v>999999</v>
      </c>
      <c r="G9" t="n">
        <v>1</v>
      </c>
      <c r="H9" t="inlineStr">
        <is>
          <t>finished, happens on-site so no limitation, will be limited by installable capacity</t>
        </is>
      </c>
    </row>
    <row r="10">
      <c r="A10" t="inlineStr">
        <is>
          <t>EU27</t>
        </is>
      </c>
      <c r="B10" t="inlineStr">
        <is>
          <t>windoff</t>
        </is>
      </c>
      <c r="C10" t="inlineStr">
        <is>
          <t>BladeOff</t>
        </is>
      </c>
      <c r="D10" t="n">
        <v>1</v>
      </c>
      <c r="E10" s="12" t="n">
        <v>60</v>
      </c>
      <c r="F10" s="20" t="n">
        <v>5000</v>
      </c>
      <c r="G10" t="n">
        <v>0</v>
      </c>
      <c r="H10" t="inlineStr">
        <is>
          <t>unique</t>
        </is>
      </c>
    </row>
    <row r="11">
      <c r="A11" t="inlineStr">
        <is>
          <t>EU27</t>
        </is>
      </c>
      <c r="B11" t="inlineStr">
        <is>
          <t>windoff</t>
        </is>
      </c>
      <c r="C11" t="inlineStr">
        <is>
          <t>TowerOff</t>
        </is>
      </c>
      <c r="D11" t="n">
        <v>1</v>
      </c>
      <c r="E11" s="12" t="n">
        <v>55</v>
      </c>
      <c r="F11" s="20" t="n">
        <v>9000</v>
      </c>
      <c r="G11" t="n">
        <v>0</v>
      </c>
    </row>
    <row r="12">
      <c r="A12" t="inlineStr">
        <is>
          <t>EU27</t>
        </is>
      </c>
      <c r="B12" t="inlineStr">
        <is>
          <t>windoff</t>
        </is>
      </c>
      <c r="C12" t="inlineStr">
        <is>
          <t>NacelleOff</t>
        </is>
      </c>
      <c r="D12" t="n">
        <v>1</v>
      </c>
      <c r="E12" s="12" t="n">
        <v>35</v>
      </c>
      <c r="F12" s="20" t="n">
        <v>7000</v>
      </c>
      <c r="G12" t="n">
        <v>0</v>
      </c>
    </row>
    <row r="13">
      <c r="A13" t="inlineStr">
        <is>
          <t>EU27</t>
        </is>
      </c>
      <c r="B13" t="inlineStr">
        <is>
          <t>windoff</t>
        </is>
      </c>
      <c r="C13" t="inlineStr">
        <is>
          <t>AssemblyOff</t>
        </is>
      </c>
      <c r="D13" t="n">
        <v>1</v>
      </c>
      <c r="E13" s="12" t="n">
        <v>0</v>
      </c>
      <c r="F13" s="7" t="n">
        <v>999999</v>
      </c>
      <c r="G13" t="n">
        <v>1</v>
      </c>
    </row>
    <row r="14">
      <c r="A14" t="inlineStr">
        <is>
          <t>EU27</t>
        </is>
      </c>
      <c r="B14" t="inlineStr">
        <is>
          <t>Batteries</t>
        </is>
      </c>
      <c r="C14" t="inlineStr">
        <is>
          <t>CellBatt</t>
        </is>
      </c>
      <c r="D14" t="n">
        <v>1</v>
      </c>
      <c r="E14" s="12" t="n">
        <v>0</v>
      </c>
      <c r="F14" t="n">
        <v>0</v>
      </c>
      <c r="G14" t="n">
        <v>0</v>
      </c>
    </row>
    <row r="15">
      <c r="A15" t="inlineStr">
        <is>
          <t>EU27</t>
        </is>
      </c>
      <c r="B15" t="inlineStr">
        <is>
          <t>Batteries</t>
        </is>
      </c>
      <c r="C15" t="inlineStr">
        <is>
          <t>Assembly</t>
        </is>
      </c>
      <c r="D15" t="n">
        <v>1</v>
      </c>
      <c r="E15" s="12" t="n">
        <v>0</v>
      </c>
      <c r="F15" s="12" t="n">
        <v>0</v>
      </c>
      <c r="G15" t="n">
        <v>1</v>
      </c>
      <c r="H15" t="inlineStr">
        <is>
          <t>finished, happens on-site so no limitation, will be limited by installable capacity</t>
        </is>
      </c>
    </row>
  </sheetData>
  <pageMargins left="0.7" right="0.7" top="0.787401575" bottom="0.7874015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E25" sqref="E9:E25"/>
    </sheetView>
  </sheetViews>
  <sheetFormatPr baseColWidth="10" defaultRowHeight="15"/>
  <cols>
    <col width="25.85546875" customWidth="1" min="3" max="3"/>
    <col width="18.7109375" customWidth="1" min="5" max="5"/>
    <col width="12" customWidth="1" min="6" max="6"/>
  </cols>
  <sheetData>
    <row r="1">
      <c r="A1" t="inlineStr">
        <is>
          <t>Technology</t>
        </is>
      </c>
      <c r="B1" t="inlineStr">
        <is>
          <t>Stage</t>
        </is>
      </c>
      <c r="C1" t="inlineStr">
        <is>
          <t>Material</t>
        </is>
      </c>
      <c r="D1" t="inlineStr">
        <is>
          <t>intensity</t>
        </is>
      </c>
      <c r="E1" t="inlineStr">
        <is>
          <t>scrap_content</t>
        </is>
      </c>
      <c r="F1" t="inlineStr">
        <is>
          <t>rec_efficiency</t>
        </is>
      </c>
    </row>
    <row r="2">
      <c r="A2" s="12" t="inlineStr">
        <is>
          <t>solarPV</t>
        </is>
      </c>
      <c r="B2" s="12" t="inlineStr">
        <is>
          <t>Module</t>
        </is>
      </c>
      <c r="C2" s="12" t="inlineStr">
        <is>
          <t>aluminum</t>
        </is>
      </c>
      <c r="D2" s="12" t="n">
        <v>11.08059701492537</v>
      </c>
      <c r="E2" s="12" t="n">
        <v>11.08059701492537</v>
      </c>
      <c r="F2" t="n">
        <v>0.994</v>
      </c>
    </row>
    <row r="3">
      <c r="A3" s="12" t="inlineStr">
        <is>
          <t>solarPV</t>
        </is>
      </c>
      <c r="B3" s="12" t="inlineStr">
        <is>
          <t>Module</t>
        </is>
      </c>
      <c r="C3" s="12" t="inlineStr">
        <is>
          <t>glass</t>
        </is>
      </c>
      <c r="D3" s="12" t="n">
        <v>46.4</v>
      </c>
      <c r="E3" s="12" t="n">
        <v>46.4</v>
      </c>
      <c r="F3" t="n">
        <v>0.921</v>
      </c>
    </row>
    <row r="4">
      <c r="A4" s="12" t="inlineStr">
        <is>
          <t>solarPV</t>
        </is>
      </c>
      <c r="B4" s="12" t="inlineStr">
        <is>
          <t>Module</t>
        </is>
      </c>
      <c r="C4" s="12" t="inlineStr">
        <is>
          <t>polymers</t>
        </is>
      </c>
      <c r="D4" s="12" t="n">
        <v>7.617910447761194</v>
      </c>
      <c r="E4" s="12" t="n">
        <v>7.617910447761194</v>
      </c>
      <c r="F4" t="n">
        <v>0.274</v>
      </c>
    </row>
    <row r="5">
      <c r="A5" s="12" t="inlineStr">
        <is>
          <t>solarPV</t>
        </is>
      </c>
      <c r="B5" s="12" t="inlineStr">
        <is>
          <t>Module</t>
        </is>
      </c>
      <c r="C5" s="12" t="inlineStr">
        <is>
          <t>copper</t>
        </is>
      </c>
      <c r="D5" s="12" t="n">
        <v>0.6232835820895521</v>
      </c>
      <c r="E5" s="12" t="n">
        <v>0.6232835820895521</v>
      </c>
      <c r="F5" t="n">
        <v>0.97</v>
      </c>
    </row>
    <row r="6">
      <c r="A6" s="12" t="inlineStr">
        <is>
          <t>solarPV</t>
        </is>
      </c>
      <c r="B6" s="12" t="inlineStr">
        <is>
          <t>Cell</t>
        </is>
      </c>
      <c r="C6" s="12" t="inlineStr">
        <is>
          <t>silver</t>
        </is>
      </c>
      <c r="D6" s="12" t="n">
        <v>0.02077611940298507</v>
      </c>
      <c r="E6" s="12" t="n">
        <v>0.02077611940298507</v>
      </c>
      <c r="F6" t="n">
        <v>0.681</v>
      </c>
    </row>
    <row r="7">
      <c r="A7" s="12" t="inlineStr">
        <is>
          <t>solarPV</t>
        </is>
      </c>
      <c r="B7" s="12" t="inlineStr">
        <is>
          <t>Polysilicon</t>
        </is>
      </c>
      <c r="C7" s="12" t="inlineStr">
        <is>
          <t>silicon</t>
        </is>
      </c>
      <c r="D7" s="12" t="n">
        <v>3.047164179104477</v>
      </c>
      <c r="E7" s="12" t="n">
        <v>3.047164179104477</v>
      </c>
      <c r="F7" t="n">
        <v>0.889</v>
      </c>
    </row>
    <row r="8">
      <c r="A8" s="12" t="inlineStr">
        <is>
          <t>solarPV</t>
        </is>
      </c>
      <c r="B8" s="12" t="inlineStr">
        <is>
          <t>Cell</t>
        </is>
      </c>
      <c r="C8" s="12" t="inlineStr">
        <is>
          <t>aluminum</t>
        </is>
      </c>
      <c r="D8" s="12" t="n">
        <v>0.2077611940298507</v>
      </c>
      <c r="E8" s="12" t="n">
        <v>0.2077611940298507</v>
      </c>
      <c r="F8" t="n">
        <v>0.1</v>
      </c>
    </row>
    <row r="9">
      <c r="A9" s="12" t="inlineStr">
        <is>
          <t>windon</t>
        </is>
      </c>
      <c r="B9" s="12" t="inlineStr">
        <is>
          <t>BladeOn</t>
        </is>
      </c>
      <c r="C9" s="12" t="inlineStr">
        <is>
          <t>blade_bulk_on</t>
        </is>
      </c>
      <c r="D9" s="12" t="n">
        <v>15</v>
      </c>
      <c r="E9" s="12" t="n">
        <v>15</v>
      </c>
      <c r="F9" s="9" t="n">
        <v>0</v>
      </c>
    </row>
    <row r="10">
      <c r="A10" s="12" t="inlineStr">
        <is>
          <t>windon</t>
        </is>
      </c>
      <c r="B10" s="12" t="inlineStr">
        <is>
          <t>TowerOn</t>
        </is>
      </c>
      <c r="C10" s="12" t="inlineStr">
        <is>
          <t>tower_bulk_on</t>
        </is>
      </c>
      <c r="D10" s="12" t="n">
        <v>180</v>
      </c>
      <c r="E10" s="12" t="n">
        <v>180</v>
      </c>
      <c r="F10" s="9" t="n">
        <v>0.95</v>
      </c>
    </row>
    <row r="11">
      <c r="A11" s="12" t="inlineStr">
        <is>
          <t>windon</t>
        </is>
      </c>
      <c r="B11" s="12" t="inlineStr">
        <is>
          <t>NacelleOn</t>
        </is>
      </c>
      <c r="C11" s="12" t="inlineStr">
        <is>
          <t>aluminum</t>
        </is>
      </c>
      <c r="D11" s="12" t="n">
        <v>0.806451216</v>
      </c>
      <c r="E11" s="12" t="n">
        <v>0.806451216</v>
      </c>
      <c r="F11" t="inlineStr">
        <is>
          <t>0.95</t>
        </is>
      </c>
    </row>
    <row r="12">
      <c r="A12" s="12" t="inlineStr">
        <is>
          <t>windon</t>
        </is>
      </c>
      <c r="B12" s="12" t="inlineStr">
        <is>
          <t>NacelleOn</t>
        </is>
      </c>
      <c r="C12" s="12" t="inlineStr">
        <is>
          <t>cobalt</t>
        </is>
      </c>
      <c r="D12" s="12" t="n">
        <v>0.002441776000000001</v>
      </c>
      <c r="E12" s="12" t="n">
        <v>0.002441776000000001</v>
      </c>
      <c r="F12" t="inlineStr">
        <is>
          <t>0.95</t>
        </is>
      </c>
    </row>
    <row r="13">
      <c r="A13" s="12" t="inlineStr">
        <is>
          <t>windon</t>
        </is>
      </c>
      <c r="B13" s="12" t="inlineStr">
        <is>
          <t>NacelleOn</t>
        </is>
      </c>
      <c r="C13" s="12" t="inlineStr">
        <is>
          <t>copper</t>
        </is>
      </c>
      <c r="D13" s="12" t="n">
        <v>0.9959852740000001</v>
      </c>
      <c r="E13" s="12" t="n">
        <v>0.9959852740000001</v>
      </c>
      <c r="F13" t="inlineStr">
        <is>
          <t>0.95</t>
        </is>
      </c>
    </row>
    <row r="14">
      <c r="A14" s="12" t="inlineStr">
        <is>
          <t>windon</t>
        </is>
      </c>
      <c r="B14" s="12" t="inlineStr">
        <is>
          <t>NacelleOn</t>
        </is>
      </c>
      <c r="C14" s="12" t="inlineStr">
        <is>
          <t>dysprosium</t>
        </is>
      </c>
      <c r="D14" s="12" t="n">
        <v>0.00188752</v>
      </c>
      <c r="E14" s="12" t="n">
        <v>0.00188752</v>
      </c>
      <c r="F14" t="inlineStr">
        <is>
          <t>0.95</t>
        </is>
      </c>
    </row>
    <row r="15">
      <c r="A15" s="12" t="inlineStr">
        <is>
          <t>windon</t>
        </is>
      </c>
      <c r="B15" s="12" t="inlineStr">
        <is>
          <t>NacelleOn</t>
        </is>
      </c>
      <c r="C15" s="12" t="inlineStr">
        <is>
          <t>gallium</t>
        </is>
      </c>
      <c r="D15" s="12" t="n">
        <v>4.481900000000001e-05</v>
      </c>
      <c r="E15" s="12" t="n">
        <v>4.481900000000001e-05</v>
      </c>
      <c r="F15" t="inlineStr">
        <is>
          <t>0.95</t>
        </is>
      </c>
    </row>
    <row r="16">
      <c r="A16" s="12" t="inlineStr">
        <is>
          <t>windon</t>
        </is>
      </c>
      <c r="B16" s="12" t="inlineStr">
        <is>
          <t>TowerOn</t>
        </is>
      </c>
      <c r="C16" s="12" t="inlineStr">
        <is>
          <t>graphite</t>
        </is>
      </c>
      <c r="D16" s="12" t="n">
        <v>0.004600563</v>
      </c>
      <c r="E16" s="12" t="n">
        <v>0.004600563</v>
      </c>
      <c r="F16" t="inlineStr">
        <is>
          <t>0.95</t>
        </is>
      </c>
    </row>
    <row r="17">
      <c r="A17" s="12" t="inlineStr">
        <is>
          <t>windon</t>
        </is>
      </c>
      <c r="B17" s="12" t="inlineStr">
        <is>
          <t>TowerOn</t>
        </is>
      </c>
      <c r="C17" s="12" t="inlineStr">
        <is>
          <t>lithium</t>
        </is>
      </c>
      <c r="D17" s="12" t="n">
        <v>0.0009056530000000001</v>
      </c>
      <c r="E17" s="12" t="n">
        <v>0.0009056530000000001</v>
      </c>
      <c r="F17" t="inlineStr">
        <is>
          <t>0.95</t>
        </is>
      </c>
    </row>
    <row r="18">
      <c r="A18" s="12" t="inlineStr">
        <is>
          <t>windon</t>
        </is>
      </c>
      <c r="B18" s="12" t="inlineStr">
        <is>
          <t>NacelleOn</t>
        </is>
      </c>
      <c r="C18" s="12" t="inlineStr">
        <is>
          <t>manganese</t>
        </is>
      </c>
      <c r="D18" s="12" t="n">
        <v>1.977465884</v>
      </c>
      <c r="E18" s="12" t="n">
        <v>1.977465884</v>
      </c>
      <c r="F18" t="inlineStr">
        <is>
          <t>0.95</t>
        </is>
      </c>
    </row>
    <row r="19">
      <c r="A19" s="12" t="inlineStr">
        <is>
          <t>windon</t>
        </is>
      </c>
      <c r="B19" s="12" t="inlineStr">
        <is>
          <t>NacelleOn</t>
        </is>
      </c>
      <c r="C19" s="12" t="inlineStr">
        <is>
          <t>neodymium</t>
        </is>
      </c>
      <c r="D19" s="12" t="n">
        <v>0.03966374800000001</v>
      </c>
      <c r="E19" s="12" t="n">
        <v>0.03966374800000001</v>
      </c>
      <c r="F19" t="inlineStr">
        <is>
          <t>0.95</t>
        </is>
      </c>
    </row>
    <row r="20">
      <c r="A20" s="12" t="inlineStr">
        <is>
          <t>windon</t>
        </is>
      </c>
      <c r="B20" s="12" t="inlineStr">
        <is>
          <t>NacelleOn</t>
        </is>
      </c>
      <c r="C20" s="12" t="inlineStr">
        <is>
          <t>nickel</t>
        </is>
      </c>
      <c r="D20" s="12" t="n">
        <v>2.121052816</v>
      </c>
      <c r="E20" s="12" t="n">
        <v>2.121052816</v>
      </c>
      <c r="F20" t="inlineStr">
        <is>
          <t>0.95</t>
        </is>
      </c>
    </row>
    <row r="21">
      <c r="A21" s="12" t="inlineStr">
        <is>
          <t>windon</t>
        </is>
      </c>
      <c r="B21" s="12" t="inlineStr">
        <is>
          <t>NacelleOn</t>
        </is>
      </c>
      <c r="C21" s="12" t="inlineStr">
        <is>
          <t>niobium</t>
        </is>
      </c>
      <c r="D21" s="12" t="n">
        <v>0.000304642</v>
      </c>
      <c r="E21" s="12" t="n">
        <v>0.000304642</v>
      </c>
      <c r="F21" t="inlineStr">
        <is>
          <t>0.95</t>
        </is>
      </c>
    </row>
    <row r="22">
      <c r="A22" s="12" t="inlineStr">
        <is>
          <t>windon</t>
        </is>
      </c>
      <c r="B22" s="12" t="inlineStr">
        <is>
          <t>NacelleOn</t>
        </is>
      </c>
      <c r="C22" s="12" t="inlineStr">
        <is>
          <t>praseodymium</t>
        </is>
      </c>
      <c r="D22" s="12" t="n">
        <v>0.000532896</v>
      </c>
      <c r="E22" s="12" t="n">
        <v>0.000532896</v>
      </c>
      <c r="F22" t="inlineStr">
        <is>
          <t>0.95</t>
        </is>
      </c>
    </row>
    <row r="23">
      <c r="A23" s="12" t="inlineStr">
        <is>
          <t>windon</t>
        </is>
      </c>
      <c r="B23" s="12" t="inlineStr">
        <is>
          <t>NacelleOn</t>
        </is>
      </c>
      <c r="C23" s="12" t="inlineStr">
        <is>
          <t>terbium</t>
        </is>
      </c>
      <c r="D23" s="12" t="n">
        <v>2.3e-08</v>
      </c>
      <c r="E23" s="12" t="n">
        <v>2.3e-08</v>
      </c>
      <c r="F23" t="inlineStr">
        <is>
          <t>0.95</t>
        </is>
      </c>
    </row>
    <row r="24">
      <c r="A24" s="12" t="inlineStr">
        <is>
          <t>windon</t>
        </is>
      </c>
      <c r="B24" s="12" t="inlineStr">
        <is>
          <t>NacelleOn</t>
        </is>
      </c>
      <c r="C24" s="12" t="inlineStr">
        <is>
          <t>titanium</t>
        </is>
      </c>
      <c r="D24" s="12" t="n">
        <v>0.050735241</v>
      </c>
      <c r="E24" s="12" t="n">
        <v>0.050735241</v>
      </c>
      <c r="F24" t="inlineStr">
        <is>
          <t>0.95</t>
        </is>
      </c>
    </row>
    <row r="25">
      <c r="A25" s="12" t="inlineStr">
        <is>
          <t>windon</t>
        </is>
      </c>
      <c r="B25" s="12" t="inlineStr">
        <is>
          <t>NacelleOn</t>
        </is>
      </c>
      <c r="C25" s="12" t="inlineStr">
        <is>
          <t>vanadium</t>
        </is>
      </c>
      <c r="D25" s="12" t="n">
        <v>1.52e-07</v>
      </c>
      <c r="E25" s="12" t="n">
        <v>1.52e-07</v>
      </c>
      <c r="F25" t="inlineStr">
        <is>
          <t>0.95</t>
        </is>
      </c>
    </row>
    <row r="26">
      <c r="A26" s="12" t="inlineStr">
        <is>
          <t>windoff</t>
        </is>
      </c>
      <c r="B26" s="12" t="inlineStr">
        <is>
          <t>BladeOff</t>
        </is>
      </c>
      <c r="C26" s="12" t="inlineStr">
        <is>
          <t>blade_bulk_off</t>
        </is>
      </c>
      <c r="D26" s="12" t="n">
        <v>30</v>
      </c>
      <c r="E26" s="12" t="n">
        <v>30</v>
      </c>
      <c r="F26" s="9" t="n">
        <v>0</v>
      </c>
    </row>
    <row r="27">
      <c r="A27" s="12" t="inlineStr">
        <is>
          <t>windoff</t>
        </is>
      </c>
      <c r="B27" s="12" t="inlineStr">
        <is>
          <t>TowerOff</t>
        </is>
      </c>
      <c r="C27" s="12" t="inlineStr">
        <is>
          <t>tower_bulk_off</t>
        </is>
      </c>
      <c r="D27" s="12" t="n">
        <v>250</v>
      </c>
      <c r="E27" s="12" t="n">
        <v>250</v>
      </c>
      <c r="F27" s="9" t="n">
        <v>0.95</v>
      </c>
    </row>
    <row r="28">
      <c r="A28" s="12" t="inlineStr">
        <is>
          <t>windoff</t>
        </is>
      </c>
      <c r="B28" s="12" t="inlineStr">
        <is>
          <t>NacelleOff</t>
        </is>
      </c>
      <c r="C28" s="12" t="inlineStr">
        <is>
          <t>aluminum</t>
        </is>
      </c>
      <c r="D28" s="12" t="n">
        <v>0.761857615</v>
      </c>
      <c r="E28" s="12" t="n">
        <v>0.761857615</v>
      </c>
      <c r="F28" t="inlineStr">
        <is>
          <t>0.95</t>
        </is>
      </c>
    </row>
    <row r="29">
      <c r="A29" s="12" t="inlineStr">
        <is>
          <t>windoff</t>
        </is>
      </c>
      <c r="B29" s="12" t="inlineStr">
        <is>
          <t>NacelleOff</t>
        </is>
      </c>
      <c r="C29" s="12" t="inlineStr">
        <is>
          <t>boron</t>
        </is>
      </c>
      <c r="D29" s="12" t="n">
        <v>0.002054246999999999</v>
      </c>
      <c r="E29" s="12" t="n">
        <v>0.002054246999999999</v>
      </c>
      <c r="F29" t="inlineStr">
        <is>
          <t>0.95</t>
        </is>
      </c>
    </row>
    <row r="30">
      <c r="A30" s="12" t="inlineStr">
        <is>
          <t>windoff</t>
        </is>
      </c>
      <c r="B30" s="12" t="inlineStr">
        <is>
          <t>NacelleOff</t>
        </is>
      </c>
      <c r="C30" s="12" t="inlineStr">
        <is>
          <t>cobalt</t>
        </is>
      </c>
      <c r="D30" s="12" t="n">
        <v>0.001331902</v>
      </c>
      <c r="E30" s="12" t="n">
        <v>0.001331902</v>
      </c>
      <c r="F30" t="inlineStr">
        <is>
          <t>0.95</t>
        </is>
      </c>
    </row>
    <row r="31">
      <c r="A31" s="12" t="inlineStr">
        <is>
          <t>windoff</t>
        </is>
      </c>
      <c r="B31" s="12" t="inlineStr">
        <is>
          <t>NacelleOff</t>
        </is>
      </c>
      <c r="C31" s="12" t="inlineStr">
        <is>
          <t>copper</t>
        </is>
      </c>
      <c r="D31" s="12" t="n">
        <v>1.553453376</v>
      </c>
      <c r="E31" s="12" t="n">
        <v>1.553453376</v>
      </c>
      <c r="F31" t="inlineStr">
        <is>
          <t>0.95</t>
        </is>
      </c>
    </row>
    <row r="32">
      <c r="A32" s="12" t="inlineStr">
        <is>
          <t>windoff</t>
        </is>
      </c>
      <c r="B32" s="12" t="inlineStr">
        <is>
          <t>NacelleOff</t>
        </is>
      </c>
      <c r="C32" s="12" t="inlineStr">
        <is>
          <t>dysprosium</t>
        </is>
      </c>
      <c r="D32" s="12" t="n">
        <v>0.006562939</v>
      </c>
      <c r="E32" s="12" t="n">
        <v>0.006562939</v>
      </c>
      <c r="F32" t="inlineStr">
        <is>
          <t>0.95</t>
        </is>
      </c>
    </row>
    <row r="33">
      <c r="A33" s="12" t="inlineStr">
        <is>
          <t>windoff</t>
        </is>
      </c>
      <c r="B33" s="12" t="inlineStr">
        <is>
          <t>NacelleOff</t>
        </is>
      </c>
      <c r="C33" s="12" t="inlineStr">
        <is>
          <t>gallium</t>
        </is>
      </c>
      <c r="D33" s="12" t="n">
        <v>1.592e-05</v>
      </c>
      <c r="E33" s="12" t="n">
        <v>1.592e-05</v>
      </c>
      <c r="F33" t="inlineStr">
        <is>
          <t>0.95</t>
        </is>
      </c>
    </row>
    <row r="34">
      <c r="A34" s="12" t="inlineStr">
        <is>
          <t>windoff</t>
        </is>
      </c>
      <c r="B34" s="12" t="inlineStr">
        <is>
          <t>TowerOff</t>
        </is>
      </c>
      <c r="C34" s="12" t="inlineStr">
        <is>
          <t>graphite</t>
        </is>
      </c>
      <c r="D34" s="12" t="n">
        <v>0.006393805999999999</v>
      </c>
      <c r="E34" s="12" t="n">
        <v>0.006393805999999999</v>
      </c>
      <c r="F34" t="inlineStr">
        <is>
          <t>0.95</t>
        </is>
      </c>
    </row>
    <row r="35">
      <c r="A35" s="12" t="inlineStr">
        <is>
          <t>windoff</t>
        </is>
      </c>
      <c r="B35" s="12" t="inlineStr">
        <is>
          <t>TowerOff</t>
        </is>
      </c>
      <c r="C35" s="12" t="inlineStr">
        <is>
          <t>lithium</t>
        </is>
      </c>
      <c r="D35" s="12" t="n">
        <v>0.001265682</v>
      </c>
      <c r="E35" s="12" t="n">
        <v>0.001265682</v>
      </c>
      <c r="F35" t="inlineStr">
        <is>
          <t>0.95</t>
        </is>
      </c>
    </row>
    <row r="36">
      <c r="A36" s="12" t="inlineStr">
        <is>
          <t>windoff</t>
        </is>
      </c>
      <c r="B36" s="12" t="inlineStr">
        <is>
          <t>NacelleOff</t>
        </is>
      </c>
      <c r="C36" s="12" t="inlineStr">
        <is>
          <t>manganese</t>
        </is>
      </c>
      <c r="D36" s="12" t="n">
        <v>1.057353726</v>
      </c>
      <c r="E36" s="12" t="n">
        <v>1.057353726</v>
      </c>
      <c r="F36" t="inlineStr">
        <is>
          <t>0.95</t>
        </is>
      </c>
    </row>
    <row r="37">
      <c r="A37" s="12" t="inlineStr">
        <is>
          <t>windoff</t>
        </is>
      </c>
      <c r="B37" s="12" t="inlineStr">
        <is>
          <t>NacelleOff</t>
        </is>
      </c>
      <c r="C37" s="12" t="inlineStr">
        <is>
          <t>molybdenum</t>
        </is>
      </c>
      <c r="D37" s="12" t="n">
        <v>0.000373499</v>
      </c>
      <c r="E37" s="12" t="n">
        <v>0.000373499</v>
      </c>
      <c r="F37" t="inlineStr">
        <is>
          <t>0.95</t>
        </is>
      </c>
    </row>
    <row r="38">
      <c r="A38" s="12" t="inlineStr">
        <is>
          <t>windoff</t>
        </is>
      </c>
      <c r="B38" s="12" t="inlineStr">
        <is>
          <t>NacelleOff</t>
        </is>
      </c>
      <c r="C38" s="12" t="inlineStr">
        <is>
          <t>neodymium</t>
        </is>
      </c>
      <c r="D38" s="12" t="n">
        <v>0.105609187</v>
      </c>
      <c r="E38" s="12" t="n">
        <v>0.105609187</v>
      </c>
      <c r="F38" t="inlineStr">
        <is>
          <t>0.95</t>
        </is>
      </c>
    </row>
    <row r="39">
      <c r="A39" s="12" t="inlineStr">
        <is>
          <t>windoff</t>
        </is>
      </c>
      <c r="B39" s="12" t="inlineStr">
        <is>
          <t>NacelleOff</t>
        </is>
      </c>
      <c r="C39" s="12" t="inlineStr">
        <is>
          <t>nickel</t>
        </is>
      </c>
      <c r="D39" s="12" t="n">
        <v>0.862416053</v>
      </c>
      <c r="E39" s="12" t="n">
        <v>0.862416053</v>
      </c>
      <c r="F39" t="inlineStr">
        <is>
          <t>0.95</t>
        </is>
      </c>
    </row>
    <row r="40">
      <c r="A40" s="12" t="inlineStr">
        <is>
          <t>windoff</t>
        </is>
      </c>
      <c r="B40" s="12" t="inlineStr">
        <is>
          <t>NacelleOff</t>
        </is>
      </c>
      <c r="C40" s="12" t="inlineStr">
        <is>
          <t>niobium</t>
        </is>
      </c>
      <c r="D40" s="12" t="n">
        <v>0.000159808</v>
      </c>
      <c r="E40" s="12" t="n">
        <v>0.000159808</v>
      </c>
      <c r="F40" t="inlineStr">
        <is>
          <t>0.95</t>
        </is>
      </c>
    </row>
    <row r="41">
      <c r="A41" s="12" t="inlineStr">
        <is>
          <t>windoff</t>
        </is>
      </c>
      <c r="B41" s="12" t="inlineStr">
        <is>
          <t>NacelleOff</t>
        </is>
      </c>
      <c r="C41" s="12" t="inlineStr">
        <is>
          <t>praseodymium</t>
        </is>
      </c>
      <c r="D41" s="12" t="n">
        <v>0.04317921</v>
      </c>
      <c r="E41" s="12" t="n">
        <v>0.04317921</v>
      </c>
      <c r="F41" t="inlineStr">
        <is>
          <t>0.95</t>
        </is>
      </c>
    </row>
    <row r="42">
      <c r="A42" s="12" t="inlineStr">
        <is>
          <t>windoff</t>
        </is>
      </c>
      <c r="B42" s="12" t="inlineStr">
        <is>
          <t>NacelleOff</t>
        </is>
      </c>
      <c r="C42" s="12" t="inlineStr">
        <is>
          <t>terbium</t>
        </is>
      </c>
      <c r="D42" s="12" t="n">
        <v>0.0003735090000000001</v>
      </c>
      <c r="E42" s="12" t="n">
        <v>0.0003735090000000001</v>
      </c>
      <c r="F42" t="inlineStr">
        <is>
          <t>0.95</t>
        </is>
      </c>
    </row>
    <row r="43">
      <c r="A43" s="12" t="inlineStr">
        <is>
          <t>windoff</t>
        </is>
      </c>
      <c r="B43" s="12" t="inlineStr">
        <is>
          <t>NacelleOff</t>
        </is>
      </c>
      <c r="C43" s="12" t="inlineStr">
        <is>
          <t>titanium</t>
        </is>
      </c>
      <c r="D43" s="12" t="n">
        <v>0.026648078</v>
      </c>
      <c r="E43" s="12" t="n">
        <v>0.026648078</v>
      </c>
      <c r="F43" t="inlineStr">
        <is>
          <t>0.95</t>
        </is>
      </c>
    </row>
    <row r="44">
      <c r="A44" s="12" t="inlineStr">
        <is>
          <t>windoff</t>
        </is>
      </c>
      <c r="B44" s="12" t="inlineStr">
        <is>
          <t>NacelleOff</t>
        </is>
      </c>
      <c r="C44" s="12" t="inlineStr">
        <is>
          <t>vanadium</t>
        </is>
      </c>
      <c r="D44" s="12" t="n">
        <v>4.4e-08</v>
      </c>
      <c r="E44" s="12" t="n">
        <v>4.4e-08</v>
      </c>
      <c r="F44" t="inlineStr">
        <is>
          <t>0.95</t>
        </is>
      </c>
    </row>
    <row r="45">
      <c r="A45" t="inlineStr">
        <is>
          <t>Batteries</t>
        </is>
      </c>
      <c r="B45" t="inlineStr">
        <is>
          <t>CellBatt</t>
        </is>
      </c>
      <c r="C45" s="19" t="inlineStr">
        <is>
          <t>lithium</t>
        </is>
      </c>
      <c r="D45" t="n">
        <v>0</v>
      </c>
      <c r="E45" t="n">
        <v>0</v>
      </c>
      <c r="F45" t="n">
        <v>0</v>
      </c>
    </row>
    <row r="46">
      <c r="A46" t="inlineStr">
        <is>
          <t>Batteries</t>
        </is>
      </c>
      <c r="B46" t="inlineStr">
        <is>
          <t>CellBatt</t>
        </is>
      </c>
      <c r="C46" s="18" t="inlineStr">
        <is>
          <t>cobalt</t>
        </is>
      </c>
      <c r="D46" t="n">
        <v>0</v>
      </c>
      <c r="E46" t="n">
        <v>0</v>
      </c>
      <c r="F46" t="n">
        <v>0</v>
      </c>
    </row>
  </sheetData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E4" sqref="E4"/>
    </sheetView>
  </sheetViews>
  <sheetFormatPr baseColWidth="10" defaultRowHeight="15"/>
  <sheetData>
    <row r="1">
      <c r="A1" t="inlineStr">
        <is>
          <t>Location</t>
        </is>
      </c>
      <c r="B1" t="inlineStr">
        <is>
          <t>Technology</t>
        </is>
      </c>
      <c r="C1" t="inlineStr">
        <is>
          <t>capex</t>
        </is>
      </c>
      <c r="D1" t="inlineStr">
        <is>
          <t>opex_fixed</t>
        </is>
      </c>
      <c r="E1" t="inlineStr">
        <is>
          <t>opex_var</t>
        </is>
      </c>
      <c r="F1" t="inlineStr">
        <is>
          <t>capex_magnet</t>
        </is>
      </c>
      <c r="G1" t="inlineStr">
        <is>
          <t>opex_fixed_magnet</t>
        </is>
      </c>
      <c r="H1" t="inlineStr">
        <is>
          <t>opex_var_magnet</t>
        </is>
      </c>
      <c r="I1" t="inlineStr">
        <is>
          <t>capex_bulk</t>
        </is>
      </c>
      <c r="J1" t="inlineStr">
        <is>
          <t>opex_fixed_bulk</t>
        </is>
      </c>
      <c r="K1" t="inlineStr">
        <is>
          <t>opex_var_bulk</t>
        </is>
      </c>
    </row>
    <row r="2">
      <c r="A2" t="inlineStr">
        <is>
          <t>EU27</t>
        </is>
      </c>
      <c r="B2" t="inlineStr">
        <is>
          <t>windon</t>
        </is>
      </c>
      <c r="C2" t="n">
        <v>0</v>
      </c>
      <c r="D2" t="n">
        <v>0</v>
      </c>
      <c r="E2" t="n">
        <v>0</v>
      </c>
      <c r="F2" t="n">
        <v>1687.77</v>
      </c>
      <c r="G2" t="n">
        <v>450</v>
      </c>
      <c r="H2" t="n">
        <v>5776</v>
      </c>
      <c r="I2" t="n">
        <v>450</v>
      </c>
      <c r="J2" t="n">
        <v>0</v>
      </c>
      <c r="K2" t="n">
        <v>245</v>
      </c>
    </row>
    <row r="3">
      <c r="A3" t="inlineStr">
        <is>
          <t>EU27</t>
        </is>
      </c>
      <c r="B3" t="inlineStr">
        <is>
          <t>windoff</t>
        </is>
      </c>
      <c r="C3" t="n">
        <v>0</v>
      </c>
      <c r="D3" t="n">
        <v>0</v>
      </c>
      <c r="E3" t="n">
        <v>0</v>
      </c>
      <c r="F3" t="n">
        <v>1687.77</v>
      </c>
      <c r="G3" t="n">
        <v>450</v>
      </c>
      <c r="H3" t="n">
        <v>5776</v>
      </c>
      <c r="I3" t="n">
        <v>450</v>
      </c>
      <c r="J3" t="n">
        <v>0</v>
      </c>
      <c r="K3" t="n">
        <v>245</v>
      </c>
    </row>
    <row r="4">
      <c r="A4" t="inlineStr">
        <is>
          <t>EU27</t>
        </is>
      </c>
      <c r="B4" t="inlineStr">
        <is>
          <t>solarPV</t>
        </is>
      </c>
      <c r="C4" t="n">
        <v>365.8714333333334</v>
      </c>
      <c r="D4" t="n">
        <v>580.2594074074075</v>
      </c>
      <c r="E4" t="n">
        <v>165.1429259259259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</row>
    <row r="5">
      <c r="A5" t="inlineStr">
        <is>
          <t>EU27</t>
        </is>
      </c>
      <c r="B5" t="inlineStr">
        <is>
          <t>Batteries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H26" sqref="H26"/>
    </sheetView>
  </sheetViews>
  <sheetFormatPr baseColWidth="10" defaultRowHeight="15"/>
  <cols>
    <col width="14" customWidth="1" min="1" max="1"/>
    <col width="16.7109375" customWidth="1" min="2" max="2"/>
  </cols>
  <sheetData>
    <row r="1">
      <c r="A1" t="inlineStr">
        <is>
          <t>material</t>
        </is>
      </c>
      <c r="B1" t="inlineStr">
        <is>
          <t>base_2024</t>
        </is>
      </c>
      <c r="C1" t="inlineStr">
        <is>
          <t>lds_2030</t>
        </is>
      </c>
      <c r="D1" t="inlineStr">
        <is>
          <t>lds_2050</t>
        </is>
      </c>
      <c r="E1" t="inlineStr">
        <is>
          <t>hds_2030</t>
        </is>
      </c>
      <c r="F1" t="inlineStr">
        <is>
          <t>hds_2050</t>
        </is>
      </c>
      <c r="G1" t="inlineStr">
        <is>
          <t>price_t1</t>
        </is>
      </c>
      <c r="H1" t="inlineStr">
        <is>
          <t>price_t2</t>
        </is>
      </c>
      <c r="I1" t="inlineStr">
        <is>
          <t>price_t3</t>
        </is>
      </c>
    </row>
    <row r="2">
      <c r="A2" t="inlineStr">
        <is>
          <t>aluminum</t>
        </is>
      </c>
      <c r="B2" t="n">
        <v>227523.0621</v>
      </c>
      <c r="C2" t="n">
        <v>279311.248</v>
      </c>
      <c r="D2" t="n">
        <v>432218.5244</v>
      </c>
      <c r="E2" t="n">
        <v>554128.5827</v>
      </c>
      <c r="F2" t="n">
        <v>889333.3959999999</v>
      </c>
      <c r="G2" s="12" t="n">
        <v>1800</v>
      </c>
      <c r="H2">
        <f>SUM(G2*1.25)</f>
        <v/>
      </c>
      <c r="I2">
        <f>SUM(H2*1.5)</f>
        <v/>
      </c>
    </row>
    <row r="3">
      <c r="A3" t="inlineStr">
        <is>
          <t>glass</t>
        </is>
      </c>
      <c r="B3" t="n">
        <v>1090137.72</v>
      </c>
      <c r="C3" t="n">
        <v>1112986.007</v>
      </c>
      <c r="D3" t="n">
        <v>1204836.411</v>
      </c>
      <c r="E3" t="n">
        <v>2290046.685</v>
      </c>
      <c r="F3" t="n">
        <v>2727549.754</v>
      </c>
      <c r="G3" t="n">
        <v>360</v>
      </c>
      <c r="H3">
        <f>SUM(G3*1.25)</f>
        <v/>
      </c>
      <c r="I3">
        <f>SUM(H3*1.5)</f>
        <v/>
      </c>
    </row>
    <row r="4">
      <c r="A4" t="inlineStr">
        <is>
          <t>polymers</t>
        </is>
      </c>
      <c r="B4" t="n">
        <v>189432.2275</v>
      </c>
      <c r="C4" t="n">
        <v>225357.3826</v>
      </c>
      <c r="D4" t="n">
        <v>225623.5694</v>
      </c>
      <c r="E4" t="n">
        <v>467857.2253</v>
      </c>
      <c r="F4" t="n">
        <v>552887.0533</v>
      </c>
      <c r="G4" t="n">
        <v>1760</v>
      </c>
      <c r="H4">
        <f>SUM(G4*1.25)</f>
        <v/>
      </c>
      <c r="I4">
        <f>SUM(H4*1.5)</f>
        <v/>
      </c>
    </row>
    <row r="5">
      <c r="A5" t="inlineStr">
        <is>
          <t>copper</t>
        </is>
      </c>
      <c r="B5" t="n">
        <v>94712.80981000001</v>
      </c>
      <c r="C5" t="n">
        <v>217018.289</v>
      </c>
      <c r="D5" t="n">
        <v>349364.5172</v>
      </c>
      <c r="E5" t="n">
        <v>496783.8402</v>
      </c>
      <c r="F5" t="n">
        <v>845312.1421000001</v>
      </c>
      <c r="G5" t="n">
        <v>4500</v>
      </c>
      <c r="H5">
        <f>SUM(G5*1.25)</f>
        <v/>
      </c>
      <c r="I5">
        <f>SUM(H5*1.5)</f>
        <v/>
      </c>
    </row>
    <row r="6">
      <c r="A6" t="inlineStr">
        <is>
          <t>silver</t>
        </is>
      </c>
      <c r="B6" t="n">
        <v>541.2289828</v>
      </c>
      <c r="C6" t="n">
        <v>467.0607752</v>
      </c>
      <c r="D6" t="n">
        <v>331.3633139</v>
      </c>
      <c r="E6" t="n">
        <v>961.0102676</v>
      </c>
      <c r="F6" t="n">
        <v>750.1515702</v>
      </c>
      <c r="G6" t="n">
        <v>2500000</v>
      </c>
      <c r="H6">
        <f>SUM(G6*1.25)</f>
        <v/>
      </c>
      <c r="I6">
        <f>SUM(H6*1.5)</f>
        <v/>
      </c>
    </row>
    <row r="7">
      <c r="A7" t="inlineStr">
        <is>
          <t>silicon</t>
        </is>
      </c>
      <c r="B7" t="n">
        <v>58452.73014</v>
      </c>
      <c r="C7" t="n">
        <v>50442.56373</v>
      </c>
      <c r="D7" t="n">
        <v>35787.2379</v>
      </c>
      <c r="E7" t="n">
        <v>103789.1089</v>
      </c>
      <c r="F7" t="n">
        <v>81016.36958</v>
      </c>
      <c r="G7" t="n">
        <v>2484</v>
      </c>
      <c r="H7">
        <f>SUM(G7*1.25)</f>
        <v/>
      </c>
      <c r="I7">
        <f>SUM(H7*1.5)</f>
        <v/>
      </c>
    </row>
    <row r="8">
      <c r="A8" t="inlineStr">
        <is>
          <t>cobalt</t>
        </is>
      </c>
      <c r="B8" t="n">
        <v>143</v>
      </c>
      <c r="C8" t="n">
        <v>3250</v>
      </c>
      <c r="D8" t="n">
        <v>8707</v>
      </c>
      <c r="E8" t="n">
        <v>4432</v>
      </c>
      <c r="F8" t="n">
        <v>11577</v>
      </c>
      <c r="G8" s="12" t="n">
        <v>34000</v>
      </c>
      <c r="H8">
        <f>SUM(G8*1.25)</f>
        <v/>
      </c>
      <c r="I8">
        <f>SUM(H8*1.5)</f>
        <v/>
      </c>
    </row>
    <row r="9">
      <c r="A9" t="inlineStr">
        <is>
          <t>dysprosium</t>
        </is>
      </c>
      <c r="B9" t="n">
        <v>57.29109511</v>
      </c>
      <c r="C9" t="n">
        <v>87.37679152</v>
      </c>
      <c r="D9" t="n">
        <v>47.30565348</v>
      </c>
      <c r="E9" t="n">
        <v>249.7710953</v>
      </c>
      <c r="F9" t="n">
        <v>296.4928741</v>
      </c>
      <c r="G9" s="12" t="n">
        <v>350000</v>
      </c>
      <c r="H9">
        <f>SUM(G9*1.25)</f>
        <v/>
      </c>
      <c r="I9">
        <f>SUM(H9*1.5)</f>
        <v/>
      </c>
    </row>
    <row r="10">
      <c r="A10" t="inlineStr">
        <is>
          <t>gallium</t>
        </is>
      </c>
      <c r="B10" t="n">
        <v>3.258768191</v>
      </c>
      <c r="C10" t="n">
        <v>2.81219751</v>
      </c>
      <c r="D10" t="n">
        <v>40.39686978</v>
      </c>
      <c r="E10" t="n">
        <v>5.7862934</v>
      </c>
      <c r="F10" t="n">
        <v>91.45181142</v>
      </c>
      <c r="G10" s="12" t="n">
        <v>450000</v>
      </c>
      <c r="H10">
        <f>SUM(G10*1.25)</f>
        <v/>
      </c>
      <c r="I10">
        <f>SUM(H10*1.5)</f>
        <v/>
      </c>
    </row>
    <row r="11">
      <c r="A11" t="inlineStr">
        <is>
          <t>graphite</t>
        </is>
      </c>
      <c r="B11" t="n">
        <v>1068</v>
      </c>
      <c r="C11" t="n">
        <v>20954</v>
      </c>
      <c r="D11" t="n">
        <v>102282</v>
      </c>
      <c r="E11" t="n">
        <v>33053</v>
      </c>
      <c r="F11" t="n">
        <v>174819</v>
      </c>
      <c r="G11" s="21" t="n">
        <v>1200</v>
      </c>
      <c r="H11">
        <f>SUM(G11*1.25)</f>
        <v/>
      </c>
      <c r="I11">
        <f>SUM(H11*1.5)</f>
        <v/>
      </c>
    </row>
    <row r="12">
      <c r="A12" t="inlineStr">
        <is>
          <t>lithium</t>
        </is>
      </c>
      <c r="B12" t="n">
        <v>133</v>
      </c>
      <c r="C12" t="n">
        <v>2551</v>
      </c>
      <c r="D12" t="n">
        <v>12146</v>
      </c>
      <c r="E12" t="n">
        <v>3912</v>
      </c>
      <c r="F12" t="n">
        <v>20052</v>
      </c>
      <c r="G12" s="21" t="n">
        <v>5000</v>
      </c>
      <c r="H12">
        <f>SUM(G12*1.25)</f>
        <v/>
      </c>
      <c r="I12">
        <f>SUM(H12*1.5)</f>
        <v/>
      </c>
    </row>
    <row r="13">
      <c r="A13" t="inlineStr">
        <is>
          <t>manganese</t>
        </is>
      </c>
      <c r="B13" t="n">
        <v>9206.958936999999</v>
      </c>
      <c r="C13" t="n">
        <v>19396.68872</v>
      </c>
      <c r="D13" t="n">
        <v>25205.33058</v>
      </c>
      <c r="E13" t="n">
        <v>37491.53433</v>
      </c>
      <c r="F13" t="n">
        <v>54340.91283</v>
      </c>
      <c r="G13" t="n">
        <v>1700</v>
      </c>
      <c r="H13">
        <f>SUM(G13*1.25)</f>
        <v/>
      </c>
      <c r="I13">
        <f>SUM(H13*1.5)</f>
        <v/>
      </c>
    </row>
    <row r="14">
      <c r="A14" t="inlineStr">
        <is>
          <t>neodymium</t>
        </is>
      </c>
      <c r="B14" t="n">
        <v>512.3570637</v>
      </c>
      <c r="C14" t="n">
        <v>760.3329172</v>
      </c>
      <c r="D14" t="n">
        <v>397.0063877</v>
      </c>
      <c r="E14" t="n">
        <v>2300.233115</v>
      </c>
      <c r="F14" t="n">
        <v>2870.991579</v>
      </c>
      <c r="G14" t="n">
        <v>46000</v>
      </c>
      <c r="H14">
        <f>SUM(G14*1.25)</f>
        <v/>
      </c>
      <c r="I14">
        <f>SUM(H14*1.5)</f>
        <v/>
      </c>
    </row>
    <row r="15">
      <c r="A15" t="inlineStr">
        <is>
          <t>nickel</t>
        </is>
      </c>
      <c r="B15" t="n">
        <v>3774.56544</v>
      </c>
      <c r="C15" t="n">
        <v>13908.37769</v>
      </c>
      <c r="D15" t="n">
        <v>41579.47473</v>
      </c>
      <c r="E15" t="n">
        <v>24201.7439</v>
      </c>
      <c r="F15" t="n">
        <v>86099.05359</v>
      </c>
      <c r="G15" t="n">
        <v>12500</v>
      </c>
      <c r="H15">
        <f>SUM(G15*1.25)</f>
        <v/>
      </c>
      <c r="I15">
        <f>SUM(H15*1.5)</f>
        <v/>
      </c>
    </row>
    <row r="16">
      <c r="A16" t="inlineStr">
        <is>
          <t>niobium</t>
        </is>
      </c>
      <c r="B16" t="n">
        <v>999999</v>
      </c>
      <c r="C16" t="n">
        <v>999999</v>
      </c>
      <c r="D16" t="n">
        <v>999999</v>
      </c>
      <c r="E16" t="n">
        <v>999999</v>
      </c>
      <c r="F16" t="n">
        <v>999999</v>
      </c>
      <c r="G16" t="n">
        <v>25760</v>
      </c>
      <c r="H16">
        <f>SUM(G16*1.25)</f>
        <v/>
      </c>
      <c r="I16">
        <f>SUM(H16*1.5)</f>
        <v/>
      </c>
    </row>
    <row r="17">
      <c r="A17" t="inlineStr">
        <is>
          <t>praseodymium</t>
        </is>
      </c>
      <c r="B17" t="n">
        <v>83.43826149</v>
      </c>
      <c r="C17" t="n">
        <v>123.0136218</v>
      </c>
      <c r="D17" t="n">
        <v>62.52611695</v>
      </c>
      <c r="E17" t="n">
        <v>387.3364694</v>
      </c>
      <c r="F17" t="n">
        <v>510.3282446</v>
      </c>
      <c r="G17" t="n">
        <v>46000</v>
      </c>
      <c r="H17">
        <f>SUM(G17*1.25)</f>
        <v/>
      </c>
      <c r="I17">
        <f>SUM(H17*1.5)</f>
        <v/>
      </c>
    </row>
    <row r="18">
      <c r="A18" t="inlineStr">
        <is>
          <t>terbium</t>
        </is>
      </c>
      <c r="B18" t="n">
        <v>19.86575678</v>
      </c>
      <c r="C18" t="n">
        <v>30.4308058</v>
      </c>
      <c r="D18" t="n">
        <v>16.17692212</v>
      </c>
      <c r="E18" t="n">
        <v>86.5185724</v>
      </c>
      <c r="F18" t="n">
        <v>104.7711334</v>
      </c>
      <c r="G18" t="n">
        <v>55000</v>
      </c>
      <c r="H18">
        <f>SUM(G18*1.25)</f>
        <v/>
      </c>
      <c r="I18">
        <f>SUM(H18*1.5)</f>
        <v/>
      </c>
    </row>
    <row r="19">
      <c r="A19" t="inlineStr">
        <is>
          <t>titanium</t>
        </is>
      </c>
      <c r="B19" t="n">
        <v>999999</v>
      </c>
      <c r="C19" t="n">
        <v>999999</v>
      </c>
      <c r="D19" t="n">
        <v>999999</v>
      </c>
      <c r="E19" t="n">
        <v>999999</v>
      </c>
      <c r="F19" t="n">
        <v>999999</v>
      </c>
      <c r="G19" t="n">
        <v>9</v>
      </c>
      <c r="H19">
        <f>SUM(G19*1.25)</f>
        <v/>
      </c>
      <c r="I19">
        <f>SUM(H19*1.5)</f>
        <v/>
      </c>
    </row>
    <row r="20">
      <c r="A20" t="inlineStr">
        <is>
          <t>vanadium</t>
        </is>
      </c>
      <c r="B20" t="n">
        <v>999999</v>
      </c>
      <c r="C20" t="n">
        <v>999999</v>
      </c>
      <c r="D20" t="n">
        <v>999999</v>
      </c>
      <c r="E20" t="n">
        <v>999999</v>
      </c>
      <c r="F20" t="n">
        <v>999999</v>
      </c>
      <c r="G20" t="n">
        <v>10000</v>
      </c>
      <c r="H20">
        <f>SUM(G20*1.25)</f>
        <v/>
      </c>
      <c r="I20">
        <f>SUM(H20*1.5)</f>
        <v/>
      </c>
    </row>
    <row r="21">
      <c r="A21" t="inlineStr">
        <is>
          <t>boron</t>
        </is>
      </c>
      <c r="B21" t="n">
        <v>13.73426465</v>
      </c>
      <c r="C21" t="n">
        <v>19.88186258</v>
      </c>
      <c r="D21" t="n">
        <v>9.909018708</v>
      </c>
      <c r="E21" t="n">
        <v>64.50386028</v>
      </c>
      <c r="F21" t="n">
        <v>86.24896262999999</v>
      </c>
      <c r="G21" t="n">
        <v>320</v>
      </c>
      <c r="H21">
        <f>SUM(G21*1.25)</f>
        <v/>
      </c>
      <c r="I21">
        <f>SUM(H21*1.5)</f>
        <v/>
      </c>
    </row>
    <row r="22">
      <c r="A22" t="inlineStr">
        <is>
          <t>molybdenum</t>
        </is>
      </c>
      <c r="B22" t="n">
        <v>1038.985657</v>
      </c>
      <c r="C22" t="n">
        <v>1791.928398</v>
      </c>
      <c r="D22" t="n">
        <v>1640.772738</v>
      </c>
      <c r="E22" t="n">
        <v>3851.313628</v>
      </c>
      <c r="F22" t="n">
        <v>4877.172018</v>
      </c>
      <c r="G22" t="n">
        <v>20000</v>
      </c>
      <c r="H22">
        <f>SUM(G22*1.25)</f>
        <v/>
      </c>
      <c r="I22">
        <f>SUM(H22*1.5)</f>
        <v/>
      </c>
    </row>
    <row r="23">
      <c r="A23" t="inlineStr">
        <is>
          <t>blade_bulk_off</t>
        </is>
      </c>
      <c r="B23" t="n">
        <v>999999</v>
      </c>
      <c r="C23" t="n">
        <v>999999</v>
      </c>
      <c r="D23" t="n">
        <v>999999</v>
      </c>
      <c r="E23" t="n">
        <v>999999</v>
      </c>
      <c r="F23" t="n">
        <v>999999</v>
      </c>
      <c r="G23" t="n">
        <v>1</v>
      </c>
      <c r="H23">
        <f>SUM(G23*1.25)</f>
        <v/>
      </c>
      <c r="I23">
        <f>SUM(H23*1.5)</f>
        <v/>
      </c>
    </row>
    <row r="24">
      <c r="A24" t="inlineStr">
        <is>
          <t>blade_bulk_on</t>
        </is>
      </c>
      <c r="B24" t="n">
        <v>999999</v>
      </c>
      <c r="C24" t="n">
        <v>999999</v>
      </c>
      <c r="D24" t="n">
        <v>999999</v>
      </c>
      <c r="E24" t="n">
        <v>999999</v>
      </c>
      <c r="F24" t="n">
        <v>999999</v>
      </c>
      <c r="G24" t="n">
        <v>1</v>
      </c>
      <c r="H24">
        <f>SUM(G24*1.25)</f>
        <v/>
      </c>
      <c r="I24">
        <f>SUM(H24*1.5)</f>
        <v/>
      </c>
    </row>
    <row r="25">
      <c r="A25" t="inlineStr">
        <is>
          <t>tower_bulk_off</t>
        </is>
      </c>
      <c r="B25" t="n">
        <v>999999</v>
      </c>
      <c r="C25" t="n">
        <v>999999</v>
      </c>
      <c r="D25" t="n">
        <v>999999</v>
      </c>
      <c r="E25" t="n">
        <v>999999</v>
      </c>
      <c r="F25" t="n">
        <v>999999</v>
      </c>
      <c r="G25" t="n">
        <v>1</v>
      </c>
      <c r="H25">
        <f>SUM(G25*1.25)</f>
        <v/>
      </c>
      <c r="I25">
        <f>SUM(H25*1.5)</f>
        <v/>
      </c>
    </row>
    <row r="26">
      <c r="A26" t="inlineStr">
        <is>
          <t>tower_bulk_on</t>
        </is>
      </c>
      <c r="B26" t="n">
        <v>999999</v>
      </c>
      <c r="C26" t="n">
        <v>999999</v>
      </c>
      <c r="D26" t="n">
        <v>999999</v>
      </c>
      <c r="E26" t="n">
        <v>999999</v>
      </c>
      <c r="F26" t="n">
        <v>999999</v>
      </c>
      <c r="G26" t="n">
        <v>1</v>
      </c>
      <c r="H26">
        <f>SUM(G26*1.25)</f>
        <v/>
      </c>
      <c r="I26">
        <f>SUM(H26*1.5)</f>
        <v/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G2" sqref="G2"/>
    </sheetView>
  </sheetViews>
  <sheetFormatPr baseColWidth="10" defaultRowHeight="15"/>
  <sheetData>
    <row r="1">
      <c r="A1" t="inlineStr">
        <is>
          <t>Stf</t>
        </is>
      </c>
      <c r="B1" t="inlineStr">
        <is>
          <t>aluminum</t>
        </is>
      </c>
      <c r="C1" t="inlineStr">
        <is>
          <t xml:space="preserve"> glass</t>
        </is>
      </c>
      <c r="D1" t="inlineStr">
        <is>
          <t xml:space="preserve"> polymers</t>
        </is>
      </c>
      <c r="E1" t="inlineStr">
        <is>
          <t xml:space="preserve"> copper</t>
        </is>
      </c>
      <c r="F1" t="inlineStr">
        <is>
          <t xml:space="preserve"> silver</t>
        </is>
      </c>
      <c r="G1" t="inlineStr">
        <is>
          <t xml:space="preserve"> silicon</t>
        </is>
      </c>
      <c r="H1" t="inlineStr">
        <is>
          <t xml:space="preserve"> blade_bulk_on</t>
        </is>
      </c>
      <c r="I1" t="inlineStr">
        <is>
          <t xml:space="preserve"> tower_bulk_on</t>
        </is>
      </c>
      <c r="J1" t="inlineStr">
        <is>
          <t xml:space="preserve"> cobalt</t>
        </is>
      </c>
      <c r="K1" t="inlineStr">
        <is>
          <t xml:space="preserve"> dysprosium</t>
        </is>
      </c>
      <c r="L1" t="inlineStr">
        <is>
          <t xml:space="preserve"> gallium</t>
        </is>
      </c>
      <c r="M1" t="inlineStr">
        <is>
          <t xml:space="preserve"> graphite</t>
        </is>
      </c>
      <c r="N1" t="inlineStr">
        <is>
          <t xml:space="preserve"> lithium</t>
        </is>
      </c>
      <c r="O1" t="inlineStr">
        <is>
          <t xml:space="preserve"> manganese</t>
        </is>
      </c>
      <c r="P1" t="inlineStr">
        <is>
          <t xml:space="preserve"> neodymium</t>
        </is>
      </c>
      <c r="Q1" t="inlineStr">
        <is>
          <t xml:space="preserve"> nickel</t>
        </is>
      </c>
      <c r="R1" t="inlineStr">
        <is>
          <t xml:space="preserve"> niobium</t>
        </is>
      </c>
      <c r="S1" t="inlineStr">
        <is>
          <t xml:space="preserve"> praseodymium</t>
        </is>
      </c>
      <c r="T1" t="inlineStr">
        <is>
          <t xml:space="preserve"> terbium</t>
        </is>
      </c>
      <c r="U1" t="inlineStr">
        <is>
          <t xml:space="preserve"> titanium</t>
        </is>
      </c>
      <c r="V1" t="inlineStr">
        <is>
          <t xml:space="preserve"> vanadium</t>
        </is>
      </c>
      <c r="W1" t="inlineStr">
        <is>
          <t xml:space="preserve"> blade_bulk_off</t>
        </is>
      </c>
      <c r="X1" t="inlineStr">
        <is>
          <t xml:space="preserve"> tower_bulk_off</t>
        </is>
      </c>
      <c r="Y1" t="inlineStr">
        <is>
          <t xml:space="preserve"> boron</t>
        </is>
      </c>
      <c r="Z1" t="inlineStr">
        <is>
          <t xml:space="preserve"> molybdenum</t>
        </is>
      </c>
    </row>
    <row r="2">
      <c r="A2" s="14" t="n">
        <v>2024</v>
      </c>
      <c r="B2" s="22" t="n">
        <v>2024431</v>
      </c>
      <c r="C2" s="15" t="n">
        <v>57100000</v>
      </c>
      <c r="D2" s="15" t="n">
        <v>58100000</v>
      </c>
      <c r="E2" s="22" t="n">
        <v>860748</v>
      </c>
      <c r="F2" s="15" t="n">
        <v>2064.033</v>
      </c>
      <c r="G2" s="15" t="n">
        <v>167000</v>
      </c>
      <c r="H2" t="n">
        <v>999999999</v>
      </c>
      <c r="I2" t="n">
        <v>999999999</v>
      </c>
      <c r="J2" s="22" t="n">
        <v>1235</v>
      </c>
      <c r="K2" t="n">
        <v>0</v>
      </c>
      <c r="L2" t="n">
        <v>0</v>
      </c>
      <c r="M2" s="22" t="n">
        <v>485</v>
      </c>
      <c r="N2" s="22" t="n">
        <v>280</v>
      </c>
      <c r="O2" s="22" t="n">
        <v>15000</v>
      </c>
      <c r="P2" t="n">
        <v>0</v>
      </c>
      <c r="Q2" s="22" t="n">
        <v>47673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999999999</v>
      </c>
      <c r="X2" t="n">
        <v>999999999</v>
      </c>
      <c r="Y2" t="n">
        <v>0</v>
      </c>
      <c r="Z2" t="n">
        <v>0</v>
      </c>
    </row>
    <row r="3">
      <c r="A3" s="14" t="n">
        <v>2025</v>
      </c>
      <c r="B3" s="22" t="n">
        <v>2024431</v>
      </c>
      <c r="C3" s="15" t="n">
        <v>57100000</v>
      </c>
      <c r="D3" s="15" t="n">
        <v>58100000</v>
      </c>
      <c r="E3" s="22" t="n">
        <v>860748</v>
      </c>
      <c r="F3" s="15" t="n">
        <v>2064.033</v>
      </c>
      <c r="G3" s="15" t="n">
        <v>167000</v>
      </c>
      <c r="H3" t="n">
        <v>999999999</v>
      </c>
      <c r="I3" t="n">
        <v>999999999</v>
      </c>
      <c r="J3" s="22" t="n">
        <v>1235</v>
      </c>
      <c r="K3" t="n">
        <v>0</v>
      </c>
      <c r="L3" t="n">
        <v>0</v>
      </c>
      <c r="M3" s="22" t="n">
        <v>485</v>
      </c>
      <c r="N3" s="22" t="n">
        <v>280</v>
      </c>
      <c r="O3" s="22" t="n">
        <v>15000</v>
      </c>
      <c r="P3" t="n">
        <v>0</v>
      </c>
      <c r="Q3" s="22" t="n">
        <v>47673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999999999</v>
      </c>
      <c r="X3" t="n">
        <v>999999999</v>
      </c>
      <c r="Y3" t="n">
        <v>0</v>
      </c>
      <c r="Z3" t="n">
        <v>0</v>
      </c>
    </row>
    <row r="4">
      <c r="A4" s="14" t="n">
        <v>2026</v>
      </c>
      <c r="B4" s="22" t="n">
        <v>2024431</v>
      </c>
      <c r="C4" s="15" t="n">
        <v>57100000</v>
      </c>
      <c r="D4" s="15" t="n">
        <v>58100000</v>
      </c>
      <c r="E4" s="22" t="n">
        <v>860748</v>
      </c>
      <c r="F4" s="15" t="n">
        <v>2064.033</v>
      </c>
      <c r="G4" s="15" t="n">
        <v>167000</v>
      </c>
      <c r="H4" t="n">
        <v>999999999</v>
      </c>
      <c r="I4" t="n">
        <v>999999999</v>
      </c>
      <c r="J4" s="22" t="n">
        <v>1235</v>
      </c>
      <c r="K4" t="n">
        <v>0</v>
      </c>
      <c r="L4" t="n">
        <v>0</v>
      </c>
      <c r="M4" s="22" t="n">
        <v>485</v>
      </c>
      <c r="N4" s="22" t="n">
        <v>280</v>
      </c>
      <c r="O4" s="22" t="n">
        <v>15000</v>
      </c>
      <c r="P4" t="n">
        <v>0</v>
      </c>
      <c r="Q4" s="22" t="n">
        <v>47673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999999999</v>
      </c>
      <c r="X4" t="n">
        <v>999999999</v>
      </c>
      <c r="Y4" t="n">
        <v>0</v>
      </c>
      <c r="Z4" t="n">
        <v>0</v>
      </c>
    </row>
    <row r="5">
      <c r="A5" s="14" t="n">
        <v>2027</v>
      </c>
      <c r="B5" s="22" t="n">
        <v>2024431</v>
      </c>
      <c r="C5" s="15" t="n">
        <v>57100000</v>
      </c>
      <c r="D5" s="15" t="n">
        <v>58100000</v>
      </c>
      <c r="E5" s="22" t="n">
        <v>860748</v>
      </c>
      <c r="F5" s="15" t="n">
        <v>2064.033</v>
      </c>
      <c r="G5" s="15" t="n">
        <v>167000</v>
      </c>
      <c r="H5" t="n">
        <v>999999999</v>
      </c>
      <c r="I5" t="n">
        <v>999999999</v>
      </c>
      <c r="J5" s="22" t="n">
        <v>1235</v>
      </c>
      <c r="K5" t="n">
        <v>0</v>
      </c>
      <c r="L5" t="n">
        <v>0</v>
      </c>
      <c r="M5" s="22" t="n">
        <v>485</v>
      </c>
      <c r="N5" s="22" t="n">
        <v>280</v>
      </c>
      <c r="O5" s="22" t="n">
        <v>15000</v>
      </c>
      <c r="P5" t="n">
        <v>0</v>
      </c>
      <c r="Q5" s="22" t="n">
        <v>47673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999999999</v>
      </c>
      <c r="X5" t="n">
        <v>999999999</v>
      </c>
      <c r="Y5" t="n">
        <v>0</v>
      </c>
      <c r="Z5" t="n">
        <v>0</v>
      </c>
    </row>
    <row r="6">
      <c r="A6" s="14" t="n">
        <v>2028</v>
      </c>
      <c r="B6" s="22" t="n">
        <v>2024431</v>
      </c>
      <c r="C6" s="15" t="n">
        <v>57100000</v>
      </c>
      <c r="D6" s="15" t="n">
        <v>58100000</v>
      </c>
      <c r="E6" s="22" t="n">
        <v>860748</v>
      </c>
      <c r="F6" s="15" t="n">
        <v>2064.033</v>
      </c>
      <c r="G6" s="15" t="n">
        <v>167000</v>
      </c>
      <c r="H6" t="n">
        <v>999999999</v>
      </c>
      <c r="I6" t="n">
        <v>999999999</v>
      </c>
      <c r="J6" s="22" t="n">
        <v>1235</v>
      </c>
      <c r="K6" t="n">
        <v>0</v>
      </c>
      <c r="L6" t="n">
        <v>0</v>
      </c>
      <c r="M6" s="22" t="n">
        <v>485</v>
      </c>
      <c r="N6" s="22" t="n">
        <v>280</v>
      </c>
      <c r="O6" s="22" t="n">
        <v>15000</v>
      </c>
      <c r="P6" t="n">
        <v>0</v>
      </c>
      <c r="Q6" s="22" t="n">
        <v>47673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999999999</v>
      </c>
      <c r="X6" t="n">
        <v>999999999</v>
      </c>
      <c r="Y6" t="n">
        <v>0</v>
      </c>
      <c r="Z6" t="n">
        <v>0</v>
      </c>
    </row>
    <row r="7">
      <c r="A7" s="14" t="n">
        <v>2029</v>
      </c>
      <c r="B7" s="22" t="n">
        <v>2024431</v>
      </c>
      <c r="C7" s="15" t="n">
        <v>57100000</v>
      </c>
      <c r="D7" s="15" t="n">
        <v>58100000</v>
      </c>
      <c r="E7" s="22" t="n">
        <v>860748</v>
      </c>
      <c r="F7" s="15" t="n">
        <v>2064.033</v>
      </c>
      <c r="G7" s="15" t="n">
        <v>167000</v>
      </c>
      <c r="H7" t="n">
        <v>999999999</v>
      </c>
      <c r="I7" t="n">
        <v>999999999</v>
      </c>
      <c r="J7" s="22" t="n">
        <v>1235</v>
      </c>
      <c r="K7" t="n">
        <v>0</v>
      </c>
      <c r="L7" t="n">
        <v>0</v>
      </c>
      <c r="M7" s="22" t="n">
        <v>485</v>
      </c>
      <c r="N7" s="22" t="n">
        <v>280</v>
      </c>
      <c r="O7" s="22" t="n">
        <v>15000</v>
      </c>
      <c r="P7" t="n">
        <v>0</v>
      </c>
      <c r="Q7" s="22" t="n">
        <v>47673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999999999</v>
      </c>
      <c r="X7" t="n">
        <v>999999999</v>
      </c>
      <c r="Y7" t="n">
        <v>0</v>
      </c>
      <c r="Z7" t="n">
        <v>0</v>
      </c>
    </row>
    <row r="8">
      <c r="A8" s="14" t="n">
        <v>2030</v>
      </c>
      <c r="B8" s="22" t="n">
        <v>2024431</v>
      </c>
      <c r="C8" s="15" t="n">
        <v>57100000</v>
      </c>
      <c r="D8" s="15" t="n">
        <v>58100000</v>
      </c>
      <c r="E8" s="22" t="n">
        <v>860748</v>
      </c>
      <c r="F8" s="15" t="n">
        <v>2064.033</v>
      </c>
      <c r="G8" s="15" t="n">
        <v>167000</v>
      </c>
      <c r="H8" t="n">
        <v>999999999</v>
      </c>
      <c r="I8" t="n">
        <v>999999999</v>
      </c>
      <c r="J8" s="22" t="n">
        <v>1235</v>
      </c>
      <c r="K8" t="n">
        <v>0</v>
      </c>
      <c r="L8" t="n">
        <v>0</v>
      </c>
      <c r="M8" s="22" t="n">
        <v>485</v>
      </c>
      <c r="N8" s="22" t="n">
        <v>280</v>
      </c>
      <c r="O8" s="22" t="n">
        <v>15000</v>
      </c>
      <c r="P8" t="n">
        <v>0</v>
      </c>
      <c r="Q8" s="22" t="n">
        <v>47673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999999999</v>
      </c>
      <c r="X8" t="n">
        <v>999999999</v>
      </c>
      <c r="Y8" t="n">
        <v>0</v>
      </c>
      <c r="Z8" t="n">
        <v>0</v>
      </c>
    </row>
    <row r="9">
      <c r="A9" s="14" t="n">
        <v>2031</v>
      </c>
      <c r="B9" s="22" t="n">
        <v>2024431</v>
      </c>
      <c r="C9" s="15" t="n">
        <v>57100000</v>
      </c>
      <c r="D9" s="15" t="n">
        <v>58100000</v>
      </c>
      <c r="E9" s="22" t="n">
        <v>860748</v>
      </c>
      <c r="F9" s="15" t="n">
        <v>2064.033</v>
      </c>
      <c r="G9" s="15" t="n">
        <v>167000</v>
      </c>
      <c r="H9" t="n">
        <v>999999999</v>
      </c>
      <c r="I9" t="n">
        <v>999999999</v>
      </c>
      <c r="J9" s="22" t="n">
        <v>1235</v>
      </c>
      <c r="K9" t="n">
        <v>0</v>
      </c>
      <c r="L9" t="n">
        <v>0</v>
      </c>
      <c r="M9" s="22" t="n">
        <v>485</v>
      </c>
      <c r="N9" s="22" t="n">
        <v>280</v>
      </c>
      <c r="O9" s="22" t="n">
        <v>15000</v>
      </c>
      <c r="P9" t="n">
        <v>0</v>
      </c>
      <c r="Q9" s="22" t="n">
        <v>47673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999999999</v>
      </c>
      <c r="X9" t="n">
        <v>999999999</v>
      </c>
      <c r="Y9" t="n">
        <v>0</v>
      </c>
      <c r="Z9" t="n">
        <v>0</v>
      </c>
    </row>
    <row r="10">
      <c r="A10" s="14" t="n">
        <v>2032</v>
      </c>
      <c r="B10" s="22" t="n">
        <v>2024431</v>
      </c>
      <c r="C10" s="15" t="n">
        <v>57100000</v>
      </c>
      <c r="D10" s="15" t="n">
        <v>58100000</v>
      </c>
      <c r="E10" s="22" t="n">
        <v>860748</v>
      </c>
      <c r="F10" s="15" t="n">
        <v>2064.033</v>
      </c>
      <c r="G10" s="15" t="n">
        <v>167000</v>
      </c>
      <c r="H10" t="n">
        <v>999999999</v>
      </c>
      <c r="I10" t="n">
        <v>999999999</v>
      </c>
      <c r="J10" s="22" t="n">
        <v>1235</v>
      </c>
      <c r="K10" t="n">
        <v>0</v>
      </c>
      <c r="L10" t="n">
        <v>0</v>
      </c>
      <c r="M10" s="22" t="n">
        <v>485</v>
      </c>
      <c r="N10" s="22" t="n">
        <v>280</v>
      </c>
      <c r="O10" s="22" t="n">
        <v>15000</v>
      </c>
      <c r="P10" t="n">
        <v>0</v>
      </c>
      <c r="Q10" s="22" t="n">
        <v>47673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999999999</v>
      </c>
      <c r="X10" t="n">
        <v>999999999</v>
      </c>
      <c r="Y10" t="n">
        <v>0</v>
      </c>
      <c r="Z10" t="n">
        <v>0</v>
      </c>
    </row>
    <row r="11">
      <c r="A11" s="14" t="n">
        <v>2033</v>
      </c>
      <c r="B11" s="22" t="n">
        <v>2024431</v>
      </c>
      <c r="C11" s="15" t="n">
        <v>57100000</v>
      </c>
      <c r="D11" s="15" t="n">
        <v>58100000</v>
      </c>
      <c r="E11" s="22" t="n">
        <v>860748</v>
      </c>
      <c r="F11" s="15" t="n">
        <v>2064.033</v>
      </c>
      <c r="G11" s="15" t="n">
        <v>167000</v>
      </c>
      <c r="H11" t="n">
        <v>999999999</v>
      </c>
      <c r="I11" t="n">
        <v>999999999</v>
      </c>
      <c r="J11" s="22" t="n">
        <v>1235</v>
      </c>
      <c r="K11" t="n">
        <v>0</v>
      </c>
      <c r="L11" t="n">
        <v>0</v>
      </c>
      <c r="M11" s="22" t="n">
        <v>485</v>
      </c>
      <c r="N11" s="22" t="n">
        <v>280</v>
      </c>
      <c r="O11" s="22" t="n">
        <v>15000</v>
      </c>
      <c r="P11" t="n">
        <v>0</v>
      </c>
      <c r="Q11" s="22" t="n">
        <v>47673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999999999</v>
      </c>
      <c r="X11" t="n">
        <v>999999999</v>
      </c>
      <c r="Y11" t="n">
        <v>0</v>
      </c>
      <c r="Z11" t="n">
        <v>0</v>
      </c>
    </row>
    <row r="12">
      <c r="A12" s="14" t="n">
        <v>2034</v>
      </c>
      <c r="B12" s="22" t="n">
        <v>2024431</v>
      </c>
      <c r="C12" s="15" t="n">
        <v>57100000</v>
      </c>
      <c r="D12" s="15" t="n">
        <v>58100000</v>
      </c>
      <c r="E12" s="22" t="n">
        <v>860748</v>
      </c>
      <c r="F12" s="15" t="n">
        <v>2064.033</v>
      </c>
      <c r="G12" s="15" t="n">
        <v>167000</v>
      </c>
      <c r="H12" t="n">
        <v>999999999</v>
      </c>
      <c r="I12" t="n">
        <v>999999999</v>
      </c>
      <c r="J12" s="22" t="n">
        <v>1235</v>
      </c>
      <c r="K12" t="n">
        <v>0</v>
      </c>
      <c r="L12" t="n">
        <v>0</v>
      </c>
      <c r="M12" s="22" t="n">
        <v>485</v>
      </c>
      <c r="N12" s="22" t="n">
        <v>280</v>
      </c>
      <c r="O12" s="22" t="n">
        <v>15000</v>
      </c>
      <c r="P12" t="n">
        <v>0</v>
      </c>
      <c r="Q12" s="22" t="n">
        <v>47673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999999999</v>
      </c>
      <c r="X12" t="n">
        <v>999999999</v>
      </c>
      <c r="Y12" t="n">
        <v>0</v>
      </c>
      <c r="Z12" t="n">
        <v>0</v>
      </c>
    </row>
    <row r="13">
      <c r="A13" s="14" t="n">
        <v>2035</v>
      </c>
      <c r="B13" s="22" t="n">
        <v>2024431</v>
      </c>
      <c r="C13" s="15" t="n">
        <v>57100000</v>
      </c>
      <c r="D13" s="15" t="n">
        <v>58100000</v>
      </c>
      <c r="E13" s="22" t="n">
        <v>860748</v>
      </c>
      <c r="F13" s="15" t="n">
        <v>2064.033</v>
      </c>
      <c r="G13" s="15" t="n">
        <v>167000</v>
      </c>
      <c r="H13" t="n">
        <v>999999999</v>
      </c>
      <c r="I13" t="n">
        <v>999999999</v>
      </c>
      <c r="J13" s="22" t="n">
        <v>1235</v>
      </c>
      <c r="K13" t="n">
        <v>0</v>
      </c>
      <c r="L13" t="n">
        <v>0</v>
      </c>
      <c r="M13" s="22" t="n">
        <v>485</v>
      </c>
      <c r="N13" s="22" t="n">
        <v>280</v>
      </c>
      <c r="O13" s="22" t="n">
        <v>15000</v>
      </c>
      <c r="P13" t="n">
        <v>0</v>
      </c>
      <c r="Q13" s="22" t="n">
        <v>47673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999999999</v>
      </c>
      <c r="X13" t="n">
        <v>999999999</v>
      </c>
      <c r="Y13" t="n">
        <v>0</v>
      </c>
      <c r="Z13" t="n">
        <v>0</v>
      </c>
    </row>
    <row r="14">
      <c r="A14" s="14" t="n">
        <v>2036</v>
      </c>
      <c r="B14" s="22" t="n">
        <v>2024431</v>
      </c>
      <c r="C14" s="15" t="n">
        <v>57100000</v>
      </c>
      <c r="D14" s="15" t="n">
        <v>58100000</v>
      </c>
      <c r="E14" s="22" t="n">
        <v>860748</v>
      </c>
      <c r="F14" s="15" t="n">
        <v>2064.033</v>
      </c>
      <c r="G14" s="15" t="n">
        <v>167000</v>
      </c>
      <c r="H14" t="n">
        <v>999999999</v>
      </c>
      <c r="I14" t="n">
        <v>999999999</v>
      </c>
      <c r="J14" s="22" t="n">
        <v>1235</v>
      </c>
      <c r="K14" t="n">
        <v>0</v>
      </c>
      <c r="L14" t="n">
        <v>0</v>
      </c>
      <c r="M14" s="22" t="n">
        <v>485</v>
      </c>
      <c r="N14" s="22" t="n">
        <v>280</v>
      </c>
      <c r="O14" s="22" t="n">
        <v>15000</v>
      </c>
      <c r="P14" t="n">
        <v>0</v>
      </c>
      <c r="Q14" s="22" t="n">
        <v>47673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999999999</v>
      </c>
      <c r="X14" t="n">
        <v>999999999</v>
      </c>
      <c r="Y14" t="n">
        <v>0</v>
      </c>
      <c r="Z14" t="n">
        <v>0</v>
      </c>
    </row>
    <row r="15">
      <c r="A15" s="14" t="n">
        <v>2037</v>
      </c>
      <c r="B15" s="22" t="n">
        <v>2024431</v>
      </c>
      <c r="C15" s="15" t="n">
        <v>57100000</v>
      </c>
      <c r="D15" s="15" t="n">
        <v>58100000</v>
      </c>
      <c r="E15" s="22" t="n">
        <v>860748</v>
      </c>
      <c r="F15" s="15" t="n">
        <v>2064.033</v>
      </c>
      <c r="G15" s="15" t="n">
        <v>167000</v>
      </c>
      <c r="H15" t="n">
        <v>999999999</v>
      </c>
      <c r="I15" t="n">
        <v>999999999</v>
      </c>
      <c r="J15" s="22" t="n">
        <v>1235</v>
      </c>
      <c r="K15" t="n">
        <v>0</v>
      </c>
      <c r="L15" t="n">
        <v>0</v>
      </c>
      <c r="M15" s="22" t="n">
        <v>485</v>
      </c>
      <c r="N15" s="22" t="n">
        <v>280</v>
      </c>
      <c r="O15" s="22" t="n">
        <v>15000</v>
      </c>
      <c r="P15" t="n">
        <v>0</v>
      </c>
      <c r="Q15" s="22" t="n">
        <v>47673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999999999</v>
      </c>
      <c r="X15" t="n">
        <v>999999999</v>
      </c>
      <c r="Y15" t="n">
        <v>0</v>
      </c>
      <c r="Z15" t="n">
        <v>0</v>
      </c>
    </row>
    <row r="16">
      <c r="A16" s="14" t="n">
        <v>2038</v>
      </c>
      <c r="B16" s="22" t="n">
        <v>2024431</v>
      </c>
      <c r="C16" s="15" t="n">
        <v>57100000</v>
      </c>
      <c r="D16" s="15" t="n">
        <v>58100000</v>
      </c>
      <c r="E16" s="22" t="n">
        <v>860748</v>
      </c>
      <c r="F16" s="15" t="n">
        <v>2064.033</v>
      </c>
      <c r="G16" s="15" t="n">
        <v>167000</v>
      </c>
      <c r="H16" t="n">
        <v>999999999</v>
      </c>
      <c r="I16" t="n">
        <v>999999999</v>
      </c>
      <c r="J16" s="22" t="n">
        <v>1235</v>
      </c>
      <c r="K16" t="n">
        <v>0</v>
      </c>
      <c r="L16" t="n">
        <v>0</v>
      </c>
      <c r="M16" s="22" t="n">
        <v>485</v>
      </c>
      <c r="N16" s="22" t="n">
        <v>280</v>
      </c>
      <c r="O16" s="22" t="n">
        <v>15000</v>
      </c>
      <c r="P16" t="n">
        <v>0</v>
      </c>
      <c r="Q16" s="22" t="n">
        <v>47673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999999999</v>
      </c>
      <c r="X16" t="n">
        <v>999999999</v>
      </c>
      <c r="Y16" t="n">
        <v>0</v>
      </c>
      <c r="Z16" t="n">
        <v>0</v>
      </c>
    </row>
    <row r="17">
      <c r="A17" s="14" t="n">
        <v>2039</v>
      </c>
      <c r="B17" s="22" t="n">
        <v>2024431</v>
      </c>
      <c r="C17" s="15" t="n">
        <v>57100000</v>
      </c>
      <c r="D17" s="15" t="n">
        <v>58100000</v>
      </c>
      <c r="E17" s="22" t="n">
        <v>860748</v>
      </c>
      <c r="F17" s="15" t="n">
        <v>2064.033</v>
      </c>
      <c r="G17" s="15" t="n">
        <v>167000</v>
      </c>
      <c r="H17" t="n">
        <v>999999999</v>
      </c>
      <c r="I17" t="n">
        <v>999999999</v>
      </c>
      <c r="J17" s="22" t="n">
        <v>1235</v>
      </c>
      <c r="K17" t="n">
        <v>0</v>
      </c>
      <c r="L17" t="n">
        <v>0</v>
      </c>
      <c r="M17" s="22" t="n">
        <v>485</v>
      </c>
      <c r="N17" s="22" t="n">
        <v>280</v>
      </c>
      <c r="O17" s="22" t="n">
        <v>15000</v>
      </c>
      <c r="P17" t="n">
        <v>0</v>
      </c>
      <c r="Q17" s="22" t="n">
        <v>47673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999999999</v>
      </c>
      <c r="X17" t="n">
        <v>999999999</v>
      </c>
      <c r="Y17" t="n">
        <v>0</v>
      </c>
      <c r="Z17" t="n">
        <v>0</v>
      </c>
    </row>
    <row r="18">
      <c r="A18" s="14" t="n">
        <v>2040</v>
      </c>
      <c r="B18" s="22" t="n">
        <v>2024431</v>
      </c>
      <c r="C18" s="15" t="n">
        <v>57100000</v>
      </c>
      <c r="D18" s="15" t="n">
        <v>58100000</v>
      </c>
      <c r="E18" s="22" t="n">
        <v>860748</v>
      </c>
      <c r="F18" s="15" t="n">
        <v>2064.033</v>
      </c>
      <c r="G18" s="15" t="n">
        <v>167000</v>
      </c>
      <c r="H18" t="n">
        <v>999999999</v>
      </c>
      <c r="I18" t="n">
        <v>999999999</v>
      </c>
      <c r="J18" s="22" t="n">
        <v>1235</v>
      </c>
      <c r="K18" t="n">
        <v>0</v>
      </c>
      <c r="L18" t="n">
        <v>0</v>
      </c>
      <c r="M18" s="22" t="n">
        <v>485</v>
      </c>
      <c r="N18" s="22" t="n">
        <v>280</v>
      </c>
      <c r="O18" s="22" t="n">
        <v>15000</v>
      </c>
      <c r="P18" t="n">
        <v>0</v>
      </c>
      <c r="Q18" s="22" t="n">
        <v>47673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999999999</v>
      </c>
      <c r="X18" t="n">
        <v>999999999</v>
      </c>
      <c r="Y18" t="n">
        <v>0</v>
      </c>
      <c r="Z18" t="n">
        <v>0</v>
      </c>
    </row>
    <row r="19">
      <c r="A19" s="14" t="n">
        <v>2041</v>
      </c>
      <c r="B19" s="22" t="n">
        <v>2024431</v>
      </c>
      <c r="C19" s="15" t="n">
        <v>57100000</v>
      </c>
      <c r="D19" s="15" t="n">
        <v>58100000</v>
      </c>
      <c r="E19" s="22" t="n">
        <v>860748</v>
      </c>
      <c r="F19" s="15" t="n">
        <v>2064.033</v>
      </c>
      <c r="G19" s="15" t="n">
        <v>167000</v>
      </c>
      <c r="H19" t="n">
        <v>999999999</v>
      </c>
      <c r="I19" t="n">
        <v>999999999</v>
      </c>
      <c r="J19" s="22" t="n">
        <v>1235</v>
      </c>
      <c r="K19" t="n">
        <v>0</v>
      </c>
      <c r="L19" t="n">
        <v>0</v>
      </c>
      <c r="M19" s="22" t="n">
        <v>485</v>
      </c>
      <c r="N19" s="22" t="n">
        <v>280</v>
      </c>
      <c r="O19" s="22" t="n">
        <v>15000</v>
      </c>
      <c r="P19" t="n">
        <v>0</v>
      </c>
      <c r="Q19" s="22" t="n">
        <v>47673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999999999</v>
      </c>
      <c r="X19" t="n">
        <v>999999999</v>
      </c>
      <c r="Y19" t="n">
        <v>0</v>
      </c>
      <c r="Z19" t="n">
        <v>0</v>
      </c>
    </row>
    <row r="20">
      <c r="A20" s="14" t="n">
        <v>2042</v>
      </c>
      <c r="B20" s="22" t="n">
        <v>2024431</v>
      </c>
      <c r="C20" s="15" t="n">
        <v>57100000</v>
      </c>
      <c r="D20" s="15" t="n">
        <v>58100000</v>
      </c>
      <c r="E20" s="22" t="n">
        <v>860748</v>
      </c>
      <c r="F20" s="15" t="n">
        <v>2064.033</v>
      </c>
      <c r="G20" s="15" t="n">
        <v>167000</v>
      </c>
      <c r="H20" t="n">
        <v>999999999</v>
      </c>
      <c r="I20" t="n">
        <v>999999999</v>
      </c>
      <c r="J20" s="22" t="n">
        <v>1235</v>
      </c>
      <c r="K20" t="n">
        <v>0</v>
      </c>
      <c r="L20" t="n">
        <v>0</v>
      </c>
      <c r="M20" s="22" t="n">
        <v>485</v>
      </c>
      <c r="N20" s="22" t="n">
        <v>280</v>
      </c>
      <c r="O20" s="22" t="n">
        <v>15000</v>
      </c>
      <c r="P20" t="n">
        <v>0</v>
      </c>
      <c r="Q20" s="22" t="n">
        <v>47673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999999999</v>
      </c>
      <c r="X20" t="n">
        <v>999999999</v>
      </c>
      <c r="Y20" t="n">
        <v>0</v>
      </c>
      <c r="Z20" t="n">
        <v>0</v>
      </c>
    </row>
    <row r="21">
      <c r="A21" s="14" t="n">
        <v>2043</v>
      </c>
      <c r="B21" s="22" t="n">
        <v>2024431</v>
      </c>
      <c r="C21" s="15" t="n">
        <v>57100000</v>
      </c>
      <c r="D21" s="15" t="n">
        <v>58100000</v>
      </c>
      <c r="E21" s="22" t="n">
        <v>860748</v>
      </c>
      <c r="F21" s="15" t="n">
        <v>2064.033</v>
      </c>
      <c r="G21" s="15" t="n">
        <v>167000</v>
      </c>
      <c r="H21" t="n">
        <v>999999999</v>
      </c>
      <c r="I21" t="n">
        <v>999999999</v>
      </c>
      <c r="J21" s="22" t="n">
        <v>1235</v>
      </c>
      <c r="K21" t="n">
        <v>0</v>
      </c>
      <c r="L21" t="n">
        <v>0</v>
      </c>
      <c r="M21" s="22" t="n">
        <v>485</v>
      </c>
      <c r="N21" s="22" t="n">
        <v>280</v>
      </c>
      <c r="O21" s="22" t="n">
        <v>15000</v>
      </c>
      <c r="P21" t="n">
        <v>0</v>
      </c>
      <c r="Q21" s="22" t="n">
        <v>47673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999999999</v>
      </c>
      <c r="X21" t="n">
        <v>999999999</v>
      </c>
      <c r="Y21" t="n">
        <v>0</v>
      </c>
      <c r="Z21" t="n">
        <v>0</v>
      </c>
    </row>
    <row r="22">
      <c r="A22" s="14" t="n">
        <v>2044</v>
      </c>
      <c r="B22" s="22" t="n">
        <v>2024431</v>
      </c>
      <c r="C22" s="15" t="n">
        <v>57100000</v>
      </c>
      <c r="D22" s="15" t="n">
        <v>58100000</v>
      </c>
      <c r="E22" s="22" t="n">
        <v>860748</v>
      </c>
      <c r="F22" s="15" t="n">
        <v>2064.033</v>
      </c>
      <c r="G22" s="15" t="n">
        <v>167000</v>
      </c>
      <c r="H22" t="n">
        <v>999999999</v>
      </c>
      <c r="I22" t="n">
        <v>999999999</v>
      </c>
      <c r="J22" s="22" t="n">
        <v>1235</v>
      </c>
      <c r="K22" t="n">
        <v>0</v>
      </c>
      <c r="L22" t="n">
        <v>0</v>
      </c>
      <c r="M22" s="22" t="n">
        <v>485</v>
      </c>
      <c r="N22" s="22" t="n">
        <v>280</v>
      </c>
      <c r="O22" s="22" t="n">
        <v>15000</v>
      </c>
      <c r="P22" t="n">
        <v>0</v>
      </c>
      <c r="Q22" s="22" t="n">
        <v>47673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999999999</v>
      </c>
      <c r="X22" t="n">
        <v>999999999</v>
      </c>
      <c r="Y22" t="n">
        <v>0</v>
      </c>
      <c r="Z22" t="n">
        <v>0</v>
      </c>
    </row>
    <row r="23">
      <c r="A23" s="14" t="n">
        <v>2045</v>
      </c>
      <c r="B23" s="22" t="n">
        <v>2024431</v>
      </c>
      <c r="C23" s="15" t="n">
        <v>57100000</v>
      </c>
      <c r="D23" s="15" t="n">
        <v>58100000</v>
      </c>
      <c r="E23" s="22" t="n">
        <v>860748</v>
      </c>
      <c r="F23" s="15" t="n">
        <v>2064.033</v>
      </c>
      <c r="G23" s="15" t="n">
        <v>167000</v>
      </c>
      <c r="H23" t="n">
        <v>999999999</v>
      </c>
      <c r="I23" t="n">
        <v>999999999</v>
      </c>
      <c r="J23" s="22" t="n">
        <v>1235</v>
      </c>
      <c r="K23" t="n">
        <v>0</v>
      </c>
      <c r="L23" t="n">
        <v>0</v>
      </c>
      <c r="M23" s="22" t="n">
        <v>485</v>
      </c>
      <c r="N23" s="22" t="n">
        <v>280</v>
      </c>
      <c r="O23" s="22" t="n">
        <v>15000</v>
      </c>
      <c r="P23" t="n">
        <v>0</v>
      </c>
      <c r="Q23" s="22" t="n">
        <v>47673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999999999</v>
      </c>
      <c r="X23" t="n">
        <v>999999999</v>
      </c>
      <c r="Y23" t="n">
        <v>0</v>
      </c>
      <c r="Z23" t="n">
        <v>0</v>
      </c>
    </row>
    <row r="24">
      <c r="A24" s="14" t="n">
        <v>2046</v>
      </c>
      <c r="B24" s="22" t="n">
        <v>2024431</v>
      </c>
      <c r="C24" s="15" t="n">
        <v>57100000</v>
      </c>
      <c r="D24" s="15" t="n">
        <v>58100000</v>
      </c>
      <c r="E24" s="22" t="n">
        <v>860748</v>
      </c>
      <c r="F24" s="15" t="n">
        <v>2064.033</v>
      </c>
      <c r="G24" s="15" t="n">
        <v>167000</v>
      </c>
      <c r="H24" t="n">
        <v>999999999</v>
      </c>
      <c r="I24" t="n">
        <v>999999999</v>
      </c>
      <c r="J24" s="22" t="n">
        <v>1235</v>
      </c>
      <c r="K24" t="n">
        <v>0</v>
      </c>
      <c r="L24" t="n">
        <v>0</v>
      </c>
      <c r="M24" s="22" t="n">
        <v>485</v>
      </c>
      <c r="N24" s="22" t="n">
        <v>280</v>
      </c>
      <c r="O24" s="22" t="n">
        <v>15000</v>
      </c>
      <c r="P24" t="n">
        <v>0</v>
      </c>
      <c r="Q24" s="22" t="n">
        <v>47673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999999999</v>
      </c>
      <c r="X24" t="n">
        <v>999999999</v>
      </c>
      <c r="Y24" t="n">
        <v>0</v>
      </c>
      <c r="Z24" t="n">
        <v>0</v>
      </c>
    </row>
    <row r="25">
      <c r="A25" s="14" t="n">
        <v>2047</v>
      </c>
      <c r="B25" s="22" t="n">
        <v>2024431</v>
      </c>
      <c r="C25" s="15" t="n">
        <v>57100000</v>
      </c>
      <c r="D25" s="15" t="n">
        <v>58100000</v>
      </c>
      <c r="E25" s="22" t="n">
        <v>860748</v>
      </c>
      <c r="F25" s="15" t="n">
        <v>2064.033</v>
      </c>
      <c r="G25" s="15" t="n">
        <v>167000</v>
      </c>
      <c r="H25" t="n">
        <v>999999999</v>
      </c>
      <c r="I25" t="n">
        <v>999999999</v>
      </c>
      <c r="J25" s="22" t="n">
        <v>1235</v>
      </c>
      <c r="K25" t="n">
        <v>0</v>
      </c>
      <c r="L25" t="n">
        <v>0</v>
      </c>
      <c r="M25" s="22" t="n">
        <v>485</v>
      </c>
      <c r="N25" s="22" t="n">
        <v>280</v>
      </c>
      <c r="O25" s="22" t="n">
        <v>15000</v>
      </c>
      <c r="P25" t="n">
        <v>0</v>
      </c>
      <c r="Q25" s="22" t="n">
        <v>47673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999999999</v>
      </c>
      <c r="X25" t="n">
        <v>999999999</v>
      </c>
      <c r="Y25" t="n">
        <v>0</v>
      </c>
      <c r="Z25" t="n">
        <v>0</v>
      </c>
    </row>
    <row r="26">
      <c r="A26" s="14" t="n">
        <v>2048</v>
      </c>
      <c r="B26" s="22" t="n">
        <v>2024431</v>
      </c>
      <c r="C26" s="15" t="n">
        <v>57100000</v>
      </c>
      <c r="D26" s="15" t="n">
        <v>58100000</v>
      </c>
      <c r="E26" s="22" t="n">
        <v>860748</v>
      </c>
      <c r="F26" s="15" t="n">
        <v>2064.033</v>
      </c>
      <c r="G26" s="15" t="n">
        <v>167000</v>
      </c>
      <c r="H26" t="n">
        <v>999999999</v>
      </c>
      <c r="I26" t="n">
        <v>999999999</v>
      </c>
      <c r="J26" s="22" t="n">
        <v>1235</v>
      </c>
      <c r="K26" t="n">
        <v>0</v>
      </c>
      <c r="L26" t="n">
        <v>0</v>
      </c>
      <c r="M26" s="22" t="n">
        <v>485</v>
      </c>
      <c r="N26" s="22" t="n">
        <v>280</v>
      </c>
      <c r="O26" s="22" t="n">
        <v>15000</v>
      </c>
      <c r="P26" t="n">
        <v>0</v>
      </c>
      <c r="Q26" s="22" t="n">
        <v>47673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999999999</v>
      </c>
      <c r="X26" t="n">
        <v>999999999</v>
      </c>
      <c r="Y26" t="n">
        <v>0</v>
      </c>
      <c r="Z26" t="n">
        <v>0</v>
      </c>
    </row>
    <row r="27">
      <c r="A27" s="14" t="n">
        <v>2049</v>
      </c>
      <c r="B27" s="22" t="n">
        <v>2024431</v>
      </c>
      <c r="C27" s="15" t="n">
        <v>57100000</v>
      </c>
      <c r="D27" s="15" t="n">
        <v>58100000</v>
      </c>
      <c r="E27" s="22" t="n">
        <v>860748</v>
      </c>
      <c r="F27" s="15" t="n">
        <v>2064.033</v>
      </c>
      <c r="G27" s="15" t="n">
        <v>167000</v>
      </c>
      <c r="H27" t="n">
        <v>999999999</v>
      </c>
      <c r="I27" t="n">
        <v>999999999</v>
      </c>
      <c r="J27" s="22" t="n">
        <v>1235</v>
      </c>
      <c r="K27" t="n">
        <v>0</v>
      </c>
      <c r="L27" t="n">
        <v>0</v>
      </c>
      <c r="M27" s="22" t="n">
        <v>485</v>
      </c>
      <c r="N27" s="22" t="n">
        <v>280</v>
      </c>
      <c r="O27" s="22" t="n">
        <v>15000</v>
      </c>
      <c r="P27" t="n">
        <v>0</v>
      </c>
      <c r="Q27" s="22" t="n">
        <v>47673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999999999</v>
      </c>
      <c r="X27" t="n">
        <v>999999999</v>
      </c>
      <c r="Y27" t="n">
        <v>0</v>
      </c>
      <c r="Z27" t="n">
        <v>0</v>
      </c>
    </row>
    <row r="28">
      <c r="A28" s="14" t="n">
        <v>2050</v>
      </c>
      <c r="B28" s="22" t="n">
        <v>2024431</v>
      </c>
      <c r="C28" s="15" t="n">
        <v>57100000</v>
      </c>
      <c r="D28" s="15" t="n">
        <v>58100000</v>
      </c>
      <c r="E28" s="22" t="n">
        <v>860748</v>
      </c>
      <c r="F28" s="15" t="n">
        <v>2064.033</v>
      </c>
      <c r="G28" s="15" t="n">
        <v>167000</v>
      </c>
      <c r="H28" t="n">
        <v>999999999</v>
      </c>
      <c r="I28" t="n">
        <v>999999999</v>
      </c>
      <c r="J28" s="22" t="n">
        <v>1235</v>
      </c>
      <c r="K28" t="n">
        <v>0</v>
      </c>
      <c r="L28" t="n">
        <v>0</v>
      </c>
      <c r="M28" s="22" t="n">
        <v>485</v>
      </c>
      <c r="N28" s="22" t="n">
        <v>280</v>
      </c>
      <c r="O28" s="22" t="n">
        <v>15000</v>
      </c>
      <c r="P28" t="n">
        <v>0</v>
      </c>
      <c r="Q28" s="22" t="n">
        <v>47673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999999999</v>
      </c>
      <c r="X28" t="n">
        <v>999999999</v>
      </c>
      <c r="Y28" t="n">
        <v>0</v>
      </c>
      <c r="Z28" t="n">
        <v>0</v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O10" sqref="O10"/>
    </sheetView>
  </sheetViews>
  <sheetFormatPr baseColWidth="10" defaultRowHeight="15"/>
  <sheetData>
    <row r="1">
      <c r="A1" t="inlineStr">
        <is>
          <t>Stf</t>
        </is>
      </c>
      <c r="B1" t="inlineStr">
        <is>
          <t>aluminum</t>
        </is>
      </c>
      <c r="C1" t="inlineStr">
        <is>
          <t xml:space="preserve"> glass</t>
        </is>
      </c>
      <c r="D1" t="inlineStr">
        <is>
          <t xml:space="preserve"> polymers</t>
        </is>
      </c>
      <c r="E1" t="inlineStr">
        <is>
          <t xml:space="preserve"> copper</t>
        </is>
      </c>
      <c r="F1" t="inlineStr">
        <is>
          <t xml:space="preserve"> silver</t>
        </is>
      </c>
      <c r="G1" t="inlineStr">
        <is>
          <t xml:space="preserve"> silicon</t>
        </is>
      </c>
      <c r="H1" t="inlineStr">
        <is>
          <t xml:space="preserve"> blade_bulk_on</t>
        </is>
      </c>
      <c r="I1" t="inlineStr">
        <is>
          <t xml:space="preserve"> tower_bulk_on</t>
        </is>
      </c>
      <c r="J1" t="inlineStr">
        <is>
          <t xml:space="preserve"> cobalt</t>
        </is>
      </c>
      <c r="K1" t="inlineStr">
        <is>
          <t xml:space="preserve"> dysprosium</t>
        </is>
      </c>
      <c r="L1" t="inlineStr">
        <is>
          <t xml:space="preserve"> gallium</t>
        </is>
      </c>
      <c r="M1" t="inlineStr">
        <is>
          <t xml:space="preserve"> graphite</t>
        </is>
      </c>
      <c r="N1" t="inlineStr">
        <is>
          <t xml:space="preserve"> lithium</t>
        </is>
      </c>
      <c r="O1" t="inlineStr">
        <is>
          <t xml:space="preserve"> manganese</t>
        </is>
      </c>
      <c r="P1" t="inlineStr">
        <is>
          <t xml:space="preserve"> neodymium</t>
        </is>
      </c>
      <c r="Q1" t="inlineStr">
        <is>
          <t xml:space="preserve"> nickel</t>
        </is>
      </c>
      <c r="R1" t="inlineStr">
        <is>
          <t xml:space="preserve"> niobium</t>
        </is>
      </c>
      <c r="S1" t="inlineStr">
        <is>
          <t xml:space="preserve"> praseodymium</t>
        </is>
      </c>
      <c r="T1" t="inlineStr">
        <is>
          <t xml:space="preserve"> terbium</t>
        </is>
      </c>
      <c r="U1" t="inlineStr">
        <is>
          <t xml:space="preserve"> titanium</t>
        </is>
      </c>
      <c r="V1" t="inlineStr">
        <is>
          <t xml:space="preserve"> vanadium</t>
        </is>
      </c>
      <c r="W1" t="inlineStr">
        <is>
          <t xml:space="preserve"> blade_bulk_off</t>
        </is>
      </c>
      <c r="X1" t="inlineStr">
        <is>
          <t xml:space="preserve"> tower_bulk_off</t>
        </is>
      </c>
      <c r="Y1" t="inlineStr">
        <is>
          <t xml:space="preserve"> boron</t>
        </is>
      </c>
      <c r="Z1" t="inlineStr">
        <is>
          <t xml:space="preserve"> molybdenum</t>
        </is>
      </c>
    </row>
    <row r="2">
      <c r="A2" s="14" t="n">
        <v>2024</v>
      </c>
      <c r="B2" s="12" t="n">
        <v>1800</v>
      </c>
      <c r="C2" t="n">
        <v>360</v>
      </c>
      <c r="D2" t="n">
        <v>1760</v>
      </c>
      <c r="E2" s="12" t="n">
        <v>4500</v>
      </c>
      <c r="F2" t="n">
        <v>2500000</v>
      </c>
      <c r="G2" t="n">
        <v>2484</v>
      </c>
      <c r="H2" t="n">
        <v>1</v>
      </c>
      <c r="I2" t="n">
        <v>1</v>
      </c>
      <c r="J2" s="12" t="n">
        <v>34000</v>
      </c>
      <c r="K2" s="12" t="n">
        <v>350000</v>
      </c>
      <c r="L2" s="12" t="n">
        <v>450000</v>
      </c>
      <c r="M2" s="21" t="n">
        <v>1200</v>
      </c>
      <c r="N2" s="21" t="n">
        <v>5000</v>
      </c>
      <c r="O2" s="12" t="n">
        <v>1700</v>
      </c>
      <c r="P2" s="12" t="n">
        <v>46000</v>
      </c>
      <c r="Q2" s="12" t="n">
        <v>12500</v>
      </c>
      <c r="R2" s="12" t="n">
        <v>25760</v>
      </c>
      <c r="S2" s="12" t="n">
        <v>46000</v>
      </c>
      <c r="T2" s="12" t="n">
        <v>550000</v>
      </c>
      <c r="U2" s="12" t="n">
        <v>9</v>
      </c>
      <c r="V2" s="12" t="n">
        <v>10000</v>
      </c>
      <c r="W2" t="n">
        <v>1</v>
      </c>
      <c r="X2" t="n">
        <v>1</v>
      </c>
      <c r="Y2" s="12" t="n">
        <v>320</v>
      </c>
      <c r="Z2" s="12" t="n">
        <v>20000</v>
      </c>
    </row>
    <row r="3">
      <c r="A3" s="14" t="n">
        <v>2025</v>
      </c>
      <c r="B3" s="12" t="n">
        <v>1800</v>
      </c>
      <c r="C3" t="n">
        <v>360</v>
      </c>
      <c r="D3" t="n">
        <v>1760</v>
      </c>
      <c r="E3" s="12" t="n">
        <v>4500</v>
      </c>
      <c r="F3" t="n">
        <v>2500000</v>
      </c>
      <c r="G3" t="n">
        <v>2484</v>
      </c>
      <c r="H3" t="n">
        <v>1</v>
      </c>
      <c r="I3" t="n">
        <v>1</v>
      </c>
      <c r="J3" s="12" t="n">
        <v>34000</v>
      </c>
      <c r="K3" s="12" t="n">
        <v>350000</v>
      </c>
      <c r="L3" s="12" t="n">
        <v>450000</v>
      </c>
      <c r="M3" s="21" t="n">
        <v>1200</v>
      </c>
      <c r="N3" s="21" t="n">
        <v>5000</v>
      </c>
      <c r="O3" s="12" t="n">
        <v>1700</v>
      </c>
      <c r="P3" s="12" t="n">
        <v>46000</v>
      </c>
      <c r="Q3" s="12" t="n">
        <v>12500</v>
      </c>
      <c r="R3" s="12" t="n">
        <v>25760</v>
      </c>
      <c r="S3" s="12" t="n">
        <v>46000</v>
      </c>
      <c r="T3" s="12" t="n">
        <v>550000</v>
      </c>
      <c r="U3" s="12" t="n">
        <v>9</v>
      </c>
      <c r="V3" s="12" t="n">
        <v>10000</v>
      </c>
      <c r="W3" t="n">
        <v>1</v>
      </c>
      <c r="X3" t="n">
        <v>1</v>
      </c>
      <c r="Y3" s="12" t="n">
        <v>320</v>
      </c>
      <c r="Z3" s="12" t="n">
        <v>20000</v>
      </c>
    </row>
    <row r="4">
      <c r="A4" s="14" t="n">
        <v>2026</v>
      </c>
      <c r="B4" s="12" t="n">
        <v>1800</v>
      </c>
      <c r="C4" t="n">
        <v>360</v>
      </c>
      <c r="D4" t="n">
        <v>1760</v>
      </c>
      <c r="E4" s="12" t="n">
        <v>4500</v>
      </c>
      <c r="F4" t="n">
        <v>2500000</v>
      </c>
      <c r="G4" t="n">
        <v>2484</v>
      </c>
      <c r="H4" t="n">
        <v>1</v>
      </c>
      <c r="I4" t="n">
        <v>1</v>
      </c>
      <c r="J4" s="12" t="n">
        <v>34000</v>
      </c>
      <c r="K4" s="12" t="n">
        <v>350000</v>
      </c>
      <c r="L4" s="12" t="n">
        <v>450000</v>
      </c>
      <c r="M4" s="21" t="n">
        <v>1200</v>
      </c>
      <c r="N4" s="21" t="n">
        <v>5000</v>
      </c>
      <c r="O4" s="12" t="n">
        <v>1700</v>
      </c>
      <c r="P4" s="12" t="n">
        <v>46000</v>
      </c>
      <c r="Q4" s="12" t="n">
        <v>12500</v>
      </c>
      <c r="R4" s="12" t="n">
        <v>25760</v>
      </c>
      <c r="S4" s="12" t="n">
        <v>46000</v>
      </c>
      <c r="T4" s="12" t="n">
        <v>550000</v>
      </c>
      <c r="U4" s="12" t="n">
        <v>9</v>
      </c>
      <c r="V4" s="12" t="n">
        <v>10000</v>
      </c>
      <c r="W4" t="n">
        <v>1</v>
      </c>
      <c r="X4" t="n">
        <v>1</v>
      </c>
      <c r="Y4" s="12" t="n">
        <v>320</v>
      </c>
      <c r="Z4" s="12" t="n">
        <v>20000</v>
      </c>
    </row>
    <row r="5">
      <c r="A5" s="14" t="n">
        <v>2027</v>
      </c>
      <c r="B5" s="12" t="n">
        <v>1800</v>
      </c>
      <c r="C5" t="n">
        <v>360</v>
      </c>
      <c r="D5" t="n">
        <v>1760</v>
      </c>
      <c r="E5" s="12" t="n">
        <v>4500</v>
      </c>
      <c r="F5" t="n">
        <v>2500000</v>
      </c>
      <c r="G5" t="n">
        <v>2484</v>
      </c>
      <c r="H5" t="n">
        <v>1</v>
      </c>
      <c r="I5" t="n">
        <v>1</v>
      </c>
      <c r="J5" s="12" t="n">
        <v>34000</v>
      </c>
      <c r="K5" s="12" t="n">
        <v>350000</v>
      </c>
      <c r="L5" s="12" t="n">
        <v>450000</v>
      </c>
      <c r="M5" s="21" t="n">
        <v>1200</v>
      </c>
      <c r="N5" s="21" t="n">
        <v>5000</v>
      </c>
      <c r="O5" s="12" t="n">
        <v>1700</v>
      </c>
      <c r="P5" s="12" t="n">
        <v>46000</v>
      </c>
      <c r="Q5" s="12" t="n">
        <v>12500</v>
      </c>
      <c r="R5" s="12" t="n">
        <v>25760</v>
      </c>
      <c r="S5" s="12" t="n">
        <v>46000</v>
      </c>
      <c r="T5" s="12" t="n">
        <v>550000</v>
      </c>
      <c r="U5" s="12" t="n">
        <v>9</v>
      </c>
      <c r="V5" s="12" t="n">
        <v>10000</v>
      </c>
      <c r="W5" t="n">
        <v>1</v>
      </c>
      <c r="X5" t="n">
        <v>1</v>
      </c>
      <c r="Y5" s="12" t="n">
        <v>320</v>
      </c>
      <c r="Z5" s="12" t="n">
        <v>20000</v>
      </c>
    </row>
    <row r="6">
      <c r="A6" s="14" t="n">
        <v>2028</v>
      </c>
      <c r="B6" s="12" t="n">
        <v>1800</v>
      </c>
      <c r="C6" t="n">
        <v>360</v>
      </c>
      <c r="D6" t="n">
        <v>1760</v>
      </c>
      <c r="E6" s="12" t="n">
        <v>4500</v>
      </c>
      <c r="F6" t="n">
        <v>2500000</v>
      </c>
      <c r="G6" t="n">
        <v>2484</v>
      </c>
      <c r="H6" t="n">
        <v>1</v>
      </c>
      <c r="I6" t="n">
        <v>1</v>
      </c>
      <c r="J6" s="12" t="n">
        <v>34000</v>
      </c>
      <c r="K6" s="12" t="n">
        <v>350000</v>
      </c>
      <c r="L6" s="12" t="n">
        <v>450000</v>
      </c>
      <c r="M6" s="21" t="n">
        <v>1200</v>
      </c>
      <c r="N6" s="21" t="n">
        <v>5000</v>
      </c>
      <c r="O6" s="12" t="n">
        <v>1700</v>
      </c>
      <c r="P6" s="12" t="n">
        <v>46000</v>
      </c>
      <c r="Q6" s="12" t="n">
        <v>12500</v>
      </c>
      <c r="R6" s="12" t="n">
        <v>25760</v>
      </c>
      <c r="S6" s="12" t="n">
        <v>46000</v>
      </c>
      <c r="T6" s="12" t="n">
        <v>550000</v>
      </c>
      <c r="U6" s="12" t="n">
        <v>9</v>
      </c>
      <c r="V6" s="12" t="n">
        <v>10000</v>
      </c>
      <c r="W6" t="n">
        <v>1</v>
      </c>
      <c r="X6" t="n">
        <v>1</v>
      </c>
      <c r="Y6" s="12" t="n">
        <v>320</v>
      </c>
      <c r="Z6" s="12" t="n">
        <v>20000</v>
      </c>
    </row>
    <row r="7">
      <c r="A7" s="14" t="n">
        <v>2029</v>
      </c>
      <c r="B7" s="12" t="n">
        <v>1800</v>
      </c>
      <c r="C7" t="n">
        <v>360</v>
      </c>
      <c r="D7" t="n">
        <v>1760</v>
      </c>
      <c r="E7" s="12" t="n">
        <v>4500</v>
      </c>
      <c r="F7" t="n">
        <v>2500000</v>
      </c>
      <c r="G7" t="n">
        <v>2484</v>
      </c>
      <c r="H7" t="n">
        <v>1</v>
      </c>
      <c r="I7" t="n">
        <v>1</v>
      </c>
      <c r="J7" s="12" t="n">
        <v>34000</v>
      </c>
      <c r="K7" s="12" t="n">
        <v>350000</v>
      </c>
      <c r="L7" s="12" t="n">
        <v>450000</v>
      </c>
      <c r="M7" s="21" t="n">
        <v>1200</v>
      </c>
      <c r="N7" s="21" t="n">
        <v>5000</v>
      </c>
      <c r="O7" s="12" t="n">
        <v>1700</v>
      </c>
      <c r="P7" s="12" t="n">
        <v>46000</v>
      </c>
      <c r="Q7" s="12" t="n">
        <v>12500</v>
      </c>
      <c r="R7" s="12" t="n">
        <v>25760</v>
      </c>
      <c r="S7" s="12" t="n">
        <v>46000</v>
      </c>
      <c r="T7" s="12" t="n">
        <v>550000</v>
      </c>
      <c r="U7" s="12" t="n">
        <v>9</v>
      </c>
      <c r="V7" s="12" t="n">
        <v>10000</v>
      </c>
      <c r="W7" t="n">
        <v>1</v>
      </c>
      <c r="X7" t="n">
        <v>1</v>
      </c>
      <c r="Y7" s="12" t="n">
        <v>320</v>
      </c>
      <c r="Z7" s="12" t="n">
        <v>20000</v>
      </c>
    </row>
    <row r="8">
      <c r="A8" s="14" t="n">
        <v>2030</v>
      </c>
      <c r="B8" s="12" t="n">
        <v>1800</v>
      </c>
      <c r="C8" t="n">
        <v>360</v>
      </c>
      <c r="D8" t="n">
        <v>1760</v>
      </c>
      <c r="E8" s="12" t="n">
        <v>4500</v>
      </c>
      <c r="F8" t="n">
        <v>2500000</v>
      </c>
      <c r="G8" t="n">
        <v>2484</v>
      </c>
      <c r="H8" t="n">
        <v>1</v>
      </c>
      <c r="I8" t="n">
        <v>1</v>
      </c>
      <c r="J8" s="12" t="n">
        <v>34000</v>
      </c>
      <c r="K8" s="12" t="n">
        <v>350000</v>
      </c>
      <c r="L8" s="12" t="n">
        <v>450000</v>
      </c>
      <c r="M8" s="21" t="n">
        <v>1200</v>
      </c>
      <c r="N8" s="21" t="n">
        <v>5000</v>
      </c>
      <c r="O8" s="12" t="n">
        <v>1700</v>
      </c>
      <c r="P8" s="12" t="n">
        <v>46000</v>
      </c>
      <c r="Q8" s="12" t="n">
        <v>12500</v>
      </c>
      <c r="R8" s="12" t="n">
        <v>25760</v>
      </c>
      <c r="S8" s="12" t="n">
        <v>46000</v>
      </c>
      <c r="T8" s="12" t="n">
        <v>550000</v>
      </c>
      <c r="U8" s="12" t="n">
        <v>9</v>
      </c>
      <c r="V8" s="12" t="n">
        <v>10000</v>
      </c>
      <c r="W8" t="n">
        <v>1</v>
      </c>
      <c r="X8" t="n">
        <v>1</v>
      </c>
      <c r="Y8" s="12" t="n">
        <v>320</v>
      </c>
      <c r="Z8" s="12" t="n">
        <v>20000</v>
      </c>
    </row>
    <row r="9">
      <c r="A9" s="14" t="n">
        <v>2031</v>
      </c>
      <c r="B9" s="12" t="n">
        <v>1800</v>
      </c>
      <c r="C9" t="n">
        <v>360</v>
      </c>
      <c r="D9" t="n">
        <v>1760</v>
      </c>
      <c r="E9" s="12" t="n">
        <v>4500</v>
      </c>
      <c r="F9" t="n">
        <v>2500000</v>
      </c>
      <c r="G9" t="n">
        <v>2484</v>
      </c>
      <c r="H9" t="n">
        <v>1</v>
      </c>
      <c r="I9" t="n">
        <v>1</v>
      </c>
      <c r="J9" s="12" t="n">
        <v>34000</v>
      </c>
      <c r="K9" s="12" t="n">
        <v>350000</v>
      </c>
      <c r="L9" s="12" t="n">
        <v>450000</v>
      </c>
      <c r="M9" s="21" t="n">
        <v>1200</v>
      </c>
      <c r="N9" s="21" t="n">
        <v>5000</v>
      </c>
      <c r="O9" s="12" t="n">
        <v>1700</v>
      </c>
      <c r="P9" s="12" t="n">
        <v>46000</v>
      </c>
      <c r="Q9" s="12" t="n">
        <v>12500</v>
      </c>
      <c r="R9" s="12" t="n">
        <v>25760</v>
      </c>
      <c r="S9" s="12" t="n">
        <v>46000</v>
      </c>
      <c r="T9" s="12" t="n">
        <v>550000</v>
      </c>
      <c r="U9" s="12" t="n">
        <v>9</v>
      </c>
      <c r="V9" s="12" t="n">
        <v>10000</v>
      </c>
      <c r="W9" t="n">
        <v>1</v>
      </c>
      <c r="X9" t="n">
        <v>1</v>
      </c>
      <c r="Y9" s="12" t="n">
        <v>320</v>
      </c>
      <c r="Z9" s="12" t="n">
        <v>20000</v>
      </c>
    </row>
    <row r="10">
      <c r="A10" s="14" t="n">
        <v>2032</v>
      </c>
      <c r="B10" s="12" t="n">
        <v>1800</v>
      </c>
      <c r="C10" t="n">
        <v>360</v>
      </c>
      <c r="D10" t="n">
        <v>1760</v>
      </c>
      <c r="E10" s="12" t="n">
        <v>4500</v>
      </c>
      <c r="F10" t="n">
        <v>2500000</v>
      </c>
      <c r="G10" t="n">
        <v>2484</v>
      </c>
      <c r="H10" t="n">
        <v>1</v>
      </c>
      <c r="I10" t="n">
        <v>1</v>
      </c>
      <c r="J10" s="12" t="n">
        <v>34000</v>
      </c>
      <c r="K10" s="12" t="n">
        <v>350000</v>
      </c>
      <c r="L10" s="12" t="n">
        <v>450000</v>
      </c>
      <c r="M10" s="21" t="n">
        <v>1200</v>
      </c>
      <c r="N10" s="21" t="n">
        <v>5000</v>
      </c>
      <c r="O10" s="12" t="n">
        <v>1700</v>
      </c>
      <c r="P10" s="12" t="n">
        <v>46000</v>
      </c>
      <c r="Q10" s="12" t="n">
        <v>12500</v>
      </c>
      <c r="R10" s="12" t="n">
        <v>25760</v>
      </c>
      <c r="S10" s="12" t="n">
        <v>46000</v>
      </c>
      <c r="T10" s="12" t="n">
        <v>550000</v>
      </c>
      <c r="U10" s="12" t="n">
        <v>9</v>
      </c>
      <c r="V10" s="12" t="n">
        <v>10000</v>
      </c>
      <c r="W10" t="n">
        <v>1</v>
      </c>
      <c r="X10" t="n">
        <v>1</v>
      </c>
      <c r="Y10" s="12" t="n">
        <v>320</v>
      </c>
      <c r="Z10" s="12" t="n">
        <v>20000</v>
      </c>
    </row>
    <row r="11">
      <c r="A11" s="14" t="n">
        <v>2033</v>
      </c>
      <c r="B11" s="12" t="n">
        <v>1800</v>
      </c>
      <c r="C11" t="n">
        <v>360</v>
      </c>
      <c r="D11" t="n">
        <v>1760</v>
      </c>
      <c r="E11" s="12" t="n">
        <v>4500</v>
      </c>
      <c r="F11" t="n">
        <v>2500000</v>
      </c>
      <c r="G11" t="n">
        <v>2484</v>
      </c>
      <c r="H11" t="n">
        <v>1</v>
      </c>
      <c r="I11" t="n">
        <v>1</v>
      </c>
      <c r="J11" s="12" t="n">
        <v>34000</v>
      </c>
      <c r="K11" s="12" t="n">
        <v>350000</v>
      </c>
      <c r="L11" s="12" t="n">
        <v>450000</v>
      </c>
      <c r="M11" s="21" t="n">
        <v>1200</v>
      </c>
      <c r="N11" s="21" t="n">
        <v>5000</v>
      </c>
      <c r="O11" s="12" t="n">
        <v>1700</v>
      </c>
      <c r="P11" s="12" t="n">
        <v>46000</v>
      </c>
      <c r="Q11" s="12" t="n">
        <v>12500</v>
      </c>
      <c r="R11" s="12" t="n">
        <v>25760</v>
      </c>
      <c r="S11" s="12" t="n">
        <v>46000</v>
      </c>
      <c r="T11" s="12" t="n">
        <v>550000</v>
      </c>
      <c r="U11" s="12" t="n">
        <v>9</v>
      </c>
      <c r="V11" s="12" t="n">
        <v>10000</v>
      </c>
      <c r="W11" t="n">
        <v>1</v>
      </c>
      <c r="X11" t="n">
        <v>1</v>
      </c>
      <c r="Y11" s="12" t="n">
        <v>320</v>
      </c>
      <c r="Z11" s="12" t="n">
        <v>20000</v>
      </c>
    </row>
    <row r="12">
      <c r="A12" s="14" t="n">
        <v>2034</v>
      </c>
      <c r="B12" s="12" t="n">
        <v>1800</v>
      </c>
      <c r="C12" t="n">
        <v>360</v>
      </c>
      <c r="D12" t="n">
        <v>1760</v>
      </c>
      <c r="E12" s="12" t="n">
        <v>4500</v>
      </c>
      <c r="F12" t="n">
        <v>2500000</v>
      </c>
      <c r="G12" t="n">
        <v>2484</v>
      </c>
      <c r="H12" t="n">
        <v>1</v>
      </c>
      <c r="I12" t="n">
        <v>1</v>
      </c>
      <c r="J12" s="12" t="n">
        <v>34000</v>
      </c>
      <c r="K12" s="12" t="n">
        <v>350000</v>
      </c>
      <c r="L12" s="12" t="n">
        <v>450000</v>
      </c>
      <c r="M12" s="21" t="n">
        <v>1200</v>
      </c>
      <c r="N12" s="21" t="n">
        <v>5000</v>
      </c>
      <c r="O12" s="12" t="n">
        <v>1700</v>
      </c>
      <c r="P12" s="12" t="n">
        <v>46000</v>
      </c>
      <c r="Q12" s="12" t="n">
        <v>12500</v>
      </c>
      <c r="R12" s="12" t="n">
        <v>25760</v>
      </c>
      <c r="S12" s="12" t="n">
        <v>46000</v>
      </c>
      <c r="T12" s="12" t="n">
        <v>550000</v>
      </c>
      <c r="U12" s="12" t="n">
        <v>9</v>
      </c>
      <c r="V12" s="12" t="n">
        <v>10000</v>
      </c>
      <c r="W12" t="n">
        <v>1</v>
      </c>
      <c r="X12" t="n">
        <v>1</v>
      </c>
      <c r="Y12" s="12" t="n">
        <v>320</v>
      </c>
      <c r="Z12" s="12" t="n">
        <v>20000</v>
      </c>
    </row>
    <row r="13">
      <c r="A13" s="14" t="n">
        <v>2035</v>
      </c>
      <c r="B13" s="12" t="n">
        <v>1800</v>
      </c>
      <c r="C13" t="n">
        <v>360</v>
      </c>
      <c r="D13" t="n">
        <v>1760</v>
      </c>
      <c r="E13" s="12" t="n">
        <v>4500</v>
      </c>
      <c r="F13" t="n">
        <v>2500000</v>
      </c>
      <c r="G13" t="n">
        <v>2484</v>
      </c>
      <c r="H13" t="n">
        <v>1</v>
      </c>
      <c r="I13" t="n">
        <v>1</v>
      </c>
      <c r="J13" s="12" t="n">
        <v>34000</v>
      </c>
      <c r="K13" s="12" t="n">
        <v>350000</v>
      </c>
      <c r="L13" s="12" t="n">
        <v>450000</v>
      </c>
      <c r="M13" s="21" t="n">
        <v>1200</v>
      </c>
      <c r="N13" s="21" t="n">
        <v>5000</v>
      </c>
      <c r="O13" s="12" t="n">
        <v>1700</v>
      </c>
      <c r="P13" s="12" t="n">
        <v>46000</v>
      </c>
      <c r="Q13" s="12" t="n">
        <v>12500</v>
      </c>
      <c r="R13" s="12" t="n">
        <v>25760</v>
      </c>
      <c r="S13" s="12" t="n">
        <v>46000</v>
      </c>
      <c r="T13" s="12" t="n">
        <v>550000</v>
      </c>
      <c r="U13" s="12" t="n">
        <v>9</v>
      </c>
      <c r="V13" s="12" t="n">
        <v>10000</v>
      </c>
      <c r="W13" t="n">
        <v>1</v>
      </c>
      <c r="X13" t="n">
        <v>1</v>
      </c>
      <c r="Y13" s="12" t="n">
        <v>320</v>
      </c>
      <c r="Z13" s="12" t="n">
        <v>20000</v>
      </c>
    </row>
    <row r="14">
      <c r="A14" s="14" t="n">
        <v>2036</v>
      </c>
      <c r="B14" s="12" t="n">
        <v>1800</v>
      </c>
      <c r="C14" t="n">
        <v>360</v>
      </c>
      <c r="D14" t="n">
        <v>1760</v>
      </c>
      <c r="E14" s="12" t="n">
        <v>4500</v>
      </c>
      <c r="F14" t="n">
        <v>2500000</v>
      </c>
      <c r="G14" t="n">
        <v>2484</v>
      </c>
      <c r="H14" t="n">
        <v>1</v>
      </c>
      <c r="I14" t="n">
        <v>1</v>
      </c>
      <c r="J14" s="12" t="n">
        <v>34000</v>
      </c>
      <c r="K14" s="12" t="n">
        <v>350000</v>
      </c>
      <c r="L14" s="12" t="n">
        <v>450000</v>
      </c>
      <c r="M14" s="21" t="n">
        <v>1200</v>
      </c>
      <c r="N14" s="21" t="n">
        <v>5000</v>
      </c>
      <c r="O14" s="12" t="n">
        <v>1700</v>
      </c>
      <c r="P14" s="12" t="n">
        <v>46000</v>
      </c>
      <c r="Q14" s="12" t="n">
        <v>12500</v>
      </c>
      <c r="R14" s="12" t="n">
        <v>25760</v>
      </c>
      <c r="S14" s="12" t="n">
        <v>46000</v>
      </c>
      <c r="T14" s="12" t="n">
        <v>550000</v>
      </c>
      <c r="U14" s="12" t="n">
        <v>9</v>
      </c>
      <c r="V14" s="12" t="n">
        <v>10000</v>
      </c>
      <c r="W14" t="n">
        <v>1</v>
      </c>
      <c r="X14" t="n">
        <v>1</v>
      </c>
      <c r="Y14" s="12" t="n">
        <v>320</v>
      </c>
      <c r="Z14" s="12" t="n">
        <v>20000</v>
      </c>
    </row>
    <row r="15">
      <c r="A15" s="14" t="n">
        <v>2037</v>
      </c>
      <c r="B15" s="12" t="n">
        <v>1800</v>
      </c>
      <c r="C15" t="n">
        <v>360</v>
      </c>
      <c r="D15" t="n">
        <v>1760</v>
      </c>
      <c r="E15" s="12" t="n">
        <v>4500</v>
      </c>
      <c r="F15" t="n">
        <v>2500000</v>
      </c>
      <c r="G15" t="n">
        <v>2484</v>
      </c>
      <c r="H15" t="n">
        <v>1</v>
      </c>
      <c r="I15" t="n">
        <v>1</v>
      </c>
      <c r="J15" s="12" t="n">
        <v>34000</v>
      </c>
      <c r="K15" s="12" t="n">
        <v>350000</v>
      </c>
      <c r="L15" s="12" t="n">
        <v>450000</v>
      </c>
      <c r="M15" s="21" t="n">
        <v>1200</v>
      </c>
      <c r="N15" s="21" t="n">
        <v>5000</v>
      </c>
      <c r="O15" s="12" t="n">
        <v>1700</v>
      </c>
      <c r="P15" s="12" t="n">
        <v>46000</v>
      </c>
      <c r="Q15" s="12" t="n">
        <v>12500</v>
      </c>
      <c r="R15" s="12" t="n">
        <v>25760</v>
      </c>
      <c r="S15" s="12" t="n">
        <v>46000</v>
      </c>
      <c r="T15" s="12" t="n">
        <v>550000</v>
      </c>
      <c r="U15" s="12" t="n">
        <v>9</v>
      </c>
      <c r="V15" s="12" t="n">
        <v>10000</v>
      </c>
      <c r="W15" t="n">
        <v>1</v>
      </c>
      <c r="X15" t="n">
        <v>1</v>
      </c>
      <c r="Y15" s="12" t="n">
        <v>320</v>
      </c>
      <c r="Z15" s="12" t="n">
        <v>20000</v>
      </c>
    </row>
    <row r="16">
      <c r="A16" s="14" t="n">
        <v>2038</v>
      </c>
      <c r="B16" s="12" t="n">
        <v>1800</v>
      </c>
      <c r="C16" t="n">
        <v>360</v>
      </c>
      <c r="D16" t="n">
        <v>1760</v>
      </c>
      <c r="E16" s="12" t="n">
        <v>4500</v>
      </c>
      <c r="F16" t="n">
        <v>2500000</v>
      </c>
      <c r="G16" t="n">
        <v>2484</v>
      </c>
      <c r="H16" t="n">
        <v>1</v>
      </c>
      <c r="I16" t="n">
        <v>1</v>
      </c>
      <c r="J16" s="12" t="n">
        <v>34000</v>
      </c>
      <c r="K16" s="12" t="n">
        <v>350000</v>
      </c>
      <c r="L16" s="12" t="n">
        <v>450000</v>
      </c>
      <c r="M16" s="21" t="n">
        <v>1200</v>
      </c>
      <c r="N16" s="21" t="n">
        <v>5000</v>
      </c>
      <c r="O16" s="12" t="n">
        <v>1700</v>
      </c>
      <c r="P16" s="12" t="n">
        <v>46000</v>
      </c>
      <c r="Q16" s="12" t="n">
        <v>12500</v>
      </c>
      <c r="R16" s="12" t="n">
        <v>25760</v>
      </c>
      <c r="S16" s="12" t="n">
        <v>46000</v>
      </c>
      <c r="T16" s="12" t="n">
        <v>550000</v>
      </c>
      <c r="U16" s="12" t="n">
        <v>9</v>
      </c>
      <c r="V16" s="12" t="n">
        <v>10000</v>
      </c>
      <c r="W16" t="n">
        <v>1</v>
      </c>
      <c r="X16" t="n">
        <v>1</v>
      </c>
      <c r="Y16" s="12" t="n">
        <v>320</v>
      </c>
      <c r="Z16" s="12" t="n">
        <v>20000</v>
      </c>
    </row>
    <row r="17">
      <c r="A17" s="14" t="n">
        <v>2039</v>
      </c>
      <c r="B17" s="12" t="n">
        <v>1800</v>
      </c>
      <c r="C17" t="n">
        <v>360</v>
      </c>
      <c r="D17" t="n">
        <v>1760</v>
      </c>
      <c r="E17" s="12" t="n">
        <v>4500</v>
      </c>
      <c r="F17" t="n">
        <v>2500000</v>
      </c>
      <c r="G17" t="n">
        <v>2484</v>
      </c>
      <c r="H17" t="n">
        <v>1</v>
      </c>
      <c r="I17" t="n">
        <v>1</v>
      </c>
      <c r="J17" s="12" t="n">
        <v>34000</v>
      </c>
      <c r="K17" s="12" t="n">
        <v>350000</v>
      </c>
      <c r="L17" s="12" t="n">
        <v>450000</v>
      </c>
      <c r="M17" s="21" t="n">
        <v>1200</v>
      </c>
      <c r="N17" s="21" t="n">
        <v>5000</v>
      </c>
      <c r="O17" s="12" t="n">
        <v>1700</v>
      </c>
      <c r="P17" s="12" t="n">
        <v>46000</v>
      </c>
      <c r="Q17" s="12" t="n">
        <v>12500</v>
      </c>
      <c r="R17" s="12" t="n">
        <v>25760</v>
      </c>
      <c r="S17" s="12" t="n">
        <v>46000</v>
      </c>
      <c r="T17" s="12" t="n">
        <v>550000</v>
      </c>
      <c r="U17" s="12" t="n">
        <v>9</v>
      </c>
      <c r="V17" s="12" t="n">
        <v>10000</v>
      </c>
      <c r="W17" t="n">
        <v>1</v>
      </c>
      <c r="X17" t="n">
        <v>1</v>
      </c>
      <c r="Y17" s="12" t="n">
        <v>320</v>
      </c>
      <c r="Z17" s="12" t="n">
        <v>20000</v>
      </c>
    </row>
    <row r="18">
      <c r="A18" s="14" t="n">
        <v>2040</v>
      </c>
      <c r="B18" s="12" t="n">
        <v>1800</v>
      </c>
      <c r="C18" t="n">
        <v>360</v>
      </c>
      <c r="D18" t="n">
        <v>1760</v>
      </c>
      <c r="E18" s="12" t="n">
        <v>4500</v>
      </c>
      <c r="F18" t="n">
        <v>2500000</v>
      </c>
      <c r="G18" t="n">
        <v>2484</v>
      </c>
      <c r="H18" t="n">
        <v>1</v>
      </c>
      <c r="I18" t="n">
        <v>1</v>
      </c>
      <c r="J18" s="12" t="n">
        <v>34000</v>
      </c>
      <c r="K18" s="12" t="n">
        <v>350000</v>
      </c>
      <c r="L18" s="12" t="n">
        <v>450000</v>
      </c>
      <c r="M18" s="21" t="n">
        <v>1200</v>
      </c>
      <c r="N18" s="21" t="n">
        <v>5000</v>
      </c>
      <c r="O18" s="12" t="n">
        <v>1700</v>
      </c>
      <c r="P18" s="12" t="n">
        <v>46000</v>
      </c>
      <c r="Q18" s="12" t="n">
        <v>12500</v>
      </c>
      <c r="R18" s="12" t="n">
        <v>25760</v>
      </c>
      <c r="S18" s="12" t="n">
        <v>46000</v>
      </c>
      <c r="T18" s="12" t="n">
        <v>550000</v>
      </c>
      <c r="U18" s="12" t="n">
        <v>9</v>
      </c>
      <c r="V18" s="12" t="n">
        <v>10000</v>
      </c>
      <c r="W18" t="n">
        <v>1</v>
      </c>
      <c r="X18" t="n">
        <v>1</v>
      </c>
      <c r="Y18" s="12" t="n">
        <v>320</v>
      </c>
      <c r="Z18" s="12" t="n">
        <v>20000</v>
      </c>
    </row>
    <row r="19">
      <c r="A19" s="14" t="n">
        <v>2041</v>
      </c>
      <c r="B19" s="12" t="n">
        <v>1800</v>
      </c>
      <c r="C19" t="n">
        <v>360</v>
      </c>
      <c r="D19" t="n">
        <v>1760</v>
      </c>
      <c r="E19" s="12" t="n">
        <v>4500</v>
      </c>
      <c r="F19" t="n">
        <v>2500000</v>
      </c>
      <c r="G19" t="n">
        <v>2484</v>
      </c>
      <c r="H19" t="n">
        <v>1</v>
      </c>
      <c r="I19" t="n">
        <v>1</v>
      </c>
      <c r="J19" s="12" t="n">
        <v>34000</v>
      </c>
      <c r="K19" s="12" t="n">
        <v>350000</v>
      </c>
      <c r="L19" s="12" t="n">
        <v>450000</v>
      </c>
      <c r="M19" s="21" t="n">
        <v>1200</v>
      </c>
      <c r="N19" s="21" t="n">
        <v>5000</v>
      </c>
      <c r="O19" s="12" t="n">
        <v>1700</v>
      </c>
      <c r="P19" s="12" t="n">
        <v>46000</v>
      </c>
      <c r="Q19" s="12" t="n">
        <v>12500</v>
      </c>
      <c r="R19" s="12" t="n">
        <v>25760</v>
      </c>
      <c r="S19" s="12" t="n">
        <v>46000</v>
      </c>
      <c r="T19" s="12" t="n">
        <v>550000</v>
      </c>
      <c r="U19" s="12" t="n">
        <v>9</v>
      </c>
      <c r="V19" s="12" t="n">
        <v>10000</v>
      </c>
      <c r="W19" t="n">
        <v>1</v>
      </c>
      <c r="X19" t="n">
        <v>1</v>
      </c>
      <c r="Y19" s="12" t="n">
        <v>320</v>
      </c>
      <c r="Z19" s="12" t="n">
        <v>20000</v>
      </c>
    </row>
    <row r="20">
      <c r="A20" s="14" t="n">
        <v>2042</v>
      </c>
      <c r="B20" s="12" t="n">
        <v>1800</v>
      </c>
      <c r="C20" t="n">
        <v>360</v>
      </c>
      <c r="D20" t="n">
        <v>1760</v>
      </c>
      <c r="E20" s="12" t="n">
        <v>4500</v>
      </c>
      <c r="F20" t="n">
        <v>2500000</v>
      </c>
      <c r="G20" t="n">
        <v>2484</v>
      </c>
      <c r="H20" t="n">
        <v>1</v>
      </c>
      <c r="I20" t="n">
        <v>1</v>
      </c>
      <c r="J20" s="12" t="n">
        <v>34000</v>
      </c>
      <c r="K20" s="12" t="n">
        <v>350000</v>
      </c>
      <c r="L20" s="12" t="n">
        <v>450000</v>
      </c>
      <c r="M20" s="21" t="n">
        <v>1200</v>
      </c>
      <c r="N20" s="21" t="n">
        <v>5000</v>
      </c>
      <c r="O20" s="12" t="n">
        <v>1700</v>
      </c>
      <c r="P20" s="12" t="n">
        <v>46000</v>
      </c>
      <c r="Q20" s="12" t="n">
        <v>12500</v>
      </c>
      <c r="R20" s="12" t="n">
        <v>25760</v>
      </c>
      <c r="S20" s="12" t="n">
        <v>46000</v>
      </c>
      <c r="T20" s="12" t="n">
        <v>550000</v>
      </c>
      <c r="U20" s="12" t="n">
        <v>9</v>
      </c>
      <c r="V20" s="12" t="n">
        <v>10000</v>
      </c>
      <c r="W20" t="n">
        <v>1</v>
      </c>
      <c r="X20" t="n">
        <v>1</v>
      </c>
      <c r="Y20" s="12" t="n">
        <v>320</v>
      </c>
      <c r="Z20" s="12" t="n">
        <v>20000</v>
      </c>
    </row>
    <row r="21">
      <c r="A21" s="14" t="n">
        <v>2043</v>
      </c>
      <c r="B21" s="12" t="n">
        <v>1800</v>
      </c>
      <c r="C21" t="n">
        <v>360</v>
      </c>
      <c r="D21" t="n">
        <v>1760</v>
      </c>
      <c r="E21" s="12" t="n">
        <v>4500</v>
      </c>
      <c r="F21" t="n">
        <v>2500000</v>
      </c>
      <c r="G21" t="n">
        <v>2484</v>
      </c>
      <c r="H21" t="n">
        <v>1</v>
      </c>
      <c r="I21" t="n">
        <v>1</v>
      </c>
      <c r="J21" s="12" t="n">
        <v>34000</v>
      </c>
      <c r="K21" s="12" t="n">
        <v>350000</v>
      </c>
      <c r="L21" s="12" t="n">
        <v>450000</v>
      </c>
      <c r="M21" s="21" t="n">
        <v>1200</v>
      </c>
      <c r="N21" s="21" t="n">
        <v>5000</v>
      </c>
      <c r="O21" s="12" t="n">
        <v>1700</v>
      </c>
      <c r="P21" s="12" t="n">
        <v>46000</v>
      </c>
      <c r="Q21" s="12" t="n">
        <v>12500</v>
      </c>
      <c r="R21" s="12" t="n">
        <v>25760</v>
      </c>
      <c r="S21" s="12" t="n">
        <v>46000</v>
      </c>
      <c r="T21" s="12" t="n">
        <v>550000</v>
      </c>
      <c r="U21" s="12" t="n">
        <v>9</v>
      </c>
      <c r="V21" s="12" t="n">
        <v>10000</v>
      </c>
      <c r="W21" t="n">
        <v>1</v>
      </c>
      <c r="X21" t="n">
        <v>1</v>
      </c>
      <c r="Y21" s="12" t="n">
        <v>320</v>
      </c>
      <c r="Z21" s="12" t="n">
        <v>20000</v>
      </c>
    </row>
    <row r="22">
      <c r="A22" s="14" t="n">
        <v>2044</v>
      </c>
      <c r="B22" s="12" t="n">
        <v>1800</v>
      </c>
      <c r="C22" t="n">
        <v>360</v>
      </c>
      <c r="D22" t="n">
        <v>1760</v>
      </c>
      <c r="E22" s="12" t="n">
        <v>4500</v>
      </c>
      <c r="F22" t="n">
        <v>2500000</v>
      </c>
      <c r="G22" t="n">
        <v>2484</v>
      </c>
      <c r="H22" t="n">
        <v>1</v>
      </c>
      <c r="I22" t="n">
        <v>1</v>
      </c>
      <c r="J22" s="12" t="n">
        <v>34000</v>
      </c>
      <c r="K22" s="12" t="n">
        <v>350000</v>
      </c>
      <c r="L22" s="12" t="n">
        <v>450000</v>
      </c>
      <c r="M22" s="21" t="n">
        <v>1200</v>
      </c>
      <c r="N22" s="21" t="n">
        <v>5000</v>
      </c>
      <c r="O22" s="12" t="n">
        <v>1700</v>
      </c>
      <c r="P22" s="12" t="n">
        <v>46000</v>
      </c>
      <c r="Q22" s="12" t="n">
        <v>12500</v>
      </c>
      <c r="R22" s="12" t="n">
        <v>25760</v>
      </c>
      <c r="S22" s="12" t="n">
        <v>46000</v>
      </c>
      <c r="T22" s="12" t="n">
        <v>550000</v>
      </c>
      <c r="U22" s="12" t="n">
        <v>9</v>
      </c>
      <c r="V22" s="12" t="n">
        <v>10000</v>
      </c>
      <c r="W22" t="n">
        <v>1</v>
      </c>
      <c r="X22" t="n">
        <v>1</v>
      </c>
      <c r="Y22" s="12" t="n">
        <v>320</v>
      </c>
      <c r="Z22" s="12" t="n">
        <v>20000</v>
      </c>
    </row>
    <row r="23">
      <c r="A23" s="14" t="n">
        <v>2045</v>
      </c>
      <c r="B23" s="12" t="n">
        <v>1800</v>
      </c>
      <c r="C23" t="n">
        <v>360</v>
      </c>
      <c r="D23" t="n">
        <v>1760</v>
      </c>
      <c r="E23" s="12" t="n">
        <v>4500</v>
      </c>
      <c r="F23" t="n">
        <v>2500000</v>
      </c>
      <c r="G23" t="n">
        <v>2484</v>
      </c>
      <c r="H23" t="n">
        <v>1</v>
      </c>
      <c r="I23" t="n">
        <v>1</v>
      </c>
      <c r="J23" s="12" t="n">
        <v>34000</v>
      </c>
      <c r="K23" s="12" t="n">
        <v>350000</v>
      </c>
      <c r="L23" s="12" t="n">
        <v>450000</v>
      </c>
      <c r="M23" s="21" t="n">
        <v>1200</v>
      </c>
      <c r="N23" s="21" t="n">
        <v>5000</v>
      </c>
      <c r="O23" s="12" t="n">
        <v>1700</v>
      </c>
      <c r="P23" s="12" t="n">
        <v>46000</v>
      </c>
      <c r="Q23" s="12" t="n">
        <v>12500</v>
      </c>
      <c r="R23" s="12" t="n">
        <v>25760</v>
      </c>
      <c r="S23" s="12" t="n">
        <v>46000</v>
      </c>
      <c r="T23" s="12" t="n">
        <v>550000</v>
      </c>
      <c r="U23" s="12" t="n">
        <v>9</v>
      </c>
      <c r="V23" s="12" t="n">
        <v>10000</v>
      </c>
      <c r="W23" t="n">
        <v>1</v>
      </c>
      <c r="X23" t="n">
        <v>1</v>
      </c>
      <c r="Y23" s="12" t="n">
        <v>320</v>
      </c>
      <c r="Z23" s="12" t="n">
        <v>20000</v>
      </c>
    </row>
    <row r="24">
      <c r="A24" s="14" t="n">
        <v>2046</v>
      </c>
      <c r="B24" s="12" t="n">
        <v>1800</v>
      </c>
      <c r="C24" t="n">
        <v>360</v>
      </c>
      <c r="D24" t="n">
        <v>1760</v>
      </c>
      <c r="E24" s="12" t="n">
        <v>4500</v>
      </c>
      <c r="F24" t="n">
        <v>2500000</v>
      </c>
      <c r="G24" t="n">
        <v>2484</v>
      </c>
      <c r="H24" t="n">
        <v>1</v>
      </c>
      <c r="I24" t="n">
        <v>1</v>
      </c>
      <c r="J24" s="12" t="n">
        <v>34000</v>
      </c>
      <c r="K24" s="12" t="n">
        <v>350000</v>
      </c>
      <c r="L24" s="12" t="n">
        <v>450000</v>
      </c>
      <c r="M24" s="21" t="n">
        <v>1200</v>
      </c>
      <c r="N24" s="21" t="n">
        <v>5000</v>
      </c>
      <c r="O24" s="12" t="n">
        <v>1700</v>
      </c>
      <c r="P24" s="12" t="n">
        <v>46000</v>
      </c>
      <c r="Q24" s="12" t="n">
        <v>12500</v>
      </c>
      <c r="R24" s="12" t="n">
        <v>25760</v>
      </c>
      <c r="S24" s="12" t="n">
        <v>46000</v>
      </c>
      <c r="T24" s="12" t="n">
        <v>550000</v>
      </c>
      <c r="U24" s="12" t="n">
        <v>9</v>
      </c>
      <c r="V24" s="12" t="n">
        <v>10000</v>
      </c>
      <c r="W24" t="n">
        <v>1</v>
      </c>
      <c r="X24" t="n">
        <v>1</v>
      </c>
      <c r="Y24" s="12" t="n">
        <v>320</v>
      </c>
      <c r="Z24" s="12" t="n">
        <v>20000</v>
      </c>
    </row>
    <row r="25">
      <c r="A25" s="14" t="n">
        <v>2047</v>
      </c>
      <c r="B25" s="12" t="n">
        <v>1800</v>
      </c>
      <c r="C25" t="n">
        <v>360</v>
      </c>
      <c r="D25" t="n">
        <v>1760</v>
      </c>
      <c r="E25" s="12" t="n">
        <v>4500</v>
      </c>
      <c r="F25" t="n">
        <v>2500000</v>
      </c>
      <c r="G25" t="n">
        <v>2484</v>
      </c>
      <c r="H25" t="n">
        <v>1</v>
      </c>
      <c r="I25" t="n">
        <v>1</v>
      </c>
      <c r="J25" s="12" t="n">
        <v>34000</v>
      </c>
      <c r="K25" s="12" t="n">
        <v>350000</v>
      </c>
      <c r="L25" s="12" t="n">
        <v>450000</v>
      </c>
      <c r="M25" s="21" t="n">
        <v>1200</v>
      </c>
      <c r="N25" s="21" t="n">
        <v>5000</v>
      </c>
      <c r="O25" s="12" t="n">
        <v>1700</v>
      </c>
      <c r="P25" s="12" t="n">
        <v>46000</v>
      </c>
      <c r="Q25" s="12" t="n">
        <v>12500</v>
      </c>
      <c r="R25" s="12" t="n">
        <v>25760</v>
      </c>
      <c r="S25" s="12" t="n">
        <v>46000</v>
      </c>
      <c r="T25" s="12" t="n">
        <v>550000</v>
      </c>
      <c r="U25" s="12" t="n">
        <v>9</v>
      </c>
      <c r="V25" s="12" t="n">
        <v>10000</v>
      </c>
      <c r="W25" t="n">
        <v>1</v>
      </c>
      <c r="X25" t="n">
        <v>1</v>
      </c>
      <c r="Y25" s="12" t="n">
        <v>320</v>
      </c>
      <c r="Z25" s="12" t="n">
        <v>20000</v>
      </c>
    </row>
    <row r="26">
      <c r="A26" s="14" t="n">
        <v>2048</v>
      </c>
      <c r="B26" s="12" t="n">
        <v>1800</v>
      </c>
      <c r="C26" t="n">
        <v>360</v>
      </c>
      <c r="D26" t="n">
        <v>1760</v>
      </c>
      <c r="E26" s="12" t="n">
        <v>4500</v>
      </c>
      <c r="F26" t="n">
        <v>2500000</v>
      </c>
      <c r="G26" t="n">
        <v>2484</v>
      </c>
      <c r="H26" t="n">
        <v>1</v>
      </c>
      <c r="I26" t="n">
        <v>1</v>
      </c>
      <c r="J26" s="12" t="n">
        <v>34000</v>
      </c>
      <c r="K26" s="12" t="n">
        <v>350000</v>
      </c>
      <c r="L26" s="12" t="n">
        <v>450000</v>
      </c>
      <c r="M26" s="21" t="n">
        <v>1200</v>
      </c>
      <c r="N26" s="21" t="n">
        <v>5000</v>
      </c>
      <c r="O26" s="12" t="n">
        <v>1700</v>
      </c>
      <c r="P26" s="12" t="n">
        <v>46000</v>
      </c>
      <c r="Q26" s="12" t="n">
        <v>12500</v>
      </c>
      <c r="R26" s="12" t="n">
        <v>25760</v>
      </c>
      <c r="S26" s="12" t="n">
        <v>46000</v>
      </c>
      <c r="T26" s="12" t="n">
        <v>550000</v>
      </c>
      <c r="U26" s="12" t="n">
        <v>9</v>
      </c>
      <c r="V26" s="12" t="n">
        <v>10000</v>
      </c>
      <c r="W26" t="n">
        <v>1</v>
      </c>
      <c r="X26" t="n">
        <v>1</v>
      </c>
      <c r="Y26" s="12" t="n">
        <v>320</v>
      </c>
      <c r="Z26" s="12" t="n">
        <v>20000</v>
      </c>
    </row>
    <row r="27">
      <c r="A27" s="14" t="n">
        <v>2049</v>
      </c>
      <c r="B27" s="12" t="n">
        <v>1800</v>
      </c>
      <c r="C27" t="n">
        <v>360</v>
      </c>
      <c r="D27" t="n">
        <v>1760</v>
      </c>
      <c r="E27" s="12" t="n">
        <v>4500</v>
      </c>
      <c r="F27" t="n">
        <v>2500000</v>
      </c>
      <c r="G27" t="n">
        <v>2484</v>
      </c>
      <c r="H27" t="n">
        <v>1</v>
      </c>
      <c r="I27" t="n">
        <v>1</v>
      </c>
      <c r="J27" s="12" t="n">
        <v>34000</v>
      </c>
      <c r="K27" s="12" t="n">
        <v>350000</v>
      </c>
      <c r="L27" s="12" t="n">
        <v>450000</v>
      </c>
      <c r="M27" s="21" t="n">
        <v>1200</v>
      </c>
      <c r="N27" s="21" t="n">
        <v>5000</v>
      </c>
      <c r="O27" s="12" t="n">
        <v>1700</v>
      </c>
      <c r="P27" s="12" t="n">
        <v>46000</v>
      </c>
      <c r="Q27" s="12" t="n">
        <v>12500</v>
      </c>
      <c r="R27" s="12" t="n">
        <v>25760</v>
      </c>
      <c r="S27" s="12" t="n">
        <v>46000</v>
      </c>
      <c r="T27" s="12" t="n">
        <v>550000</v>
      </c>
      <c r="U27" s="12" t="n">
        <v>9</v>
      </c>
      <c r="V27" s="12" t="n">
        <v>10000</v>
      </c>
      <c r="W27" t="n">
        <v>1</v>
      </c>
      <c r="X27" t="n">
        <v>1</v>
      </c>
      <c r="Y27" s="12" t="n">
        <v>320</v>
      </c>
      <c r="Z27" s="12" t="n">
        <v>20000</v>
      </c>
    </row>
    <row r="28">
      <c r="A28" s="14" t="n">
        <v>2050</v>
      </c>
      <c r="B28" s="12" t="n">
        <v>1800</v>
      </c>
      <c r="C28" t="n">
        <v>360</v>
      </c>
      <c r="D28" t="n">
        <v>1760</v>
      </c>
      <c r="E28" s="12" t="n">
        <v>4500</v>
      </c>
      <c r="F28" t="n">
        <v>2500000</v>
      </c>
      <c r="G28" t="n">
        <v>2484</v>
      </c>
      <c r="H28" t="n">
        <v>1</v>
      </c>
      <c r="I28" t="n">
        <v>1</v>
      </c>
      <c r="J28" s="12" t="n">
        <v>34000</v>
      </c>
      <c r="K28" s="12" t="n">
        <v>350000</v>
      </c>
      <c r="L28" s="12" t="n">
        <v>450000</v>
      </c>
      <c r="M28" s="21" t="n">
        <v>1200</v>
      </c>
      <c r="N28" s="21" t="n">
        <v>5000</v>
      </c>
      <c r="O28" s="12" t="n">
        <v>1700</v>
      </c>
      <c r="P28" s="12" t="n">
        <v>46000</v>
      </c>
      <c r="Q28" s="12" t="n">
        <v>12500</v>
      </c>
      <c r="R28" s="12" t="n">
        <v>25760</v>
      </c>
      <c r="S28" s="12" t="n">
        <v>46000</v>
      </c>
      <c r="T28" s="12" t="n">
        <v>550000</v>
      </c>
      <c r="U28" s="12" t="n">
        <v>9</v>
      </c>
      <c r="V28" s="12" t="n">
        <v>10000</v>
      </c>
      <c r="W28" t="n">
        <v>1</v>
      </c>
      <c r="X28" t="n">
        <v>1</v>
      </c>
      <c r="Y28" s="12" t="n">
        <v>320</v>
      </c>
      <c r="Z28" s="12" t="n">
        <v>20000</v>
      </c>
    </row>
  </sheetData>
  <pageMargins left="0.7" right="0.7" top="0.787401575" bottom="0.7874015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F39" sqref="F39"/>
    </sheetView>
  </sheetViews>
  <sheetFormatPr baseColWidth="10" defaultRowHeight="15"/>
  <sheetData>
    <row r="1">
      <c r="A1" t="inlineStr">
        <is>
          <t>Stf</t>
        </is>
      </c>
      <c r="B1" t="inlineStr">
        <is>
          <t>aluminum</t>
        </is>
      </c>
      <c r="C1" t="inlineStr">
        <is>
          <t xml:space="preserve"> glass</t>
        </is>
      </c>
      <c r="D1" t="inlineStr">
        <is>
          <t xml:space="preserve"> polymers</t>
        </is>
      </c>
      <c r="E1" t="inlineStr">
        <is>
          <t xml:space="preserve"> copper</t>
        </is>
      </c>
      <c r="F1" t="inlineStr">
        <is>
          <t xml:space="preserve"> silver</t>
        </is>
      </c>
      <c r="G1" t="inlineStr">
        <is>
          <t xml:space="preserve"> silicon</t>
        </is>
      </c>
      <c r="H1" t="inlineStr">
        <is>
          <t xml:space="preserve"> blade_bulk_on</t>
        </is>
      </c>
      <c r="I1" t="inlineStr">
        <is>
          <t xml:space="preserve"> tower_bulk_on</t>
        </is>
      </c>
      <c r="J1" t="inlineStr">
        <is>
          <t xml:space="preserve"> cobalt</t>
        </is>
      </c>
      <c r="K1" t="inlineStr">
        <is>
          <t xml:space="preserve"> dysprosium</t>
        </is>
      </c>
      <c r="L1" t="inlineStr">
        <is>
          <t xml:space="preserve"> gallium</t>
        </is>
      </c>
      <c r="M1" t="inlineStr">
        <is>
          <t xml:space="preserve"> graphite</t>
        </is>
      </c>
      <c r="N1" t="inlineStr">
        <is>
          <t xml:space="preserve"> lithium</t>
        </is>
      </c>
      <c r="O1" t="inlineStr">
        <is>
          <t xml:space="preserve"> manganese</t>
        </is>
      </c>
      <c r="P1" t="inlineStr">
        <is>
          <t xml:space="preserve"> neodymium</t>
        </is>
      </c>
      <c r="Q1" t="inlineStr">
        <is>
          <t xml:space="preserve"> nickel</t>
        </is>
      </c>
      <c r="R1" t="inlineStr">
        <is>
          <t xml:space="preserve"> niobium</t>
        </is>
      </c>
      <c r="S1" t="inlineStr">
        <is>
          <t xml:space="preserve"> praseodymium</t>
        </is>
      </c>
      <c r="T1" t="inlineStr">
        <is>
          <t xml:space="preserve"> terbium</t>
        </is>
      </c>
      <c r="U1" t="inlineStr">
        <is>
          <t xml:space="preserve"> titanium</t>
        </is>
      </c>
      <c r="V1" t="inlineStr">
        <is>
          <t xml:space="preserve"> vanadium</t>
        </is>
      </c>
      <c r="W1" t="inlineStr">
        <is>
          <t xml:space="preserve"> blade_bulk_off</t>
        </is>
      </c>
      <c r="X1" t="inlineStr">
        <is>
          <t xml:space="preserve"> tower_bulk_off</t>
        </is>
      </c>
      <c r="Y1" t="inlineStr">
        <is>
          <t xml:space="preserve"> boron</t>
        </is>
      </c>
      <c r="Z1" t="inlineStr">
        <is>
          <t xml:space="preserve"> molybdenum</t>
        </is>
      </c>
    </row>
    <row r="2">
      <c r="A2" s="14" t="n">
        <v>2024</v>
      </c>
      <c r="B2" s="12" t="n">
        <v>1800</v>
      </c>
      <c r="C2" t="n">
        <v>360</v>
      </c>
      <c r="D2" t="n">
        <v>1760</v>
      </c>
      <c r="E2" s="12" t="n">
        <v>4500</v>
      </c>
      <c r="F2" t="n">
        <v>2500000</v>
      </c>
      <c r="G2" t="n">
        <v>2484</v>
      </c>
      <c r="H2" t="n">
        <v>1</v>
      </c>
      <c r="I2" t="n">
        <v>1</v>
      </c>
      <c r="J2" s="12" t="n">
        <v>34000</v>
      </c>
      <c r="K2" s="12" t="n">
        <v>350000</v>
      </c>
      <c r="L2" s="12" t="n">
        <v>450000</v>
      </c>
      <c r="M2" s="21" t="n">
        <v>1200</v>
      </c>
      <c r="N2" s="21" t="n">
        <v>5000</v>
      </c>
      <c r="O2" s="12" t="n">
        <v>1700</v>
      </c>
      <c r="P2" s="12" t="n">
        <v>46000</v>
      </c>
      <c r="Q2" s="12" t="n">
        <v>12500</v>
      </c>
      <c r="R2" s="12" t="n">
        <v>25760</v>
      </c>
      <c r="S2" s="12" t="n">
        <v>46000</v>
      </c>
      <c r="T2" s="12" t="n">
        <v>550000</v>
      </c>
      <c r="U2" s="12" t="n">
        <v>9</v>
      </c>
      <c r="V2" s="12" t="n">
        <v>10000</v>
      </c>
      <c r="W2" t="n">
        <v>1</v>
      </c>
      <c r="X2" t="n">
        <v>1</v>
      </c>
      <c r="Y2" s="12" t="n">
        <v>320</v>
      </c>
      <c r="Z2" s="12" t="n">
        <v>20000</v>
      </c>
    </row>
    <row r="3">
      <c r="A3" s="14" t="n">
        <v>2025</v>
      </c>
      <c r="B3" s="12" t="n">
        <v>1800</v>
      </c>
      <c r="C3" t="n">
        <v>360</v>
      </c>
      <c r="D3" t="n">
        <v>1760</v>
      </c>
      <c r="E3" s="12" t="n">
        <v>4500</v>
      </c>
      <c r="F3" t="n">
        <v>2500000</v>
      </c>
      <c r="G3" t="n">
        <v>2484</v>
      </c>
      <c r="H3" t="n">
        <v>1</v>
      </c>
      <c r="I3" t="n">
        <v>1</v>
      </c>
      <c r="J3" s="12" t="n">
        <v>34000</v>
      </c>
      <c r="K3" s="12" t="n">
        <v>350000</v>
      </c>
      <c r="L3" s="12" t="n">
        <v>450000</v>
      </c>
      <c r="M3" s="21" t="n">
        <v>1200</v>
      </c>
      <c r="N3" s="21" t="n">
        <v>5000</v>
      </c>
      <c r="O3" s="12" t="n">
        <v>1700</v>
      </c>
      <c r="P3" s="12" t="n">
        <v>46000</v>
      </c>
      <c r="Q3" s="12" t="n">
        <v>12500</v>
      </c>
      <c r="R3" s="12" t="n">
        <v>25760</v>
      </c>
      <c r="S3" s="12" t="n">
        <v>46000</v>
      </c>
      <c r="T3" s="12" t="n">
        <v>550000</v>
      </c>
      <c r="U3" s="12" t="n">
        <v>9</v>
      </c>
      <c r="V3" s="12" t="n">
        <v>10000</v>
      </c>
      <c r="W3" t="n">
        <v>1</v>
      </c>
      <c r="X3" t="n">
        <v>1</v>
      </c>
      <c r="Y3" s="12" t="n">
        <v>320</v>
      </c>
      <c r="Z3" s="12" t="n">
        <v>20000</v>
      </c>
    </row>
    <row r="4">
      <c r="A4" s="14" t="n">
        <v>2026</v>
      </c>
      <c r="B4" s="12" t="n">
        <v>1800</v>
      </c>
      <c r="C4" t="n">
        <v>360</v>
      </c>
      <c r="D4" t="n">
        <v>1760</v>
      </c>
      <c r="E4" s="12" t="n">
        <v>4500</v>
      </c>
      <c r="F4" t="n">
        <v>2500000</v>
      </c>
      <c r="G4" t="n">
        <v>2484</v>
      </c>
      <c r="H4" t="n">
        <v>1</v>
      </c>
      <c r="I4" t="n">
        <v>1</v>
      </c>
      <c r="J4" s="12" t="n">
        <v>34000</v>
      </c>
      <c r="K4" s="12" t="n">
        <v>350000</v>
      </c>
      <c r="L4" s="12" t="n">
        <v>450000</v>
      </c>
      <c r="M4" s="21" t="n">
        <v>1200</v>
      </c>
      <c r="N4" s="21" t="n">
        <v>5000</v>
      </c>
      <c r="O4" s="12" t="n">
        <v>1700</v>
      </c>
      <c r="P4" s="12" t="n">
        <v>46000</v>
      </c>
      <c r="Q4" s="12" t="n">
        <v>12500</v>
      </c>
      <c r="R4" s="12" t="n">
        <v>25760</v>
      </c>
      <c r="S4" s="12" t="n">
        <v>46000</v>
      </c>
      <c r="T4" s="12" t="n">
        <v>550000</v>
      </c>
      <c r="U4" s="12" t="n">
        <v>9</v>
      </c>
      <c r="V4" s="12" t="n">
        <v>10000</v>
      </c>
      <c r="W4" t="n">
        <v>1</v>
      </c>
      <c r="X4" t="n">
        <v>1</v>
      </c>
      <c r="Y4" s="12" t="n">
        <v>320</v>
      </c>
      <c r="Z4" s="12" t="n">
        <v>20000</v>
      </c>
    </row>
    <row r="5">
      <c r="A5" s="14" t="n">
        <v>2027</v>
      </c>
      <c r="B5" s="12" t="n">
        <v>1800</v>
      </c>
      <c r="C5" t="n">
        <v>360</v>
      </c>
      <c r="D5" t="n">
        <v>1760</v>
      </c>
      <c r="E5" s="12" t="n">
        <v>4500</v>
      </c>
      <c r="F5" t="n">
        <v>2500000</v>
      </c>
      <c r="G5" t="n">
        <v>2484</v>
      </c>
      <c r="H5" t="n">
        <v>1</v>
      </c>
      <c r="I5" t="n">
        <v>1</v>
      </c>
      <c r="J5" s="12" t="n">
        <v>34000</v>
      </c>
      <c r="K5" s="12" t="n">
        <v>350000</v>
      </c>
      <c r="L5" s="12" t="n">
        <v>450000</v>
      </c>
      <c r="M5" s="21" t="n">
        <v>1200</v>
      </c>
      <c r="N5" s="21" t="n">
        <v>5000</v>
      </c>
      <c r="O5" s="12" t="n">
        <v>1700</v>
      </c>
      <c r="P5" s="12" t="n">
        <v>46000</v>
      </c>
      <c r="Q5" s="12" t="n">
        <v>12500</v>
      </c>
      <c r="R5" s="12" t="n">
        <v>25760</v>
      </c>
      <c r="S5" s="12" t="n">
        <v>46000</v>
      </c>
      <c r="T5" s="12" t="n">
        <v>550000</v>
      </c>
      <c r="U5" s="12" t="n">
        <v>9</v>
      </c>
      <c r="V5" s="12" t="n">
        <v>10000</v>
      </c>
      <c r="W5" t="n">
        <v>1</v>
      </c>
      <c r="X5" t="n">
        <v>1</v>
      </c>
      <c r="Y5" s="12" t="n">
        <v>320</v>
      </c>
      <c r="Z5" s="12" t="n">
        <v>20000</v>
      </c>
    </row>
    <row r="6">
      <c r="A6" s="14" t="n">
        <v>2028</v>
      </c>
      <c r="B6" s="12" t="n">
        <v>1800</v>
      </c>
      <c r="C6" t="n">
        <v>360</v>
      </c>
      <c r="D6" t="n">
        <v>1760</v>
      </c>
      <c r="E6" s="12" t="n">
        <v>4500</v>
      </c>
      <c r="F6" t="n">
        <v>2500000</v>
      </c>
      <c r="G6" t="n">
        <v>2484</v>
      </c>
      <c r="H6" t="n">
        <v>1</v>
      </c>
      <c r="I6" t="n">
        <v>1</v>
      </c>
      <c r="J6" s="12" t="n">
        <v>34000</v>
      </c>
      <c r="K6" s="12" t="n">
        <v>350000</v>
      </c>
      <c r="L6" s="12" t="n">
        <v>450000</v>
      </c>
      <c r="M6" s="21" t="n">
        <v>1200</v>
      </c>
      <c r="N6" s="21" t="n">
        <v>5000</v>
      </c>
      <c r="O6" s="12" t="n">
        <v>1700</v>
      </c>
      <c r="P6" s="12" t="n">
        <v>46000</v>
      </c>
      <c r="Q6" s="12" t="n">
        <v>12500</v>
      </c>
      <c r="R6" s="12" t="n">
        <v>25760</v>
      </c>
      <c r="S6" s="12" t="n">
        <v>46000</v>
      </c>
      <c r="T6" s="12" t="n">
        <v>550000</v>
      </c>
      <c r="U6" s="12" t="n">
        <v>9</v>
      </c>
      <c r="V6" s="12" t="n">
        <v>10000</v>
      </c>
      <c r="W6" t="n">
        <v>1</v>
      </c>
      <c r="X6" t="n">
        <v>1</v>
      </c>
      <c r="Y6" s="12" t="n">
        <v>320</v>
      </c>
      <c r="Z6" s="12" t="n">
        <v>20000</v>
      </c>
    </row>
    <row r="7">
      <c r="A7" s="14" t="n">
        <v>2029</v>
      </c>
      <c r="B7" s="12" t="n">
        <v>1800</v>
      </c>
      <c r="C7" t="n">
        <v>360</v>
      </c>
      <c r="D7" t="n">
        <v>1760</v>
      </c>
      <c r="E7" s="12" t="n">
        <v>4500</v>
      </c>
      <c r="F7" t="n">
        <v>2500000</v>
      </c>
      <c r="G7" t="n">
        <v>2484</v>
      </c>
      <c r="H7" t="n">
        <v>1</v>
      </c>
      <c r="I7" t="n">
        <v>1</v>
      </c>
      <c r="J7" s="12" t="n">
        <v>34000</v>
      </c>
      <c r="K7" s="12" t="n">
        <v>350000</v>
      </c>
      <c r="L7" s="12" t="n">
        <v>450000</v>
      </c>
      <c r="M7" s="21" t="n">
        <v>1200</v>
      </c>
      <c r="N7" s="21" t="n">
        <v>5000</v>
      </c>
      <c r="O7" s="12" t="n">
        <v>1700</v>
      </c>
      <c r="P7" s="12" t="n">
        <v>46000</v>
      </c>
      <c r="Q7" s="12" t="n">
        <v>12500</v>
      </c>
      <c r="R7" s="12" t="n">
        <v>25760</v>
      </c>
      <c r="S7" s="12" t="n">
        <v>46000</v>
      </c>
      <c r="T7" s="12" t="n">
        <v>550000</v>
      </c>
      <c r="U7" s="12" t="n">
        <v>9</v>
      </c>
      <c r="V7" s="12" t="n">
        <v>10000</v>
      </c>
      <c r="W7" t="n">
        <v>1</v>
      </c>
      <c r="X7" t="n">
        <v>1</v>
      </c>
      <c r="Y7" s="12" t="n">
        <v>320</v>
      </c>
      <c r="Z7" s="12" t="n">
        <v>20000</v>
      </c>
    </row>
    <row r="8">
      <c r="A8" s="14" t="n">
        <v>2030</v>
      </c>
      <c r="B8" s="12" t="n">
        <v>1800</v>
      </c>
      <c r="C8" t="n">
        <v>360</v>
      </c>
      <c r="D8" t="n">
        <v>1760</v>
      </c>
      <c r="E8" s="12" t="n">
        <v>4500</v>
      </c>
      <c r="F8" t="n">
        <v>2500000</v>
      </c>
      <c r="G8" t="n">
        <v>2484</v>
      </c>
      <c r="H8" t="n">
        <v>1</v>
      </c>
      <c r="I8" t="n">
        <v>1</v>
      </c>
      <c r="J8" s="12" t="n">
        <v>34000</v>
      </c>
      <c r="K8" s="12" t="n">
        <v>350000</v>
      </c>
      <c r="L8" s="12" t="n">
        <v>450000</v>
      </c>
      <c r="M8" s="21" t="n">
        <v>1200</v>
      </c>
      <c r="N8" s="21" t="n">
        <v>5000</v>
      </c>
      <c r="O8" s="12" t="n">
        <v>1700</v>
      </c>
      <c r="P8" s="12" t="n">
        <v>46000</v>
      </c>
      <c r="Q8" s="12" t="n">
        <v>12500</v>
      </c>
      <c r="R8" s="12" t="n">
        <v>25760</v>
      </c>
      <c r="S8" s="12" t="n">
        <v>46000</v>
      </c>
      <c r="T8" s="12" t="n">
        <v>550000</v>
      </c>
      <c r="U8" s="12" t="n">
        <v>9</v>
      </c>
      <c r="V8" s="12" t="n">
        <v>10000</v>
      </c>
      <c r="W8" t="n">
        <v>1</v>
      </c>
      <c r="X8" t="n">
        <v>1</v>
      </c>
      <c r="Y8" s="12" t="n">
        <v>320</v>
      </c>
      <c r="Z8" s="12" t="n">
        <v>20000</v>
      </c>
    </row>
    <row r="9">
      <c r="A9" s="14" t="n">
        <v>2031</v>
      </c>
      <c r="B9" s="12" t="n">
        <v>1800</v>
      </c>
      <c r="C9" t="n">
        <v>360</v>
      </c>
      <c r="D9" t="n">
        <v>1760</v>
      </c>
      <c r="E9" s="12" t="n">
        <v>4500</v>
      </c>
      <c r="F9" t="n">
        <v>2500000</v>
      </c>
      <c r="G9" t="n">
        <v>2484</v>
      </c>
      <c r="H9" t="n">
        <v>1</v>
      </c>
      <c r="I9" t="n">
        <v>1</v>
      </c>
      <c r="J9" s="12" t="n">
        <v>34000</v>
      </c>
      <c r="K9" s="12" t="n">
        <v>350000</v>
      </c>
      <c r="L9" s="12" t="n">
        <v>450000</v>
      </c>
      <c r="M9" s="21" t="n">
        <v>1200</v>
      </c>
      <c r="N9" s="21" t="n">
        <v>5000</v>
      </c>
      <c r="O9" s="12" t="n">
        <v>1700</v>
      </c>
      <c r="P9" s="12" t="n">
        <v>46000</v>
      </c>
      <c r="Q9" s="12" t="n">
        <v>12500</v>
      </c>
      <c r="R9" s="12" t="n">
        <v>25760</v>
      </c>
      <c r="S9" s="12" t="n">
        <v>46000</v>
      </c>
      <c r="T9" s="12" t="n">
        <v>550000</v>
      </c>
      <c r="U9" s="12" t="n">
        <v>9</v>
      </c>
      <c r="V9" s="12" t="n">
        <v>10000</v>
      </c>
      <c r="W9" t="n">
        <v>1</v>
      </c>
      <c r="X9" t="n">
        <v>1</v>
      </c>
      <c r="Y9" s="12" t="n">
        <v>320</v>
      </c>
      <c r="Z9" s="12" t="n">
        <v>20000</v>
      </c>
    </row>
    <row r="10">
      <c r="A10" s="14" t="n">
        <v>2032</v>
      </c>
      <c r="B10" s="12" t="n">
        <v>1800</v>
      </c>
      <c r="C10" t="n">
        <v>360</v>
      </c>
      <c r="D10" t="n">
        <v>1760</v>
      </c>
      <c r="E10" s="12" t="n">
        <v>4500</v>
      </c>
      <c r="F10" t="n">
        <v>2500000</v>
      </c>
      <c r="G10" t="n">
        <v>2484</v>
      </c>
      <c r="H10" t="n">
        <v>1</v>
      </c>
      <c r="I10" t="n">
        <v>1</v>
      </c>
      <c r="J10" s="12" t="n">
        <v>34000</v>
      </c>
      <c r="K10" s="12" t="n">
        <v>350000</v>
      </c>
      <c r="L10" s="12" t="n">
        <v>450000</v>
      </c>
      <c r="M10" s="21" t="n">
        <v>1200</v>
      </c>
      <c r="N10" s="21" t="n">
        <v>5000</v>
      </c>
      <c r="O10" s="12" t="n">
        <v>1700</v>
      </c>
      <c r="P10" s="12" t="n">
        <v>46000</v>
      </c>
      <c r="Q10" s="12" t="n">
        <v>12500</v>
      </c>
      <c r="R10" s="12" t="n">
        <v>25760</v>
      </c>
      <c r="S10" s="12" t="n">
        <v>46000</v>
      </c>
      <c r="T10" s="12" t="n">
        <v>550000</v>
      </c>
      <c r="U10" s="12" t="n">
        <v>9</v>
      </c>
      <c r="V10" s="12" t="n">
        <v>10000</v>
      </c>
      <c r="W10" t="n">
        <v>1</v>
      </c>
      <c r="X10" t="n">
        <v>1</v>
      </c>
      <c r="Y10" s="12" t="n">
        <v>320</v>
      </c>
      <c r="Z10" s="12" t="n">
        <v>20000</v>
      </c>
    </row>
    <row r="11">
      <c r="A11" s="14" t="n">
        <v>2033</v>
      </c>
      <c r="B11" s="12" t="n">
        <v>1800</v>
      </c>
      <c r="C11" t="n">
        <v>360</v>
      </c>
      <c r="D11" t="n">
        <v>1760</v>
      </c>
      <c r="E11" s="12" t="n">
        <v>4500</v>
      </c>
      <c r="F11" t="n">
        <v>2500000</v>
      </c>
      <c r="G11" t="n">
        <v>2484</v>
      </c>
      <c r="H11" t="n">
        <v>1</v>
      </c>
      <c r="I11" t="n">
        <v>1</v>
      </c>
      <c r="J11" s="12" t="n">
        <v>34000</v>
      </c>
      <c r="K11" s="12" t="n">
        <v>350000</v>
      </c>
      <c r="L11" s="12" t="n">
        <v>450000</v>
      </c>
      <c r="M11" s="21" t="n">
        <v>1200</v>
      </c>
      <c r="N11" s="21" t="n">
        <v>5000</v>
      </c>
      <c r="O11" s="12" t="n">
        <v>1700</v>
      </c>
      <c r="P11" s="12" t="n">
        <v>46000</v>
      </c>
      <c r="Q11" s="12" t="n">
        <v>12500</v>
      </c>
      <c r="R11" s="12" t="n">
        <v>25760</v>
      </c>
      <c r="S11" s="12" t="n">
        <v>46000</v>
      </c>
      <c r="T11" s="12" t="n">
        <v>550000</v>
      </c>
      <c r="U11" s="12" t="n">
        <v>9</v>
      </c>
      <c r="V11" s="12" t="n">
        <v>10000</v>
      </c>
      <c r="W11" t="n">
        <v>1</v>
      </c>
      <c r="X11" t="n">
        <v>1</v>
      </c>
      <c r="Y11" s="12" t="n">
        <v>320</v>
      </c>
      <c r="Z11" s="12" t="n">
        <v>20000</v>
      </c>
    </row>
    <row r="12">
      <c r="A12" s="14" t="n">
        <v>2034</v>
      </c>
      <c r="B12" s="12" t="n">
        <v>1800</v>
      </c>
      <c r="C12" t="n">
        <v>360</v>
      </c>
      <c r="D12" t="n">
        <v>1760</v>
      </c>
      <c r="E12" s="12" t="n">
        <v>4500</v>
      </c>
      <c r="F12" t="n">
        <v>2500000</v>
      </c>
      <c r="G12" t="n">
        <v>2484</v>
      </c>
      <c r="H12" t="n">
        <v>1</v>
      </c>
      <c r="I12" t="n">
        <v>1</v>
      </c>
      <c r="J12" s="12" t="n">
        <v>34000</v>
      </c>
      <c r="K12" s="12" t="n">
        <v>350000</v>
      </c>
      <c r="L12" s="12" t="n">
        <v>450000</v>
      </c>
      <c r="M12" s="21" t="n">
        <v>1200</v>
      </c>
      <c r="N12" s="21" t="n">
        <v>5000</v>
      </c>
      <c r="O12" s="12" t="n">
        <v>1700</v>
      </c>
      <c r="P12" s="12" t="n">
        <v>46000</v>
      </c>
      <c r="Q12" s="12" t="n">
        <v>12500</v>
      </c>
      <c r="R12" s="12" t="n">
        <v>25760</v>
      </c>
      <c r="S12" s="12" t="n">
        <v>46000</v>
      </c>
      <c r="T12" s="12" t="n">
        <v>550000</v>
      </c>
      <c r="U12" s="12" t="n">
        <v>9</v>
      </c>
      <c r="V12" s="12" t="n">
        <v>10000</v>
      </c>
      <c r="W12" t="n">
        <v>1</v>
      </c>
      <c r="X12" t="n">
        <v>1</v>
      </c>
      <c r="Y12" s="12" t="n">
        <v>320</v>
      </c>
      <c r="Z12" s="12" t="n">
        <v>20000</v>
      </c>
    </row>
    <row r="13">
      <c r="A13" s="14" t="n">
        <v>2035</v>
      </c>
      <c r="B13" s="12" t="n">
        <v>1800</v>
      </c>
      <c r="C13" t="n">
        <v>360</v>
      </c>
      <c r="D13" t="n">
        <v>1760</v>
      </c>
      <c r="E13" s="12" t="n">
        <v>4500</v>
      </c>
      <c r="F13" t="n">
        <v>2500000</v>
      </c>
      <c r="G13" t="n">
        <v>2484</v>
      </c>
      <c r="H13" t="n">
        <v>1</v>
      </c>
      <c r="I13" t="n">
        <v>1</v>
      </c>
      <c r="J13" s="12" t="n">
        <v>34000</v>
      </c>
      <c r="K13" s="12" t="n">
        <v>350000</v>
      </c>
      <c r="L13" s="12" t="n">
        <v>450000</v>
      </c>
      <c r="M13" s="21" t="n">
        <v>1200</v>
      </c>
      <c r="N13" s="21" t="n">
        <v>5000</v>
      </c>
      <c r="O13" s="12" t="n">
        <v>1700</v>
      </c>
      <c r="P13" s="12" t="n">
        <v>46000</v>
      </c>
      <c r="Q13" s="12" t="n">
        <v>12500</v>
      </c>
      <c r="R13" s="12" t="n">
        <v>25760</v>
      </c>
      <c r="S13" s="12" t="n">
        <v>46000</v>
      </c>
      <c r="T13" s="12" t="n">
        <v>550000</v>
      </c>
      <c r="U13" s="12" t="n">
        <v>9</v>
      </c>
      <c r="V13" s="12" t="n">
        <v>10000</v>
      </c>
      <c r="W13" t="n">
        <v>1</v>
      </c>
      <c r="X13" t="n">
        <v>1</v>
      </c>
      <c r="Y13" s="12" t="n">
        <v>320</v>
      </c>
      <c r="Z13" s="12" t="n">
        <v>20000</v>
      </c>
    </row>
    <row r="14">
      <c r="A14" s="14" t="n">
        <v>2036</v>
      </c>
      <c r="B14" s="12" t="n">
        <v>1800</v>
      </c>
      <c r="C14" t="n">
        <v>360</v>
      </c>
      <c r="D14" t="n">
        <v>1760</v>
      </c>
      <c r="E14" s="12" t="n">
        <v>4500</v>
      </c>
      <c r="F14" t="n">
        <v>2500000</v>
      </c>
      <c r="G14" t="n">
        <v>2484</v>
      </c>
      <c r="H14" t="n">
        <v>1</v>
      </c>
      <c r="I14" t="n">
        <v>1</v>
      </c>
      <c r="J14" s="12" t="n">
        <v>34000</v>
      </c>
      <c r="K14" s="12" t="n">
        <v>350000</v>
      </c>
      <c r="L14" s="12" t="n">
        <v>450000</v>
      </c>
      <c r="M14" s="21" t="n">
        <v>1200</v>
      </c>
      <c r="N14" s="21" t="n">
        <v>5000</v>
      </c>
      <c r="O14" s="12" t="n">
        <v>1700</v>
      </c>
      <c r="P14" s="12" t="n">
        <v>46000</v>
      </c>
      <c r="Q14" s="12" t="n">
        <v>12500</v>
      </c>
      <c r="R14" s="12" t="n">
        <v>25760</v>
      </c>
      <c r="S14" s="12" t="n">
        <v>46000</v>
      </c>
      <c r="T14" s="12" t="n">
        <v>550000</v>
      </c>
      <c r="U14" s="12" t="n">
        <v>9</v>
      </c>
      <c r="V14" s="12" t="n">
        <v>10000</v>
      </c>
      <c r="W14" t="n">
        <v>1</v>
      </c>
      <c r="X14" t="n">
        <v>1</v>
      </c>
      <c r="Y14" s="12" t="n">
        <v>320</v>
      </c>
      <c r="Z14" s="12" t="n">
        <v>20000</v>
      </c>
    </row>
    <row r="15">
      <c r="A15" s="14" t="n">
        <v>2037</v>
      </c>
      <c r="B15" s="12" t="n">
        <v>1800</v>
      </c>
      <c r="C15" t="n">
        <v>360</v>
      </c>
      <c r="D15" t="n">
        <v>1760</v>
      </c>
      <c r="E15" s="12" t="n">
        <v>4500</v>
      </c>
      <c r="F15" t="n">
        <v>2500000</v>
      </c>
      <c r="G15" t="n">
        <v>2484</v>
      </c>
      <c r="H15" t="n">
        <v>1</v>
      </c>
      <c r="I15" t="n">
        <v>1</v>
      </c>
      <c r="J15" s="12" t="n">
        <v>34000</v>
      </c>
      <c r="K15" s="12" t="n">
        <v>350000</v>
      </c>
      <c r="L15" s="12" t="n">
        <v>450000</v>
      </c>
      <c r="M15" s="21" t="n">
        <v>1200</v>
      </c>
      <c r="N15" s="21" t="n">
        <v>5000</v>
      </c>
      <c r="O15" s="12" t="n">
        <v>1700</v>
      </c>
      <c r="P15" s="12" t="n">
        <v>46000</v>
      </c>
      <c r="Q15" s="12" t="n">
        <v>12500</v>
      </c>
      <c r="R15" s="12" t="n">
        <v>25760</v>
      </c>
      <c r="S15" s="12" t="n">
        <v>46000</v>
      </c>
      <c r="T15" s="12" t="n">
        <v>550000</v>
      </c>
      <c r="U15" s="12" t="n">
        <v>9</v>
      </c>
      <c r="V15" s="12" t="n">
        <v>10000</v>
      </c>
      <c r="W15" t="n">
        <v>1</v>
      </c>
      <c r="X15" t="n">
        <v>1</v>
      </c>
      <c r="Y15" s="12" t="n">
        <v>320</v>
      </c>
      <c r="Z15" s="12" t="n">
        <v>20000</v>
      </c>
    </row>
    <row r="16">
      <c r="A16" s="14" t="n">
        <v>2038</v>
      </c>
      <c r="B16" s="12" t="n">
        <v>1800</v>
      </c>
      <c r="C16" t="n">
        <v>360</v>
      </c>
      <c r="D16" t="n">
        <v>1760</v>
      </c>
      <c r="E16" s="12" t="n">
        <v>4500</v>
      </c>
      <c r="F16" t="n">
        <v>2500000</v>
      </c>
      <c r="G16" t="n">
        <v>2484</v>
      </c>
      <c r="H16" t="n">
        <v>1</v>
      </c>
      <c r="I16" t="n">
        <v>1</v>
      </c>
      <c r="J16" s="12" t="n">
        <v>34000</v>
      </c>
      <c r="K16" s="12" t="n">
        <v>350000</v>
      </c>
      <c r="L16" s="12" t="n">
        <v>450000</v>
      </c>
      <c r="M16" s="21" t="n">
        <v>1200</v>
      </c>
      <c r="N16" s="21" t="n">
        <v>5000</v>
      </c>
      <c r="O16" s="12" t="n">
        <v>1700</v>
      </c>
      <c r="P16" s="12" t="n">
        <v>46000</v>
      </c>
      <c r="Q16" s="12" t="n">
        <v>12500</v>
      </c>
      <c r="R16" s="12" t="n">
        <v>25760</v>
      </c>
      <c r="S16" s="12" t="n">
        <v>46000</v>
      </c>
      <c r="T16" s="12" t="n">
        <v>550000</v>
      </c>
      <c r="U16" s="12" t="n">
        <v>9</v>
      </c>
      <c r="V16" s="12" t="n">
        <v>10000</v>
      </c>
      <c r="W16" t="n">
        <v>1</v>
      </c>
      <c r="X16" t="n">
        <v>1</v>
      </c>
      <c r="Y16" s="12" t="n">
        <v>320</v>
      </c>
      <c r="Z16" s="12" t="n">
        <v>20000</v>
      </c>
    </row>
    <row r="17">
      <c r="A17" s="14" t="n">
        <v>2039</v>
      </c>
      <c r="B17" s="12" t="n">
        <v>1800</v>
      </c>
      <c r="C17" t="n">
        <v>360</v>
      </c>
      <c r="D17" t="n">
        <v>1760</v>
      </c>
      <c r="E17" s="12" t="n">
        <v>4500</v>
      </c>
      <c r="F17" t="n">
        <v>2500000</v>
      </c>
      <c r="G17" t="n">
        <v>2484</v>
      </c>
      <c r="H17" t="n">
        <v>1</v>
      </c>
      <c r="I17" t="n">
        <v>1</v>
      </c>
      <c r="J17" s="12" t="n">
        <v>34000</v>
      </c>
      <c r="K17" s="12" t="n">
        <v>350000</v>
      </c>
      <c r="L17" s="12" t="n">
        <v>450000</v>
      </c>
      <c r="M17" s="21" t="n">
        <v>1200</v>
      </c>
      <c r="N17" s="21" t="n">
        <v>5000</v>
      </c>
      <c r="O17" s="12" t="n">
        <v>1700</v>
      </c>
      <c r="P17" s="12" t="n">
        <v>46000</v>
      </c>
      <c r="Q17" s="12" t="n">
        <v>12500</v>
      </c>
      <c r="R17" s="12" t="n">
        <v>25760</v>
      </c>
      <c r="S17" s="12" t="n">
        <v>46000</v>
      </c>
      <c r="T17" s="12" t="n">
        <v>550000</v>
      </c>
      <c r="U17" s="12" t="n">
        <v>9</v>
      </c>
      <c r="V17" s="12" t="n">
        <v>10000</v>
      </c>
      <c r="W17" t="n">
        <v>1</v>
      </c>
      <c r="X17" t="n">
        <v>1</v>
      </c>
      <c r="Y17" s="12" t="n">
        <v>320</v>
      </c>
      <c r="Z17" s="12" t="n">
        <v>20000</v>
      </c>
    </row>
    <row r="18">
      <c r="A18" s="14" t="n">
        <v>2040</v>
      </c>
      <c r="B18" s="12" t="n">
        <v>1800</v>
      </c>
      <c r="C18" t="n">
        <v>360</v>
      </c>
      <c r="D18" t="n">
        <v>1760</v>
      </c>
      <c r="E18" s="12" t="n">
        <v>4500</v>
      </c>
      <c r="F18" t="n">
        <v>2500000</v>
      </c>
      <c r="G18" t="n">
        <v>2484</v>
      </c>
      <c r="H18" t="n">
        <v>1</v>
      </c>
      <c r="I18" t="n">
        <v>1</v>
      </c>
      <c r="J18" s="12" t="n">
        <v>34000</v>
      </c>
      <c r="K18" s="12" t="n">
        <v>350000</v>
      </c>
      <c r="L18" s="12" t="n">
        <v>450000</v>
      </c>
      <c r="M18" s="21" t="n">
        <v>1200</v>
      </c>
      <c r="N18" s="21" t="n">
        <v>5000</v>
      </c>
      <c r="O18" s="12" t="n">
        <v>1700</v>
      </c>
      <c r="P18" s="12" t="n">
        <v>46000</v>
      </c>
      <c r="Q18" s="12" t="n">
        <v>12500</v>
      </c>
      <c r="R18" s="12" t="n">
        <v>25760</v>
      </c>
      <c r="S18" s="12" t="n">
        <v>46000</v>
      </c>
      <c r="T18" s="12" t="n">
        <v>550000</v>
      </c>
      <c r="U18" s="12" t="n">
        <v>9</v>
      </c>
      <c r="V18" s="12" t="n">
        <v>10000</v>
      </c>
      <c r="W18" t="n">
        <v>1</v>
      </c>
      <c r="X18" t="n">
        <v>1</v>
      </c>
      <c r="Y18" s="12" t="n">
        <v>320</v>
      </c>
      <c r="Z18" s="12" t="n">
        <v>20000</v>
      </c>
    </row>
    <row r="19">
      <c r="A19" s="14" t="n">
        <v>2041</v>
      </c>
      <c r="B19" s="12" t="n">
        <v>1800</v>
      </c>
      <c r="C19" t="n">
        <v>360</v>
      </c>
      <c r="D19" t="n">
        <v>1760</v>
      </c>
      <c r="E19" s="12" t="n">
        <v>4500</v>
      </c>
      <c r="F19" t="n">
        <v>2500000</v>
      </c>
      <c r="G19" t="n">
        <v>2484</v>
      </c>
      <c r="H19" t="n">
        <v>1</v>
      </c>
      <c r="I19" t="n">
        <v>1</v>
      </c>
      <c r="J19" s="12" t="n">
        <v>34000</v>
      </c>
      <c r="K19" s="12" t="n">
        <v>350000</v>
      </c>
      <c r="L19" s="12" t="n">
        <v>450000</v>
      </c>
      <c r="M19" s="21" t="n">
        <v>1200</v>
      </c>
      <c r="N19" s="21" t="n">
        <v>5000</v>
      </c>
      <c r="O19" s="12" t="n">
        <v>1700</v>
      </c>
      <c r="P19" s="12" t="n">
        <v>46000</v>
      </c>
      <c r="Q19" s="12" t="n">
        <v>12500</v>
      </c>
      <c r="R19" s="12" t="n">
        <v>25760</v>
      </c>
      <c r="S19" s="12" t="n">
        <v>46000</v>
      </c>
      <c r="T19" s="12" t="n">
        <v>550000</v>
      </c>
      <c r="U19" s="12" t="n">
        <v>9</v>
      </c>
      <c r="V19" s="12" t="n">
        <v>10000</v>
      </c>
      <c r="W19" t="n">
        <v>1</v>
      </c>
      <c r="X19" t="n">
        <v>1</v>
      </c>
      <c r="Y19" s="12" t="n">
        <v>320</v>
      </c>
      <c r="Z19" s="12" t="n">
        <v>20000</v>
      </c>
    </row>
    <row r="20">
      <c r="A20" s="14" t="n">
        <v>2042</v>
      </c>
      <c r="B20" s="12" t="n">
        <v>1800</v>
      </c>
      <c r="C20" t="n">
        <v>360</v>
      </c>
      <c r="D20" t="n">
        <v>1760</v>
      </c>
      <c r="E20" s="12" t="n">
        <v>4500</v>
      </c>
      <c r="F20" t="n">
        <v>2500000</v>
      </c>
      <c r="G20" t="n">
        <v>2484</v>
      </c>
      <c r="H20" t="n">
        <v>1</v>
      </c>
      <c r="I20" t="n">
        <v>1</v>
      </c>
      <c r="J20" s="12" t="n">
        <v>34000</v>
      </c>
      <c r="K20" s="12" t="n">
        <v>350000</v>
      </c>
      <c r="L20" s="12" t="n">
        <v>450000</v>
      </c>
      <c r="M20" s="21" t="n">
        <v>1200</v>
      </c>
      <c r="N20" s="21" t="n">
        <v>5000</v>
      </c>
      <c r="O20" s="12" t="n">
        <v>1700</v>
      </c>
      <c r="P20" s="12" t="n">
        <v>46000</v>
      </c>
      <c r="Q20" s="12" t="n">
        <v>12500</v>
      </c>
      <c r="R20" s="12" t="n">
        <v>25760</v>
      </c>
      <c r="S20" s="12" t="n">
        <v>46000</v>
      </c>
      <c r="T20" s="12" t="n">
        <v>550000</v>
      </c>
      <c r="U20" s="12" t="n">
        <v>9</v>
      </c>
      <c r="V20" s="12" t="n">
        <v>10000</v>
      </c>
      <c r="W20" t="n">
        <v>1</v>
      </c>
      <c r="X20" t="n">
        <v>1</v>
      </c>
      <c r="Y20" s="12" t="n">
        <v>320</v>
      </c>
      <c r="Z20" s="12" t="n">
        <v>20000</v>
      </c>
    </row>
    <row r="21">
      <c r="A21" s="14" t="n">
        <v>2043</v>
      </c>
      <c r="B21" s="12" t="n">
        <v>1800</v>
      </c>
      <c r="C21" t="n">
        <v>360</v>
      </c>
      <c r="D21" t="n">
        <v>1760</v>
      </c>
      <c r="E21" s="12" t="n">
        <v>4500</v>
      </c>
      <c r="F21" t="n">
        <v>2500000</v>
      </c>
      <c r="G21" t="n">
        <v>2484</v>
      </c>
      <c r="H21" t="n">
        <v>1</v>
      </c>
      <c r="I21" t="n">
        <v>1</v>
      </c>
      <c r="J21" s="12" t="n">
        <v>34000</v>
      </c>
      <c r="K21" s="12" t="n">
        <v>350000</v>
      </c>
      <c r="L21" s="12" t="n">
        <v>450000</v>
      </c>
      <c r="M21" s="21" t="n">
        <v>1200</v>
      </c>
      <c r="N21" s="21" t="n">
        <v>5000</v>
      </c>
      <c r="O21" s="12" t="n">
        <v>1700</v>
      </c>
      <c r="P21" s="12" t="n">
        <v>46000</v>
      </c>
      <c r="Q21" s="12" t="n">
        <v>12500</v>
      </c>
      <c r="R21" s="12" t="n">
        <v>25760</v>
      </c>
      <c r="S21" s="12" t="n">
        <v>46000</v>
      </c>
      <c r="T21" s="12" t="n">
        <v>550000</v>
      </c>
      <c r="U21" s="12" t="n">
        <v>9</v>
      </c>
      <c r="V21" s="12" t="n">
        <v>10000</v>
      </c>
      <c r="W21" t="n">
        <v>1</v>
      </c>
      <c r="X21" t="n">
        <v>1</v>
      </c>
      <c r="Y21" s="12" t="n">
        <v>320</v>
      </c>
      <c r="Z21" s="12" t="n">
        <v>20000</v>
      </c>
    </row>
    <row r="22">
      <c r="A22" s="14" t="n">
        <v>2044</v>
      </c>
      <c r="B22" s="12" t="n">
        <v>1800</v>
      </c>
      <c r="C22" t="n">
        <v>360</v>
      </c>
      <c r="D22" t="n">
        <v>1760</v>
      </c>
      <c r="E22" s="12" t="n">
        <v>4500</v>
      </c>
      <c r="F22" t="n">
        <v>2500000</v>
      </c>
      <c r="G22" t="n">
        <v>2484</v>
      </c>
      <c r="H22" t="n">
        <v>1</v>
      </c>
      <c r="I22" t="n">
        <v>1</v>
      </c>
      <c r="J22" s="12" t="n">
        <v>34000</v>
      </c>
      <c r="K22" s="12" t="n">
        <v>350000</v>
      </c>
      <c r="L22" s="12" t="n">
        <v>450000</v>
      </c>
      <c r="M22" s="21" t="n">
        <v>1200</v>
      </c>
      <c r="N22" s="21" t="n">
        <v>5000</v>
      </c>
      <c r="O22" s="12" t="n">
        <v>1700</v>
      </c>
      <c r="P22" s="12" t="n">
        <v>46000</v>
      </c>
      <c r="Q22" s="12" t="n">
        <v>12500</v>
      </c>
      <c r="R22" s="12" t="n">
        <v>25760</v>
      </c>
      <c r="S22" s="12" t="n">
        <v>46000</v>
      </c>
      <c r="T22" s="12" t="n">
        <v>550000</v>
      </c>
      <c r="U22" s="12" t="n">
        <v>9</v>
      </c>
      <c r="V22" s="12" t="n">
        <v>10000</v>
      </c>
      <c r="W22" t="n">
        <v>1</v>
      </c>
      <c r="X22" t="n">
        <v>1</v>
      </c>
      <c r="Y22" s="12" t="n">
        <v>320</v>
      </c>
      <c r="Z22" s="12" t="n">
        <v>20000</v>
      </c>
    </row>
    <row r="23">
      <c r="A23" s="14" t="n">
        <v>2045</v>
      </c>
      <c r="B23" s="12" t="n">
        <v>1800</v>
      </c>
      <c r="C23" t="n">
        <v>360</v>
      </c>
      <c r="D23" t="n">
        <v>1760</v>
      </c>
      <c r="E23" s="12" t="n">
        <v>4500</v>
      </c>
      <c r="F23" t="n">
        <v>2500000</v>
      </c>
      <c r="G23" t="n">
        <v>2484</v>
      </c>
      <c r="H23" t="n">
        <v>1</v>
      </c>
      <c r="I23" t="n">
        <v>1</v>
      </c>
      <c r="J23" s="12" t="n">
        <v>34000</v>
      </c>
      <c r="K23" s="12" t="n">
        <v>350000</v>
      </c>
      <c r="L23" s="12" t="n">
        <v>450000</v>
      </c>
      <c r="M23" s="21" t="n">
        <v>1200</v>
      </c>
      <c r="N23" s="21" t="n">
        <v>5000</v>
      </c>
      <c r="O23" s="12" t="n">
        <v>1700</v>
      </c>
      <c r="P23" s="12" t="n">
        <v>46000</v>
      </c>
      <c r="Q23" s="12" t="n">
        <v>12500</v>
      </c>
      <c r="R23" s="12" t="n">
        <v>25760</v>
      </c>
      <c r="S23" s="12" t="n">
        <v>46000</v>
      </c>
      <c r="T23" s="12" t="n">
        <v>550000</v>
      </c>
      <c r="U23" s="12" t="n">
        <v>9</v>
      </c>
      <c r="V23" s="12" t="n">
        <v>10000</v>
      </c>
      <c r="W23" t="n">
        <v>1</v>
      </c>
      <c r="X23" t="n">
        <v>1</v>
      </c>
      <c r="Y23" s="12" t="n">
        <v>320</v>
      </c>
      <c r="Z23" s="12" t="n">
        <v>20000</v>
      </c>
    </row>
    <row r="24">
      <c r="A24" s="14" t="n">
        <v>2046</v>
      </c>
      <c r="B24" s="12" t="n">
        <v>1800</v>
      </c>
      <c r="C24" t="n">
        <v>360</v>
      </c>
      <c r="D24" t="n">
        <v>1760</v>
      </c>
      <c r="E24" s="12" t="n">
        <v>4500</v>
      </c>
      <c r="F24" t="n">
        <v>2500000</v>
      </c>
      <c r="G24" t="n">
        <v>2484</v>
      </c>
      <c r="H24" t="n">
        <v>1</v>
      </c>
      <c r="I24" t="n">
        <v>1</v>
      </c>
      <c r="J24" s="12" t="n">
        <v>34000</v>
      </c>
      <c r="K24" s="12" t="n">
        <v>350000</v>
      </c>
      <c r="L24" s="12" t="n">
        <v>450000</v>
      </c>
      <c r="M24" s="21" t="n">
        <v>1200</v>
      </c>
      <c r="N24" s="21" t="n">
        <v>5000</v>
      </c>
      <c r="O24" s="12" t="n">
        <v>1700</v>
      </c>
      <c r="P24" s="12" t="n">
        <v>46000</v>
      </c>
      <c r="Q24" s="12" t="n">
        <v>12500</v>
      </c>
      <c r="R24" s="12" t="n">
        <v>25760</v>
      </c>
      <c r="S24" s="12" t="n">
        <v>46000</v>
      </c>
      <c r="T24" s="12" t="n">
        <v>550000</v>
      </c>
      <c r="U24" s="12" t="n">
        <v>9</v>
      </c>
      <c r="V24" s="12" t="n">
        <v>10000</v>
      </c>
      <c r="W24" t="n">
        <v>1</v>
      </c>
      <c r="X24" t="n">
        <v>1</v>
      </c>
      <c r="Y24" s="12" t="n">
        <v>320</v>
      </c>
      <c r="Z24" s="12" t="n">
        <v>20000</v>
      </c>
    </row>
    <row r="25">
      <c r="A25" s="14" t="n">
        <v>2047</v>
      </c>
      <c r="B25" s="12" t="n">
        <v>1800</v>
      </c>
      <c r="C25" t="n">
        <v>360</v>
      </c>
      <c r="D25" t="n">
        <v>1760</v>
      </c>
      <c r="E25" s="12" t="n">
        <v>4500</v>
      </c>
      <c r="F25" t="n">
        <v>2500000</v>
      </c>
      <c r="G25" t="n">
        <v>2484</v>
      </c>
      <c r="H25" t="n">
        <v>1</v>
      </c>
      <c r="I25" t="n">
        <v>1</v>
      </c>
      <c r="J25" s="12" t="n">
        <v>34000</v>
      </c>
      <c r="K25" s="12" t="n">
        <v>350000</v>
      </c>
      <c r="L25" s="12" t="n">
        <v>450000</v>
      </c>
      <c r="M25" s="21" t="n">
        <v>1200</v>
      </c>
      <c r="N25" s="21" t="n">
        <v>5000</v>
      </c>
      <c r="O25" s="12" t="n">
        <v>1700</v>
      </c>
      <c r="P25" s="12" t="n">
        <v>46000</v>
      </c>
      <c r="Q25" s="12" t="n">
        <v>12500</v>
      </c>
      <c r="R25" s="12" t="n">
        <v>25760</v>
      </c>
      <c r="S25" s="12" t="n">
        <v>46000</v>
      </c>
      <c r="T25" s="12" t="n">
        <v>550000</v>
      </c>
      <c r="U25" s="12" t="n">
        <v>9</v>
      </c>
      <c r="V25" s="12" t="n">
        <v>10000</v>
      </c>
      <c r="W25" t="n">
        <v>1</v>
      </c>
      <c r="X25" t="n">
        <v>1</v>
      </c>
      <c r="Y25" s="12" t="n">
        <v>320</v>
      </c>
      <c r="Z25" s="12" t="n">
        <v>20000</v>
      </c>
    </row>
    <row r="26">
      <c r="A26" s="14" t="n">
        <v>2048</v>
      </c>
      <c r="B26" s="12" t="n">
        <v>1800</v>
      </c>
      <c r="C26" t="n">
        <v>360</v>
      </c>
      <c r="D26" t="n">
        <v>1760</v>
      </c>
      <c r="E26" s="12" t="n">
        <v>4500</v>
      </c>
      <c r="F26" t="n">
        <v>2500000</v>
      </c>
      <c r="G26" t="n">
        <v>2484</v>
      </c>
      <c r="H26" t="n">
        <v>1</v>
      </c>
      <c r="I26" t="n">
        <v>1</v>
      </c>
      <c r="J26" s="12" t="n">
        <v>34000</v>
      </c>
      <c r="K26" s="12" t="n">
        <v>350000</v>
      </c>
      <c r="L26" s="12" t="n">
        <v>450000</v>
      </c>
      <c r="M26" s="21" t="n">
        <v>1200</v>
      </c>
      <c r="N26" s="21" t="n">
        <v>5000</v>
      </c>
      <c r="O26" s="12" t="n">
        <v>1700</v>
      </c>
      <c r="P26" s="12" t="n">
        <v>46000</v>
      </c>
      <c r="Q26" s="12" t="n">
        <v>12500</v>
      </c>
      <c r="R26" s="12" t="n">
        <v>25760</v>
      </c>
      <c r="S26" s="12" t="n">
        <v>46000</v>
      </c>
      <c r="T26" s="12" t="n">
        <v>550000</v>
      </c>
      <c r="U26" s="12" t="n">
        <v>9</v>
      </c>
      <c r="V26" s="12" t="n">
        <v>10000</v>
      </c>
      <c r="W26" t="n">
        <v>1</v>
      </c>
      <c r="X26" t="n">
        <v>1</v>
      </c>
      <c r="Y26" s="12" t="n">
        <v>320</v>
      </c>
      <c r="Z26" s="12" t="n">
        <v>20000</v>
      </c>
    </row>
    <row r="27">
      <c r="A27" s="14" t="n">
        <v>2049</v>
      </c>
      <c r="B27" s="12" t="n">
        <v>1800</v>
      </c>
      <c r="C27" t="n">
        <v>360</v>
      </c>
      <c r="D27" t="n">
        <v>1760</v>
      </c>
      <c r="E27" s="12" t="n">
        <v>4500</v>
      </c>
      <c r="F27" t="n">
        <v>2500000</v>
      </c>
      <c r="G27" t="n">
        <v>2484</v>
      </c>
      <c r="H27" t="n">
        <v>1</v>
      </c>
      <c r="I27" t="n">
        <v>1</v>
      </c>
      <c r="J27" s="12" t="n">
        <v>34000</v>
      </c>
      <c r="K27" s="12" t="n">
        <v>350000</v>
      </c>
      <c r="L27" s="12" t="n">
        <v>450000</v>
      </c>
      <c r="M27" s="21" t="n">
        <v>1200</v>
      </c>
      <c r="N27" s="21" t="n">
        <v>5000</v>
      </c>
      <c r="O27" s="12" t="n">
        <v>1700</v>
      </c>
      <c r="P27" s="12" t="n">
        <v>46000</v>
      </c>
      <c r="Q27" s="12" t="n">
        <v>12500</v>
      </c>
      <c r="R27" s="12" t="n">
        <v>25760</v>
      </c>
      <c r="S27" s="12" t="n">
        <v>46000</v>
      </c>
      <c r="T27" s="12" t="n">
        <v>550000</v>
      </c>
      <c r="U27" s="12" t="n">
        <v>9</v>
      </c>
      <c r="V27" s="12" t="n">
        <v>10000</v>
      </c>
      <c r="W27" t="n">
        <v>1</v>
      </c>
      <c r="X27" t="n">
        <v>1</v>
      </c>
      <c r="Y27" s="12" t="n">
        <v>320</v>
      </c>
      <c r="Z27" s="12" t="n">
        <v>20000</v>
      </c>
    </row>
    <row r="28">
      <c r="A28" s="14" t="n">
        <v>2050</v>
      </c>
      <c r="B28" s="12" t="n">
        <v>1800</v>
      </c>
      <c r="C28" t="n">
        <v>360</v>
      </c>
      <c r="D28" t="n">
        <v>1760</v>
      </c>
      <c r="E28" s="12" t="n">
        <v>4500</v>
      </c>
      <c r="F28" t="n">
        <v>2500000</v>
      </c>
      <c r="G28" t="n">
        <v>2484</v>
      </c>
      <c r="H28" t="n">
        <v>1</v>
      </c>
      <c r="I28" t="n">
        <v>1</v>
      </c>
      <c r="J28" s="12" t="n">
        <v>34000</v>
      </c>
      <c r="K28" s="12" t="n">
        <v>350000</v>
      </c>
      <c r="L28" s="12" t="n">
        <v>450000</v>
      </c>
      <c r="M28" s="21" t="n">
        <v>1200</v>
      </c>
      <c r="N28" s="21" t="n">
        <v>5000</v>
      </c>
      <c r="O28" s="12" t="n">
        <v>1700</v>
      </c>
      <c r="P28" s="12" t="n">
        <v>46000</v>
      </c>
      <c r="Q28" s="12" t="n">
        <v>12500</v>
      </c>
      <c r="R28" s="12" t="n">
        <v>25760</v>
      </c>
      <c r="S28" s="12" t="n">
        <v>46000</v>
      </c>
      <c r="T28" s="12" t="n">
        <v>550000</v>
      </c>
      <c r="U28" s="12" t="n">
        <v>9</v>
      </c>
      <c r="V28" s="12" t="n">
        <v>10000</v>
      </c>
      <c r="W28" t="n">
        <v>1</v>
      </c>
      <c r="X28" t="n">
        <v>1</v>
      </c>
      <c r="Y28" s="12" t="n">
        <v>320</v>
      </c>
      <c r="Z28" s="12" t="n">
        <v>20000</v>
      </c>
    </row>
  </sheetData>
  <pageMargins left="0.7" right="0.7" top="0.787401575" bottom="0.7874015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D43" sqref="D43"/>
    </sheetView>
  </sheetViews>
  <sheetFormatPr baseColWidth="10" defaultRowHeight="15"/>
  <sheetData>
    <row r="1">
      <c r="A1" t="inlineStr">
        <is>
          <t>Stf</t>
        </is>
      </c>
      <c r="B1" t="inlineStr">
        <is>
          <t>aluminum</t>
        </is>
      </c>
      <c r="C1" t="inlineStr">
        <is>
          <t xml:space="preserve"> glass</t>
        </is>
      </c>
      <c r="D1" t="inlineStr">
        <is>
          <t xml:space="preserve"> polymers</t>
        </is>
      </c>
      <c r="E1" t="inlineStr">
        <is>
          <t xml:space="preserve"> copper</t>
        </is>
      </c>
      <c r="F1" t="inlineStr">
        <is>
          <t xml:space="preserve"> silver</t>
        </is>
      </c>
      <c r="G1" t="inlineStr">
        <is>
          <t xml:space="preserve"> silicon</t>
        </is>
      </c>
      <c r="H1" t="inlineStr">
        <is>
          <t xml:space="preserve"> blade_bulk_on</t>
        </is>
      </c>
      <c r="I1" t="inlineStr">
        <is>
          <t xml:space="preserve"> tower_bulk_on</t>
        </is>
      </c>
      <c r="J1" t="inlineStr">
        <is>
          <t xml:space="preserve"> cobalt</t>
        </is>
      </c>
      <c r="K1" t="inlineStr">
        <is>
          <t xml:space="preserve"> dysprosium</t>
        </is>
      </c>
      <c r="L1" t="inlineStr">
        <is>
          <t xml:space="preserve"> gallium</t>
        </is>
      </c>
      <c r="M1" t="inlineStr">
        <is>
          <t xml:space="preserve"> graphite</t>
        </is>
      </c>
      <c r="N1" t="inlineStr">
        <is>
          <t xml:space="preserve"> lithium</t>
        </is>
      </c>
      <c r="O1" t="inlineStr">
        <is>
          <t xml:space="preserve"> manganese</t>
        </is>
      </c>
      <c r="P1" t="inlineStr">
        <is>
          <t xml:space="preserve"> neodymium</t>
        </is>
      </c>
      <c r="Q1" t="inlineStr">
        <is>
          <t xml:space="preserve"> nickel</t>
        </is>
      </c>
      <c r="R1" t="inlineStr">
        <is>
          <t xml:space="preserve"> niobium</t>
        </is>
      </c>
      <c r="S1" t="inlineStr">
        <is>
          <t xml:space="preserve"> praseodymium</t>
        </is>
      </c>
      <c r="T1" t="inlineStr">
        <is>
          <t xml:space="preserve"> terbium</t>
        </is>
      </c>
      <c r="U1" t="inlineStr">
        <is>
          <t xml:space="preserve"> titanium</t>
        </is>
      </c>
      <c r="V1" t="inlineStr">
        <is>
          <t xml:space="preserve"> vanadium</t>
        </is>
      </c>
      <c r="W1" t="inlineStr">
        <is>
          <t xml:space="preserve"> blade_bulk_off</t>
        </is>
      </c>
      <c r="X1" t="inlineStr">
        <is>
          <t xml:space="preserve"> tower_bulk_off</t>
        </is>
      </c>
      <c r="Y1" t="inlineStr">
        <is>
          <t xml:space="preserve"> boron</t>
        </is>
      </c>
      <c r="Z1" t="inlineStr">
        <is>
          <t xml:space="preserve"> molybdenum</t>
        </is>
      </c>
    </row>
    <row r="2">
      <c r="A2" s="14" t="n">
        <v>2024</v>
      </c>
      <c r="B2" t="n">
        <v>0.03142297711990027</v>
      </c>
      <c r="C2" t="n">
        <v>1</v>
      </c>
      <c r="D2" t="n">
        <v>1</v>
      </c>
      <c r="E2" t="n">
        <v>0.03513785003620898</v>
      </c>
      <c r="F2" t="n">
        <v>0.03865921305714286</v>
      </c>
      <c r="G2" t="n">
        <v>0.1450328390123837</v>
      </c>
      <c r="H2" t="n">
        <v>1</v>
      </c>
      <c r="I2" t="n">
        <v>1</v>
      </c>
      <c r="J2" t="n">
        <v>0.008798375684489018</v>
      </c>
      <c r="K2" t="n">
        <v>1</v>
      </c>
      <c r="L2" t="n">
        <v>1</v>
      </c>
      <c r="M2" t="n">
        <v>0.004272</v>
      </c>
      <c r="N2" t="n">
        <v>0.07964071856287425</v>
      </c>
      <c r="O2" t="n">
        <v>0.010031552557202</v>
      </c>
      <c r="P2" t="n">
        <v>1</v>
      </c>
      <c r="Q2" t="n">
        <v>0.01286513212563268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</row>
    <row r="3">
      <c r="A3" s="14" t="n">
        <v>2025</v>
      </c>
      <c r="B3" t="n">
        <v>0.03142297711990027</v>
      </c>
      <c r="C3" t="n">
        <v>1</v>
      </c>
      <c r="D3" t="n">
        <v>1</v>
      </c>
      <c r="E3" t="n">
        <v>0.03513785003620898</v>
      </c>
      <c r="F3" t="n">
        <v>0.03865921305714286</v>
      </c>
      <c r="G3" t="n">
        <v>0.1450328390123837</v>
      </c>
      <c r="H3" t="n">
        <v>1</v>
      </c>
      <c r="I3" t="n">
        <v>1</v>
      </c>
      <c r="J3" t="n">
        <v>0.008798375684489018</v>
      </c>
      <c r="K3" t="n">
        <v>1</v>
      </c>
      <c r="L3" t="n">
        <v>1</v>
      </c>
      <c r="M3" t="n">
        <v>0.004272</v>
      </c>
      <c r="N3" t="n">
        <v>0.07964071856287425</v>
      </c>
      <c r="O3" t="n">
        <v>0.010031552557202</v>
      </c>
      <c r="P3" t="n">
        <v>1</v>
      </c>
      <c r="Q3" t="n">
        <v>0.01286513212563268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</row>
    <row r="4">
      <c r="A4" s="14" t="n">
        <v>2026</v>
      </c>
      <c r="B4" t="n">
        <v>0.03142297711990027</v>
      </c>
      <c r="C4" t="n">
        <v>1</v>
      </c>
      <c r="D4" t="n">
        <v>1</v>
      </c>
      <c r="E4" t="n">
        <v>0.03513785003620898</v>
      </c>
      <c r="F4" t="n">
        <v>0.03865921305714286</v>
      </c>
      <c r="G4" t="n">
        <v>0.1450328390123837</v>
      </c>
      <c r="H4" t="n">
        <v>1</v>
      </c>
      <c r="I4" t="n">
        <v>1</v>
      </c>
      <c r="J4" t="n">
        <v>0.008798375684489018</v>
      </c>
      <c r="K4" t="n">
        <v>1</v>
      </c>
      <c r="L4" t="n">
        <v>1</v>
      </c>
      <c r="M4" t="n">
        <v>0.004272</v>
      </c>
      <c r="N4" t="n">
        <v>0.07964071856287425</v>
      </c>
      <c r="O4" t="n">
        <v>0.010031552557202</v>
      </c>
      <c r="P4" t="n">
        <v>1</v>
      </c>
      <c r="Q4" t="n">
        <v>0.01286513212563268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</row>
    <row r="5">
      <c r="A5" s="14" t="n">
        <v>2027</v>
      </c>
      <c r="B5" t="n">
        <v>0.03142297711990027</v>
      </c>
      <c r="C5" t="n">
        <v>1</v>
      </c>
      <c r="D5" t="n">
        <v>1</v>
      </c>
      <c r="E5" t="n">
        <v>0.03513785003620898</v>
      </c>
      <c r="F5" t="n">
        <v>0.03865921305714286</v>
      </c>
      <c r="G5" t="n">
        <v>0.1450328390123837</v>
      </c>
      <c r="H5" t="n">
        <v>1</v>
      </c>
      <c r="I5" t="n">
        <v>1</v>
      </c>
      <c r="J5" t="n">
        <v>0.008798375684489018</v>
      </c>
      <c r="K5" t="n">
        <v>1</v>
      </c>
      <c r="L5" t="n">
        <v>1</v>
      </c>
      <c r="M5" t="n">
        <v>0.004272</v>
      </c>
      <c r="N5" t="n">
        <v>0.07964071856287425</v>
      </c>
      <c r="O5" t="n">
        <v>0.010031552557202</v>
      </c>
      <c r="P5" t="n">
        <v>1</v>
      </c>
      <c r="Q5" t="n">
        <v>0.01286513212563268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</row>
    <row r="6">
      <c r="A6" s="14" t="n">
        <v>2028</v>
      </c>
      <c r="B6" t="n">
        <v>0.03142297711990027</v>
      </c>
      <c r="C6" t="n">
        <v>1</v>
      </c>
      <c r="D6" t="n">
        <v>1</v>
      </c>
      <c r="E6" t="n">
        <v>0.03513785003620898</v>
      </c>
      <c r="F6" t="n">
        <v>0.03865921305714286</v>
      </c>
      <c r="G6" t="n">
        <v>0.1450328390123837</v>
      </c>
      <c r="H6" t="n">
        <v>1</v>
      </c>
      <c r="I6" t="n">
        <v>1</v>
      </c>
      <c r="J6" t="n">
        <v>0.008798375684489018</v>
      </c>
      <c r="K6" t="n">
        <v>1</v>
      </c>
      <c r="L6" t="n">
        <v>1</v>
      </c>
      <c r="M6" t="n">
        <v>0.004272</v>
      </c>
      <c r="N6" t="n">
        <v>0.07964071856287425</v>
      </c>
      <c r="O6" t="n">
        <v>0.010031552557202</v>
      </c>
      <c r="P6" t="n">
        <v>1</v>
      </c>
      <c r="Q6" t="n">
        <v>0.01286513212563268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</row>
    <row r="7">
      <c r="A7" s="14" t="n">
        <v>2029</v>
      </c>
      <c r="B7" t="n">
        <v>0.03142297711990027</v>
      </c>
      <c r="C7" t="n">
        <v>1</v>
      </c>
      <c r="D7" t="n">
        <v>1</v>
      </c>
      <c r="E7" t="n">
        <v>0.03513785003620898</v>
      </c>
      <c r="F7" t="n">
        <v>0.03865921305714286</v>
      </c>
      <c r="G7" t="n">
        <v>0.1450328390123837</v>
      </c>
      <c r="H7" t="n">
        <v>1</v>
      </c>
      <c r="I7" t="n">
        <v>1</v>
      </c>
      <c r="J7" t="n">
        <v>0.008798375684489018</v>
      </c>
      <c r="K7" t="n">
        <v>1</v>
      </c>
      <c r="L7" t="n">
        <v>1</v>
      </c>
      <c r="M7" t="n">
        <v>0.004272</v>
      </c>
      <c r="N7" t="n">
        <v>0.07964071856287425</v>
      </c>
      <c r="O7" t="n">
        <v>0.010031552557202</v>
      </c>
      <c r="P7" t="n">
        <v>1</v>
      </c>
      <c r="Q7" t="n">
        <v>0.01286513212563268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</row>
    <row r="8">
      <c r="A8" s="14" t="n">
        <v>2030</v>
      </c>
      <c r="B8" t="n">
        <v>0.03142297711990027</v>
      </c>
      <c r="C8" t="n">
        <v>1</v>
      </c>
      <c r="D8" t="n">
        <v>1</v>
      </c>
      <c r="E8" t="n">
        <v>0.03513785003620898</v>
      </c>
      <c r="F8" t="n">
        <v>0.03865921305714286</v>
      </c>
      <c r="G8" t="n">
        <v>0.1450328390123837</v>
      </c>
      <c r="H8" t="n">
        <v>1</v>
      </c>
      <c r="I8" t="n">
        <v>1</v>
      </c>
      <c r="J8" t="n">
        <v>0.008798375684489018</v>
      </c>
      <c r="K8" t="n">
        <v>1</v>
      </c>
      <c r="L8" t="n">
        <v>1</v>
      </c>
      <c r="M8" t="n">
        <v>0.004272</v>
      </c>
      <c r="N8" t="n">
        <v>0.07964071856287425</v>
      </c>
      <c r="O8" t="n">
        <v>0.010031552557202</v>
      </c>
      <c r="P8" t="n">
        <v>1</v>
      </c>
      <c r="Q8" t="n">
        <v>0.01286513212563268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</row>
    <row r="9">
      <c r="A9" s="14" t="n">
        <v>2031</v>
      </c>
      <c r="B9" t="n">
        <v>0.03142297711990027</v>
      </c>
      <c r="C9" t="n">
        <v>1</v>
      </c>
      <c r="D9" t="n">
        <v>1</v>
      </c>
      <c r="E9" t="n">
        <v>0.03513785003620898</v>
      </c>
      <c r="F9" t="n">
        <v>0.03865921305714286</v>
      </c>
      <c r="G9" t="n">
        <v>0.1450328390123837</v>
      </c>
      <c r="H9" t="n">
        <v>1</v>
      </c>
      <c r="I9" t="n">
        <v>1</v>
      </c>
      <c r="J9" t="n">
        <v>0.008798375684489018</v>
      </c>
      <c r="K9" t="n">
        <v>1</v>
      </c>
      <c r="L9" t="n">
        <v>1</v>
      </c>
      <c r="M9" t="n">
        <v>0.004272</v>
      </c>
      <c r="N9" t="n">
        <v>0.07964071856287425</v>
      </c>
      <c r="O9" t="n">
        <v>0.010031552557202</v>
      </c>
      <c r="P9" t="n">
        <v>1</v>
      </c>
      <c r="Q9" t="n">
        <v>0.01286513212563268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</row>
    <row r="10">
      <c r="A10" s="14" t="n">
        <v>2032</v>
      </c>
      <c r="B10" t="n">
        <v>0.03142297711990027</v>
      </c>
      <c r="C10" t="n">
        <v>1</v>
      </c>
      <c r="D10" t="n">
        <v>1</v>
      </c>
      <c r="E10" t="n">
        <v>0.03513785003620898</v>
      </c>
      <c r="F10" t="n">
        <v>0.03865921305714286</v>
      </c>
      <c r="G10" t="n">
        <v>0.1450328390123837</v>
      </c>
      <c r="H10" t="n">
        <v>1</v>
      </c>
      <c r="I10" t="n">
        <v>1</v>
      </c>
      <c r="J10" t="n">
        <v>0.008798375684489018</v>
      </c>
      <c r="K10" t="n">
        <v>1</v>
      </c>
      <c r="L10" t="n">
        <v>1</v>
      </c>
      <c r="M10" t="n">
        <v>0.004272</v>
      </c>
      <c r="N10" t="n">
        <v>0.07964071856287425</v>
      </c>
      <c r="O10" t="n">
        <v>0.010031552557202</v>
      </c>
      <c r="P10" t="n">
        <v>1</v>
      </c>
      <c r="Q10" t="n">
        <v>0.01286513212563268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</row>
    <row r="11">
      <c r="A11" s="14" t="n">
        <v>2033</v>
      </c>
      <c r="B11" t="n">
        <v>0.03142297711990027</v>
      </c>
      <c r="C11" t="n">
        <v>1</v>
      </c>
      <c r="D11" t="n">
        <v>1</v>
      </c>
      <c r="E11" t="n">
        <v>0.03513785003620898</v>
      </c>
      <c r="F11" t="n">
        <v>0.03865921305714286</v>
      </c>
      <c r="G11" t="n">
        <v>0.1450328390123837</v>
      </c>
      <c r="H11" t="n">
        <v>1</v>
      </c>
      <c r="I11" t="n">
        <v>1</v>
      </c>
      <c r="J11" t="n">
        <v>0.008798375684489018</v>
      </c>
      <c r="K11" t="n">
        <v>1</v>
      </c>
      <c r="L11" t="n">
        <v>1</v>
      </c>
      <c r="M11" t="n">
        <v>0.004272</v>
      </c>
      <c r="N11" t="n">
        <v>0.07964071856287425</v>
      </c>
      <c r="O11" t="n">
        <v>0.010031552557202</v>
      </c>
      <c r="P11" t="n">
        <v>1</v>
      </c>
      <c r="Q11" t="n">
        <v>0.01286513212563268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</row>
    <row r="12">
      <c r="A12" s="14" t="n">
        <v>2034</v>
      </c>
      <c r="B12" t="n">
        <v>0.03142297711990027</v>
      </c>
      <c r="C12" t="n">
        <v>1</v>
      </c>
      <c r="D12" t="n">
        <v>1</v>
      </c>
      <c r="E12" t="n">
        <v>0.03513785003620898</v>
      </c>
      <c r="F12" t="n">
        <v>0.03865921305714286</v>
      </c>
      <c r="G12" t="n">
        <v>0.1450328390123837</v>
      </c>
      <c r="H12" t="n">
        <v>1</v>
      </c>
      <c r="I12" t="n">
        <v>1</v>
      </c>
      <c r="J12" t="n">
        <v>0.008798375684489018</v>
      </c>
      <c r="K12" t="n">
        <v>1</v>
      </c>
      <c r="L12" t="n">
        <v>1</v>
      </c>
      <c r="M12" t="n">
        <v>0.004272</v>
      </c>
      <c r="N12" t="n">
        <v>0.07964071856287425</v>
      </c>
      <c r="O12" t="n">
        <v>0.010031552557202</v>
      </c>
      <c r="P12" t="n">
        <v>1</v>
      </c>
      <c r="Q12" t="n">
        <v>0.01286513212563268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</row>
    <row r="13">
      <c r="A13" s="14" t="n">
        <v>2035</v>
      </c>
      <c r="B13" t="n">
        <v>0.03142297711990027</v>
      </c>
      <c r="C13" t="n">
        <v>1</v>
      </c>
      <c r="D13" t="n">
        <v>1</v>
      </c>
      <c r="E13" t="n">
        <v>0.03513785003620898</v>
      </c>
      <c r="F13" t="n">
        <v>0.03865921305714286</v>
      </c>
      <c r="G13" t="n">
        <v>0.1450328390123837</v>
      </c>
      <c r="H13" t="n">
        <v>1</v>
      </c>
      <c r="I13" t="n">
        <v>1</v>
      </c>
      <c r="J13" t="n">
        <v>0.008798375684489018</v>
      </c>
      <c r="K13" t="n">
        <v>1</v>
      </c>
      <c r="L13" t="n">
        <v>1</v>
      </c>
      <c r="M13" t="n">
        <v>0.004272</v>
      </c>
      <c r="N13" t="n">
        <v>0.07964071856287425</v>
      </c>
      <c r="O13" t="n">
        <v>0.010031552557202</v>
      </c>
      <c r="P13" t="n">
        <v>1</v>
      </c>
      <c r="Q13" t="n">
        <v>0.01286513212563268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</row>
    <row r="14">
      <c r="A14" s="14" t="n">
        <v>2036</v>
      </c>
      <c r="B14" t="n">
        <v>0.03142297711990027</v>
      </c>
      <c r="C14" t="n">
        <v>1</v>
      </c>
      <c r="D14" t="n">
        <v>1</v>
      </c>
      <c r="E14" t="n">
        <v>0.03513785003620898</v>
      </c>
      <c r="F14" t="n">
        <v>0.03865921305714286</v>
      </c>
      <c r="G14" t="n">
        <v>0.1450328390123837</v>
      </c>
      <c r="H14" t="n">
        <v>1</v>
      </c>
      <c r="I14" t="n">
        <v>1</v>
      </c>
      <c r="J14" t="n">
        <v>0.008798375684489018</v>
      </c>
      <c r="K14" t="n">
        <v>1</v>
      </c>
      <c r="L14" t="n">
        <v>1</v>
      </c>
      <c r="M14" t="n">
        <v>0.004272</v>
      </c>
      <c r="N14" t="n">
        <v>0.07964071856287425</v>
      </c>
      <c r="O14" t="n">
        <v>0.010031552557202</v>
      </c>
      <c r="P14" t="n">
        <v>1</v>
      </c>
      <c r="Q14" t="n">
        <v>0.01286513212563268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</row>
    <row r="15">
      <c r="A15" s="14" t="n">
        <v>2037</v>
      </c>
      <c r="B15" t="n">
        <v>0.03142297711990027</v>
      </c>
      <c r="C15" t="n">
        <v>1</v>
      </c>
      <c r="D15" t="n">
        <v>1</v>
      </c>
      <c r="E15" t="n">
        <v>0.03513785003620898</v>
      </c>
      <c r="F15" t="n">
        <v>0.03865921305714286</v>
      </c>
      <c r="G15" t="n">
        <v>0.1450328390123837</v>
      </c>
      <c r="H15" t="n">
        <v>1</v>
      </c>
      <c r="I15" t="n">
        <v>1</v>
      </c>
      <c r="J15" t="n">
        <v>0.008798375684489018</v>
      </c>
      <c r="K15" t="n">
        <v>1</v>
      </c>
      <c r="L15" t="n">
        <v>1</v>
      </c>
      <c r="M15" t="n">
        <v>0.004272</v>
      </c>
      <c r="N15" t="n">
        <v>0.07964071856287425</v>
      </c>
      <c r="O15" t="n">
        <v>0.010031552557202</v>
      </c>
      <c r="P15" t="n">
        <v>1</v>
      </c>
      <c r="Q15" t="n">
        <v>0.01286513212563268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</row>
    <row r="16">
      <c r="A16" s="14" t="n">
        <v>2038</v>
      </c>
      <c r="B16" t="n">
        <v>0.03142297711990027</v>
      </c>
      <c r="C16" t="n">
        <v>1</v>
      </c>
      <c r="D16" t="n">
        <v>1</v>
      </c>
      <c r="E16" t="n">
        <v>0.03513785003620898</v>
      </c>
      <c r="F16" t="n">
        <v>0.03865921305714286</v>
      </c>
      <c r="G16" t="n">
        <v>0.1450328390123837</v>
      </c>
      <c r="H16" t="n">
        <v>1</v>
      </c>
      <c r="I16" t="n">
        <v>1</v>
      </c>
      <c r="J16" t="n">
        <v>0.008798375684489018</v>
      </c>
      <c r="K16" t="n">
        <v>1</v>
      </c>
      <c r="L16" t="n">
        <v>1</v>
      </c>
      <c r="M16" t="n">
        <v>0.004272</v>
      </c>
      <c r="N16" t="n">
        <v>0.07964071856287425</v>
      </c>
      <c r="O16" t="n">
        <v>0.010031552557202</v>
      </c>
      <c r="P16" t="n">
        <v>1</v>
      </c>
      <c r="Q16" t="n">
        <v>0.01286513212563268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</row>
    <row r="17">
      <c r="A17" s="14" t="n">
        <v>2039</v>
      </c>
      <c r="B17" t="n">
        <v>0.03142297711990027</v>
      </c>
      <c r="C17" t="n">
        <v>1</v>
      </c>
      <c r="D17" t="n">
        <v>1</v>
      </c>
      <c r="E17" t="n">
        <v>0.03513785003620898</v>
      </c>
      <c r="F17" t="n">
        <v>0.03865921305714286</v>
      </c>
      <c r="G17" t="n">
        <v>0.1450328390123837</v>
      </c>
      <c r="H17" t="n">
        <v>1</v>
      </c>
      <c r="I17" t="n">
        <v>1</v>
      </c>
      <c r="J17" t="n">
        <v>0.008798375684489018</v>
      </c>
      <c r="K17" t="n">
        <v>1</v>
      </c>
      <c r="L17" t="n">
        <v>1</v>
      </c>
      <c r="M17" t="n">
        <v>0.004272</v>
      </c>
      <c r="N17" t="n">
        <v>0.07964071856287425</v>
      </c>
      <c r="O17" t="n">
        <v>0.010031552557202</v>
      </c>
      <c r="P17" t="n">
        <v>1</v>
      </c>
      <c r="Q17" t="n">
        <v>0.01286513212563268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</row>
    <row r="18">
      <c r="A18" s="14" t="n">
        <v>2040</v>
      </c>
      <c r="B18" t="n">
        <v>0.03142297711990027</v>
      </c>
      <c r="C18" t="n">
        <v>1</v>
      </c>
      <c r="D18" t="n">
        <v>1</v>
      </c>
      <c r="E18" t="n">
        <v>0.03513785003620898</v>
      </c>
      <c r="F18" t="n">
        <v>0.03865921305714286</v>
      </c>
      <c r="G18" t="n">
        <v>0.1450328390123837</v>
      </c>
      <c r="H18" t="n">
        <v>1</v>
      </c>
      <c r="I18" t="n">
        <v>1</v>
      </c>
      <c r="J18" t="n">
        <v>0.008798375684489018</v>
      </c>
      <c r="K18" t="n">
        <v>1</v>
      </c>
      <c r="L18" t="n">
        <v>1</v>
      </c>
      <c r="M18" t="n">
        <v>0.004272</v>
      </c>
      <c r="N18" t="n">
        <v>0.07964071856287425</v>
      </c>
      <c r="O18" t="n">
        <v>0.010031552557202</v>
      </c>
      <c r="P18" t="n">
        <v>1</v>
      </c>
      <c r="Q18" t="n">
        <v>0.01286513212563268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</row>
    <row r="19">
      <c r="A19" s="14" t="n">
        <v>2041</v>
      </c>
      <c r="B19" t="n">
        <v>0.03142297711990027</v>
      </c>
      <c r="C19" t="n">
        <v>1</v>
      </c>
      <c r="D19" t="n">
        <v>1</v>
      </c>
      <c r="E19" t="n">
        <v>0.03513785003620898</v>
      </c>
      <c r="F19" t="n">
        <v>0.03865921305714286</v>
      </c>
      <c r="G19" t="n">
        <v>0.1450328390123837</v>
      </c>
      <c r="H19" t="n">
        <v>1</v>
      </c>
      <c r="I19" t="n">
        <v>1</v>
      </c>
      <c r="J19" t="n">
        <v>0.008798375684489018</v>
      </c>
      <c r="K19" t="n">
        <v>1</v>
      </c>
      <c r="L19" t="n">
        <v>1</v>
      </c>
      <c r="M19" t="n">
        <v>0.004272</v>
      </c>
      <c r="N19" t="n">
        <v>0.07964071856287425</v>
      </c>
      <c r="O19" t="n">
        <v>0.010031552557202</v>
      </c>
      <c r="P19" t="n">
        <v>1</v>
      </c>
      <c r="Q19" t="n">
        <v>0.01286513212563268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</row>
    <row r="20">
      <c r="A20" s="14" t="n">
        <v>2042</v>
      </c>
      <c r="B20" t="n">
        <v>0.03142297711990027</v>
      </c>
      <c r="C20" t="n">
        <v>1</v>
      </c>
      <c r="D20" t="n">
        <v>1</v>
      </c>
      <c r="E20" t="n">
        <v>0.03513785003620898</v>
      </c>
      <c r="F20" t="n">
        <v>0.03865921305714286</v>
      </c>
      <c r="G20" t="n">
        <v>0.1450328390123837</v>
      </c>
      <c r="H20" t="n">
        <v>1</v>
      </c>
      <c r="I20" t="n">
        <v>1</v>
      </c>
      <c r="J20" t="n">
        <v>0.008798375684489018</v>
      </c>
      <c r="K20" t="n">
        <v>1</v>
      </c>
      <c r="L20" t="n">
        <v>1</v>
      </c>
      <c r="M20" t="n">
        <v>0.004272</v>
      </c>
      <c r="N20" t="n">
        <v>0.07964071856287425</v>
      </c>
      <c r="O20" t="n">
        <v>0.010031552557202</v>
      </c>
      <c r="P20" t="n">
        <v>1</v>
      </c>
      <c r="Q20" t="n">
        <v>0.01286513212563268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</row>
    <row r="21">
      <c r="A21" s="14" t="n">
        <v>2043</v>
      </c>
      <c r="B21" t="n">
        <v>0.03142297711990027</v>
      </c>
      <c r="C21" t="n">
        <v>1</v>
      </c>
      <c r="D21" t="n">
        <v>1</v>
      </c>
      <c r="E21" t="n">
        <v>0.03513785003620898</v>
      </c>
      <c r="F21" t="n">
        <v>0.03865921305714286</v>
      </c>
      <c r="G21" t="n">
        <v>0.1450328390123837</v>
      </c>
      <c r="H21" t="n">
        <v>1</v>
      </c>
      <c r="I21" t="n">
        <v>1</v>
      </c>
      <c r="J21" t="n">
        <v>0.008798375684489018</v>
      </c>
      <c r="K21" t="n">
        <v>1</v>
      </c>
      <c r="L21" t="n">
        <v>1</v>
      </c>
      <c r="M21" t="n">
        <v>0.004272</v>
      </c>
      <c r="N21" t="n">
        <v>0.07964071856287425</v>
      </c>
      <c r="O21" t="n">
        <v>0.010031552557202</v>
      </c>
      <c r="P21" t="n">
        <v>1</v>
      </c>
      <c r="Q21" t="n">
        <v>0.01286513212563268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</row>
    <row r="22">
      <c r="A22" s="14" t="n">
        <v>2044</v>
      </c>
      <c r="B22" t="n">
        <v>0.03142297711990027</v>
      </c>
      <c r="C22" t="n">
        <v>1</v>
      </c>
      <c r="D22" t="n">
        <v>1</v>
      </c>
      <c r="E22" t="n">
        <v>0.03513785003620898</v>
      </c>
      <c r="F22" t="n">
        <v>0.03865921305714286</v>
      </c>
      <c r="G22" t="n">
        <v>0.1450328390123837</v>
      </c>
      <c r="H22" t="n">
        <v>1</v>
      </c>
      <c r="I22" t="n">
        <v>1</v>
      </c>
      <c r="J22" t="n">
        <v>0.008798375684489018</v>
      </c>
      <c r="K22" t="n">
        <v>1</v>
      </c>
      <c r="L22" t="n">
        <v>1</v>
      </c>
      <c r="M22" t="n">
        <v>0.004272</v>
      </c>
      <c r="N22" t="n">
        <v>0.07964071856287425</v>
      </c>
      <c r="O22" t="n">
        <v>0.010031552557202</v>
      </c>
      <c r="P22" t="n">
        <v>1</v>
      </c>
      <c r="Q22" t="n">
        <v>0.01286513212563268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</row>
    <row r="23">
      <c r="A23" s="14" t="n">
        <v>2045</v>
      </c>
      <c r="B23" t="n">
        <v>0.03142297711990027</v>
      </c>
      <c r="C23" t="n">
        <v>1</v>
      </c>
      <c r="D23" t="n">
        <v>1</v>
      </c>
      <c r="E23" t="n">
        <v>0.03513785003620898</v>
      </c>
      <c r="F23" t="n">
        <v>0.03865921305714286</v>
      </c>
      <c r="G23" t="n">
        <v>0.1450328390123837</v>
      </c>
      <c r="H23" t="n">
        <v>1</v>
      </c>
      <c r="I23" t="n">
        <v>1</v>
      </c>
      <c r="J23" t="n">
        <v>0.008798375684489018</v>
      </c>
      <c r="K23" t="n">
        <v>1</v>
      </c>
      <c r="L23" t="n">
        <v>1</v>
      </c>
      <c r="M23" t="n">
        <v>0.004272</v>
      </c>
      <c r="N23" t="n">
        <v>0.07964071856287425</v>
      </c>
      <c r="O23" t="n">
        <v>0.010031552557202</v>
      </c>
      <c r="P23" t="n">
        <v>1</v>
      </c>
      <c r="Q23" t="n">
        <v>0.01286513212563268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</row>
    <row r="24">
      <c r="A24" s="14" t="n">
        <v>2046</v>
      </c>
      <c r="B24" t="n">
        <v>0.03142297711990027</v>
      </c>
      <c r="C24" t="n">
        <v>1</v>
      </c>
      <c r="D24" t="n">
        <v>1</v>
      </c>
      <c r="E24" t="n">
        <v>0.03513785003620898</v>
      </c>
      <c r="F24" t="n">
        <v>0.03865921305714286</v>
      </c>
      <c r="G24" t="n">
        <v>0.1450328390123837</v>
      </c>
      <c r="H24" t="n">
        <v>1</v>
      </c>
      <c r="I24" t="n">
        <v>1</v>
      </c>
      <c r="J24" t="n">
        <v>0.008798375684489018</v>
      </c>
      <c r="K24" t="n">
        <v>1</v>
      </c>
      <c r="L24" t="n">
        <v>1</v>
      </c>
      <c r="M24" t="n">
        <v>0.004272</v>
      </c>
      <c r="N24" t="n">
        <v>0.07964071856287425</v>
      </c>
      <c r="O24" t="n">
        <v>0.010031552557202</v>
      </c>
      <c r="P24" t="n">
        <v>1</v>
      </c>
      <c r="Q24" t="n">
        <v>0.01286513212563268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</row>
    <row r="25">
      <c r="A25" s="14" t="n">
        <v>2047</v>
      </c>
      <c r="B25" t="n">
        <v>0.03142297711990027</v>
      </c>
      <c r="C25" t="n">
        <v>1</v>
      </c>
      <c r="D25" t="n">
        <v>1</v>
      </c>
      <c r="E25" t="n">
        <v>0.03513785003620898</v>
      </c>
      <c r="F25" t="n">
        <v>0.03865921305714286</v>
      </c>
      <c r="G25" t="n">
        <v>0.1450328390123837</v>
      </c>
      <c r="H25" t="n">
        <v>1</v>
      </c>
      <c r="I25" t="n">
        <v>1</v>
      </c>
      <c r="J25" t="n">
        <v>0.008798375684489018</v>
      </c>
      <c r="K25" t="n">
        <v>1</v>
      </c>
      <c r="L25" t="n">
        <v>1</v>
      </c>
      <c r="M25" t="n">
        <v>0.004272</v>
      </c>
      <c r="N25" t="n">
        <v>0.07964071856287425</v>
      </c>
      <c r="O25" t="n">
        <v>0.010031552557202</v>
      </c>
      <c r="P25" t="n">
        <v>1</v>
      </c>
      <c r="Q25" t="n">
        <v>0.01286513212563268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</row>
    <row r="26">
      <c r="A26" s="14" t="n">
        <v>2048</v>
      </c>
      <c r="B26" t="n">
        <v>0.03142297711990027</v>
      </c>
      <c r="C26" t="n">
        <v>1</v>
      </c>
      <c r="D26" t="n">
        <v>1</v>
      </c>
      <c r="E26" t="n">
        <v>0.03513785003620898</v>
      </c>
      <c r="F26" t="n">
        <v>0.03865921305714286</v>
      </c>
      <c r="G26" t="n">
        <v>0.1450328390123837</v>
      </c>
      <c r="H26" t="n">
        <v>1</v>
      </c>
      <c r="I26" t="n">
        <v>1</v>
      </c>
      <c r="J26" t="n">
        <v>0.008798375684489018</v>
      </c>
      <c r="K26" t="n">
        <v>1</v>
      </c>
      <c r="L26" t="n">
        <v>1</v>
      </c>
      <c r="M26" t="n">
        <v>0.004272</v>
      </c>
      <c r="N26" t="n">
        <v>0.07964071856287425</v>
      </c>
      <c r="O26" t="n">
        <v>0.010031552557202</v>
      </c>
      <c r="P26" t="n">
        <v>1</v>
      </c>
      <c r="Q26" t="n">
        <v>0.01286513212563268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</row>
    <row r="27">
      <c r="A27" s="14" t="n">
        <v>2049</v>
      </c>
      <c r="B27" t="n">
        <v>0.03142297711990027</v>
      </c>
      <c r="C27" t="n">
        <v>1</v>
      </c>
      <c r="D27" t="n">
        <v>1</v>
      </c>
      <c r="E27" t="n">
        <v>0.03513785003620898</v>
      </c>
      <c r="F27" t="n">
        <v>0.03865921305714286</v>
      </c>
      <c r="G27" t="n">
        <v>0.1450328390123837</v>
      </c>
      <c r="H27" t="n">
        <v>1</v>
      </c>
      <c r="I27" t="n">
        <v>1</v>
      </c>
      <c r="J27" t="n">
        <v>0.008798375684489018</v>
      </c>
      <c r="K27" t="n">
        <v>1</v>
      </c>
      <c r="L27" t="n">
        <v>1</v>
      </c>
      <c r="M27" t="n">
        <v>0.004272</v>
      </c>
      <c r="N27" t="n">
        <v>0.07964071856287425</v>
      </c>
      <c r="O27" t="n">
        <v>0.010031552557202</v>
      </c>
      <c r="P27" t="n">
        <v>1</v>
      </c>
      <c r="Q27" t="n">
        <v>0.01286513212563268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</row>
    <row r="28">
      <c r="A28" s="14" t="n">
        <v>2050</v>
      </c>
      <c r="B28" t="n">
        <v>0.03142297711990027</v>
      </c>
      <c r="C28" t="n">
        <v>1</v>
      </c>
      <c r="D28" t="n">
        <v>1</v>
      </c>
      <c r="E28" t="n">
        <v>0.03513785003620898</v>
      </c>
      <c r="F28" t="n">
        <v>0.03865921305714286</v>
      </c>
      <c r="G28" t="n">
        <v>0.1450328390123837</v>
      </c>
      <c r="H28" t="n">
        <v>1</v>
      </c>
      <c r="I28" t="n">
        <v>1</v>
      </c>
      <c r="J28" t="n">
        <v>0.008798375684489018</v>
      </c>
      <c r="K28" t="n">
        <v>1</v>
      </c>
      <c r="L28" t="n">
        <v>1</v>
      </c>
      <c r="M28" t="n">
        <v>0.004272</v>
      </c>
      <c r="N28" t="n">
        <v>0.07964071856287425</v>
      </c>
      <c r="O28" t="n">
        <v>0.010031552557202</v>
      </c>
      <c r="P28" t="n">
        <v>1</v>
      </c>
      <c r="Q28" t="n">
        <v>0.01286513212563268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</row>
  </sheetData>
  <pageMargins left="0.7" right="0.7" top="0.787401575" bottom="0.7874015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H26" sqref="H26"/>
    </sheetView>
  </sheetViews>
  <sheetFormatPr baseColWidth="10" defaultRowHeight="15"/>
  <sheetData>
    <row r="1">
      <c r="A1" t="inlineStr">
        <is>
          <t>Stf</t>
        </is>
      </c>
      <c r="B1" t="inlineStr">
        <is>
          <t>aluminum</t>
        </is>
      </c>
      <c r="C1" t="inlineStr">
        <is>
          <t xml:space="preserve"> glass</t>
        </is>
      </c>
      <c r="D1" t="inlineStr">
        <is>
          <t xml:space="preserve"> polymers</t>
        </is>
      </c>
      <c r="E1" t="inlineStr">
        <is>
          <t xml:space="preserve"> copper</t>
        </is>
      </c>
      <c r="F1" t="inlineStr">
        <is>
          <t xml:space="preserve"> silver</t>
        </is>
      </c>
      <c r="G1" t="inlineStr">
        <is>
          <t xml:space="preserve"> silicon</t>
        </is>
      </c>
      <c r="H1" t="inlineStr">
        <is>
          <t xml:space="preserve"> blade_bulk_on</t>
        </is>
      </c>
      <c r="I1" t="inlineStr">
        <is>
          <t xml:space="preserve"> tower_bulk_on</t>
        </is>
      </c>
      <c r="J1" t="inlineStr">
        <is>
          <t xml:space="preserve"> cobalt</t>
        </is>
      </c>
      <c r="K1" t="inlineStr">
        <is>
          <t xml:space="preserve"> dysprosium</t>
        </is>
      </c>
      <c r="L1" t="inlineStr">
        <is>
          <t xml:space="preserve"> gallium</t>
        </is>
      </c>
      <c r="M1" t="inlineStr">
        <is>
          <t xml:space="preserve"> graphite</t>
        </is>
      </c>
      <c r="N1" t="inlineStr">
        <is>
          <t xml:space="preserve"> lithium</t>
        </is>
      </c>
      <c r="O1" t="inlineStr">
        <is>
          <t xml:space="preserve"> manganese</t>
        </is>
      </c>
      <c r="P1" t="inlineStr">
        <is>
          <t xml:space="preserve"> neodymium</t>
        </is>
      </c>
      <c r="Q1" t="inlineStr">
        <is>
          <t xml:space="preserve"> nickel</t>
        </is>
      </c>
      <c r="R1" t="inlineStr">
        <is>
          <t xml:space="preserve"> niobium</t>
        </is>
      </c>
      <c r="S1" t="inlineStr">
        <is>
          <t xml:space="preserve"> praseodymium</t>
        </is>
      </c>
      <c r="T1" t="inlineStr">
        <is>
          <t xml:space="preserve"> terbium</t>
        </is>
      </c>
      <c r="U1" t="inlineStr">
        <is>
          <t xml:space="preserve"> titanium</t>
        </is>
      </c>
      <c r="V1" t="inlineStr">
        <is>
          <t xml:space="preserve"> vanadium</t>
        </is>
      </c>
      <c r="W1" t="inlineStr">
        <is>
          <t xml:space="preserve"> blade_bulk_off</t>
        </is>
      </c>
      <c r="X1" t="inlineStr">
        <is>
          <t xml:space="preserve"> tower_bulk_off</t>
        </is>
      </c>
      <c r="Y1" t="inlineStr">
        <is>
          <t xml:space="preserve"> boron</t>
        </is>
      </c>
      <c r="Z1" t="inlineStr">
        <is>
          <t>molybdenum</t>
        </is>
      </c>
    </row>
    <row r="2">
      <c r="A2" s="14" t="n">
        <v>2024</v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1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</row>
    <row r="3">
      <c r="A3" s="14" t="n">
        <v>2025</v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1</v>
      </c>
      <c r="K3" t="n">
        <v>1</v>
      </c>
      <c r="L3" t="n">
        <v>1</v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</row>
    <row r="4">
      <c r="A4" s="14" t="n">
        <v>2026</v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1</v>
      </c>
      <c r="I4" t="n">
        <v>1</v>
      </c>
      <c r="J4" t="n">
        <v>1</v>
      </c>
      <c r="K4" t="n">
        <v>1</v>
      </c>
      <c r="L4" t="n">
        <v>1</v>
      </c>
      <c r="M4" t="n">
        <v>1</v>
      </c>
      <c r="N4" t="n">
        <v>1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</row>
    <row r="5">
      <c r="A5" s="14" t="n">
        <v>2027</v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W5" t="n">
        <v>1</v>
      </c>
      <c r="X5" t="n">
        <v>1</v>
      </c>
      <c r="Y5" t="n">
        <v>1</v>
      </c>
      <c r="Z5" t="n">
        <v>1</v>
      </c>
    </row>
    <row r="6">
      <c r="A6" s="14" t="n">
        <v>2028</v>
      </c>
      <c r="B6" t="n">
        <v>1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1</v>
      </c>
      <c r="I6" t="n">
        <v>1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</row>
    <row r="7">
      <c r="A7" s="14" t="n">
        <v>2029</v>
      </c>
      <c r="B7" t="n">
        <v>1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</row>
    <row r="8">
      <c r="A8" s="14" t="n">
        <v>2030</v>
      </c>
      <c r="B8" t="n">
        <v>1</v>
      </c>
      <c r="C8" t="n">
        <v>1</v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1</v>
      </c>
      <c r="N8" t="n">
        <v>1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</row>
    <row r="9">
      <c r="A9" s="14" t="n">
        <v>2031</v>
      </c>
      <c r="B9" t="n">
        <v>1</v>
      </c>
      <c r="C9" t="n">
        <v>1</v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1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W9" t="n">
        <v>1</v>
      </c>
      <c r="X9" t="n">
        <v>1</v>
      </c>
      <c r="Y9" t="n">
        <v>1</v>
      </c>
      <c r="Z9" t="n">
        <v>1</v>
      </c>
    </row>
    <row r="10">
      <c r="A10" s="14" t="n">
        <v>2032</v>
      </c>
      <c r="B10" t="n">
        <v>1</v>
      </c>
      <c r="C10" t="n">
        <v>1</v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1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W10" t="n">
        <v>1</v>
      </c>
      <c r="X10" t="n">
        <v>1</v>
      </c>
      <c r="Y10" t="n">
        <v>1</v>
      </c>
      <c r="Z10" t="n">
        <v>1</v>
      </c>
    </row>
    <row r="11">
      <c r="A11" s="14" t="n">
        <v>2033</v>
      </c>
      <c r="B11" t="n">
        <v>1</v>
      </c>
      <c r="C11" t="n">
        <v>1</v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1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</row>
    <row r="12">
      <c r="A12" s="14" t="n">
        <v>2034</v>
      </c>
      <c r="B12" t="n">
        <v>1</v>
      </c>
      <c r="C12" t="n">
        <v>1</v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</row>
    <row r="13">
      <c r="A13" s="14" t="n">
        <v>2035</v>
      </c>
      <c r="B13" t="n">
        <v>1</v>
      </c>
      <c r="C13" t="n">
        <v>1</v>
      </c>
      <c r="D13" t="n">
        <v>1</v>
      </c>
      <c r="E13" t="n">
        <v>1</v>
      </c>
      <c r="F13" t="n">
        <v>1</v>
      </c>
      <c r="G13" t="n">
        <v>1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</row>
    <row r="14">
      <c r="A14" s="14" t="n">
        <v>2036</v>
      </c>
      <c r="B14" t="n">
        <v>1</v>
      </c>
      <c r="C14" t="n">
        <v>1</v>
      </c>
      <c r="D14" t="n">
        <v>1</v>
      </c>
      <c r="E14" t="n">
        <v>1</v>
      </c>
      <c r="F14" t="n">
        <v>1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</row>
    <row r="15">
      <c r="A15" s="14" t="n">
        <v>2037</v>
      </c>
      <c r="B15" t="n">
        <v>1</v>
      </c>
      <c r="C15" t="n">
        <v>1</v>
      </c>
      <c r="D15" t="n">
        <v>1</v>
      </c>
      <c r="E15" t="n">
        <v>1</v>
      </c>
      <c r="F15" t="n">
        <v>1</v>
      </c>
      <c r="G15" t="n">
        <v>1</v>
      </c>
      <c r="H15" t="n">
        <v>1</v>
      </c>
      <c r="I15" t="n">
        <v>1</v>
      </c>
      <c r="J15" t="n">
        <v>1</v>
      </c>
      <c r="K15" t="n">
        <v>1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1</v>
      </c>
      <c r="X15" t="n">
        <v>1</v>
      </c>
      <c r="Y15" t="n">
        <v>1</v>
      </c>
      <c r="Z15" t="n">
        <v>1</v>
      </c>
    </row>
    <row r="16">
      <c r="A16" s="14" t="n">
        <v>2038</v>
      </c>
      <c r="B16" t="n">
        <v>1</v>
      </c>
      <c r="C16" t="n">
        <v>1</v>
      </c>
      <c r="D16" t="n">
        <v>1</v>
      </c>
      <c r="E16" t="n">
        <v>1</v>
      </c>
      <c r="F16" t="n">
        <v>1</v>
      </c>
      <c r="G16" t="n">
        <v>1</v>
      </c>
      <c r="H16" t="n">
        <v>1</v>
      </c>
      <c r="I16" t="n">
        <v>1</v>
      </c>
      <c r="J16" t="n">
        <v>1</v>
      </c>
      <c r="K16" t="n">
        <v>1</v>
      </c>
      <c r="L16" t="n">
        <v>1</v>
      </c>
      <c r="M16" t="n">
        <v>1</v>
      </c>
      <c r="N16" t="n">
        <v>1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</row>
    <row r="17">
      <c r="A17" s="14" t="n">
        <v>2039</v>
      </c>
      <c r="B17" t="n">
        <v>1</v>
      </c>
      <c r="C17" t="n">
        <v>1</v>
      </c>
      <c r="D17" t="n">
        <v>1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t="n">
        <v>1</v>
      </c>
      <c r="M17" t="n">
        <v>1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  <c r="X17" t="n">
        <v>1</v>
      </c>
      <c r="Y17" t="n">
        <v>1</v>
      </c>
      <c r="Z17" t="n">
        <v>1</v>
      </c>
    </row>
    <row r="18">
      <c r="A18" s="14" t="n">
        <v>2040</v>
      </c>
      <c r="B18" t="n">
        <v>1</v>
      </c>
      <c r="C18" t="n">
        <v>1</v>
      </c>
      <c r="D18" t="n">
        <v>1</v>
      </c>
      <c r="E18" t="n">
        <v>1</v>
      </c>
      <c r="F18" t="n">
        <v>1</v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n">
        <v>1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</row>
    <row r="19">
      <c r="A19" s="14" t="n">
        <v>2041</v>
      </c>
      <c r="B19" t="n">
        <v>1</v>
      </c>
      <c r="C19" t="n">
        <v>1</v>
      </c>
      <c r="D19" t="n">
        <v>1</v>
      </c>
      <c r="E19" t="n">
        <v>1</v>
      </c>
      <c r="F19" t="n">
        <v>1</v>
      </c>
      <c r="G19" t="n">
        <v>1</v>
      </c>
      <c r="H19" t="n">
        <v>1</v>
      </c>
      <c r="I19" t="n">
        <v>1</v>
      </c>
      <c r="J19" t="n">
        <v>1</v>
      </c>
      <c r="K19" t="n">
        <v>1</v>
      </c>
      <c r="L19" t="n">
        <v>1</v>
      </c>
      <c r="M19" t="n">
        <v>1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W19" t="n">
        <v>1</v>
      </c>
      <c r="X19" t="n">
        <v>1</v>
      </c>
      <c r="Y19" t="n">
        <v>1</v>
      </c>
      <c r="Z19" t="n">
        <v>1</v>
      </c>
    </row>
    <row r="20">
      <c r="A20" s="14" t="n">
        <v>2042</v>
      </c>
      <c r="B20" t="n">
        <v>1</v>
      </c>
      <c r="C20" t="n">
        <v>1</v>
      </c>
      <c r="D20" t="n">
        <v>1</v>
      </c>
      <c r="E20" t="n">
        <v>1</v>
      </c>
      <c r="F20" t="n">
        <v>1</v>
      </c>
      <c r="G20" t="n">
        <v>1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1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</row>
    <row r="21">
      <c r="A21" s="14" t="n">
        <v>2043</v>
      </c>
      <c r="B21" t="n">
        <v>1</v>
      </c>
      <c r="C21" t="n">
        <v>1</v>
      </c>
      <c r="D21" t="n">
        <v>1</v>
      </c>
      <c r="E21" t="n">
        <v>1</v>
      </c>
      <c r="F21" t="n">
        <v>1</v>
      </c>
      <c r="G21" t="n">
        <v>1</v>
      </c>
      <c r="H21" t="n">
        <v>1</v>
      </c>
      <c r="I21" t="n">
        <v>1</v>
      </c>
      <c r="J21" t="n">
        <v>1</v>
      </c>
      <c r="K21" t="n">
        <v>1</v>
      </c>
      <c r="L21" t="n">
        <v>1</v>
      </c>
      <c r="M21" t="n">
        <v>1</v>
      </c>
      <c r="N21" t="n">
        <v>1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t="n">
        <v>1</v>
      </c>
      <c r="W21" t="n">
        <v>1</v>
      </c>
      <c r="X21" t="n">
        <v>1</v>
      </c>
      <c r="Y21" t="n">
        <v>1</v>
      </c>
      <c r="Z21" t="n">
        <v>1</v>
      </c>
    </row>
    <row r="22">
      <c r="A22" s="14" t="n">
        <v>2044</v>
      </c>
      <c r="B22" t="n">
        <v>1</v>
      </c>
      <c r="C22" t="n">
        <v>1</v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1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t="n">
        <v>1</v>
      </c>
      <c r="W22" t="n">
        <v>1</v>
      </c>
      <c r="X22" t="n">
        <v>1</v>
      </c>
      <c r="Y22" t="n">
        <v>1</v>
      </c>
      <c r="Z22" t="n">
        <v>1</v>
      </c>
    </row>
    <row r="23">
      <c r="A23" s="14" t="n">
        <v>2045</v>
      </c>
      <c r="B23" t="n">
        <v>1</v>
      </c>
      <c r="C23" t="n">
        <v>1</v>
      </c>
      <c r="D23" t="n">
        <v>1</v>
      </c>
      <c r="E23" t="n">
        <v>1</v>
      </c>
      <c r="F23" t="n">
        <v>1</v>
      </c>
      <c r="G23" t="n">
        <v>1</v>
      </c>
      <c r="H23" t="n">
        <v>1</v>
      </c>
      <c r="I23" t="n">
        <v>1</v>
      </c>
      <c r="J23" t="n">
        <v>1</v>
      </c>
      <c r="K23" t="n">
        <v>1</v>
      </c>
      <c r="L23" t="n">
        <v>1</v>
      </c>
      <c r="M23" t="n">
        <v>1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</row>
    <row r="24">
      <c r="A24" s="14" t="n">
        <v>2046</v>
      </c>
      <c r="B24" t="n">
        <v>1</v>
      </c>
      <c r="C24" t="n">
        <v>1</v>
      </c>
      <c r="D24" t="n">
        <v>1</v>
      </c>
      <c r="E24" t="n">
        <v>1</v>
      </c>
      <c r="F24" t="n">
        <v>1</v>
      </c>
      <c r="G24" t="n">
        <v>1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  <c r="X24" t="n">
        <v>1</v>
      </c>
      <c r="Y24" t="n">
        <v>1</v>
      </c>
      <c r="Z24" t="n">
        <v>1</v>
      </c>
    </row>
    <row r="25">
      <c r="A25" s="14" t="n">
        <v>2047</v>
      </c>
      <c r="B25" t="n">
        <v>1</v>
      </c>
      <c r="C25" t="n">
        <v>1</v>
      </c>
      <c r="D25" t="n">
        <v>1</v>
      </c>
      <c r="E25" t="n">
        <v>1</v>
      </c>
      <c r="F25" t="n">
        <v>1</v>
      </c>
      <c r="G25" t="n">
        <v>1</v>
      </c>
      <c r="H25" t="n">
        <v>1</v>
      </c>
      <c r="I25" t="n">
        <v>1</v>
      </c>
      <c r="J25" t="n">
        <v>1</v>
      </c>
      <c r="K25" t="n">
        <v>1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t="n">
        <v>1</v>
      </c>
      <c r="W25" t="n">
        <v>1</v>
      </c>
      <c r="X25" t="n">
        <v>1</v>
      </c>
      <c r="Y25" t="n">
        <v>1</v>
      </c>
      <c r="Z25" t="n">
        <v>1</v>
      </c>
    </row>
    <row r="26">
      <c r="A26" s="14" t="n">
        <v>2048</v>
      </c>
      <c r="B26" t="n">
        <v>1</v>
      </c>
      <c r="C26" t="n">
        <v>1</v>
      </c>
      <c r="D26" t="n">
        <v>1</v>
      </c>
      <c r="E26" t="n">
        <v>1</v>
      </c>
      <c r="F26" t="n">
        <v>1</v>
      </c>
      <c r="G26" t="n">
        <v>1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</row>
    <row r="27">
      <c r="A27" s="14" t="n">
        <v>2049</v>
      </c>
      <c r="B27" t="n">
        <v>1</v>
      </c>
      <c r="C27" t="n">
        <v>1</v>
      </c>
      <c r="D27" t="n">
        <v>1</v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  <c r="X27" t="n">
        <v>1</v>
      </c>
      <c r="Y27" t="n">
        <v>1</v>
      </c>
      <c r="Z27" t="n">
        <v>1</v>
      </c>
    </row>
    <row r="28">
      <c r="A28" s="14" t="n">
        <v>2050</v>
      </c>
      <c r="B28" t="n">
        <v>1</v>
      </c>
      <c r="C28" t="n">
        <v>1</v>
      </c>
      <c r="D28" t="n">
        <v>1</v>
      </c>
      <c r="E28" t="n">
        <v>1</v>
      </c>
      <c r="F28" t="n">
        <v>1</v>
      </c>
      <c r="G28" t="n">
        <v>1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</row>
  </sheetData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D12" sqref="D12"/>
    </sheetView>
  </sheetViews>
  <sheetFormatPr baseColWidth="10" defaultRowHeight="15"/>
  <sheetData>
    <row r="1">
      <c r="A1" t="inlineStr">
        <is>
          <t>Cons_Tech</t>
        </is>
      </c>
      <c r="B1" t="inlineStr">
        <is>
          <t>Cons_Stage</t>
        </is>
      </c>
      <c r="C1" t="inlineStr">
        <is>
          <t>Input_Tech</t>
        </is>
      </c>
      <c r="D1" t="inlineStr">
        <is>
          <t>Input_Stage</t>
        </is>
      </c>
      <c r="E1" t="inlineStr">
        <is>
          <t>Ratio</t>
        </is>
      </c>
    </row>
    <row r="2">
      <c r="A2" t="inlineStr">
        <is>
          <t>solarPV</t>
        </is>
      </c>
      <c r="B2" t="inlineStr">
        <is>
          <t>Wafer</t>
        </is>
      </c>
      <c r="C2" t="inlineStr">
        <is>
          <t>solarPV</t>
        </is>
      </c>
      <c r="D2" t="inlineStr">
        <is>
          <t>Polysilicon</t>
        </is>
      </c>
      <c r="E2" t="inlineStr">
        <is>
          <t>1.0</t>
        </is>
      </c>
    </row>
    <row r="3">
      <c r="A3" t="inlineStr">
        <is>
          <t>solarPV</t>
        </is>
      </c>
      <c r="B3" t="inlineStr">
        <is>
          <t>Cell</t>
        </is>
      </c>
      <c r="C3" t="inlineStr">
        <is>
          <t>solarPV</t>
        </is>
      </c>
      <c r="D3" t="inlineStr">
        <is>
          <t>Wafer</t>
        </is>
      </c>
      <c r="E3" t="inlineStr">
        <is>
          <t>1.0</t>
        </is>
      </c>
    </row>
    <row r="4">
      <c r="A4" t="inlineStr">
        <is>
          <t>solarPV</t>
        </is>
      </c>
      <c r="B4" t="inlineStr">
        <is>
          <t>Module</t>
        </is>
      </c>
      <c r="C4" t="inlineStr">
        <is>
          <t>solarPV</t>
        </is>
      </c>
      <c r="D4" t="inlineStr">
        <is>
          <t>Cell</t>
        </is>
      </c>
      <c r="E4" t="inlineStr">
        <is>
          <t>1.0</t>
        </is>
      </c>
    </row>
    <row r="5">
      <c r="A5" t="inlineStr">
        <is>
          <t>Batteries</t>
        </is>
      </c>
      <c r="B5" t="inlineStr">
        <is>
          <t>Assembly</t>
        </is>
      </c>
      <c r="C5" t="inlineStr">
        <is>
          <t>Batteries</t>
        </is>
      </c>
      <c r="D5" t="inlineStr">
        <is>
          <t>CellBatt</t>
        </is>
      </c>
      <c r="E5" t="inlineStr">
        <is>
          <t>1.0</t>
        </is>
      </c>
    </row>
    <row r="6">
      <c r="A6" t="inlineStr">
        <is>
          <t>windon</t>
        </is>
      </c>
      <c r="B6" t="inlineStr">
        <is>
          <t>AssemblyOn</t>
        </is>
      </c>
      <c r="C6" t="inlineStr">
        <is>
          <t>windon</t>
        </is>
      </c>
      <c r="D6" t="inlineStr">
        <is>
          <t>BladeOn</t>
        </is>
      </c>
      <c r="E6" t="inlineStr">
        <is>
          <t>1.0</t>
        </is>
      </c>
    </row>
    <row r="7">
      <c r="A7" t="inlineStr">
        <is>
          <t>windon</t>
        </is>
      </c>
      <c r="B7" t="inlineStr">
        <is>
          <t>AssemblyOn</t>
        </is>
      </c>
      <c r="C7" t="inlineStr">
        <is>
          <t>windon</t>
        </is>
      </c>
      <c r="D7" t="inlineStr">
        <is>
          <t>TowerOn</t>
        </is>
      </c>
      <c r="E7" t="inlineStr">
        <is>
          <t>1.0</t>
        </is>
      </c>
    </row>
    <row r="8">
      <c r="A8" t="inlineStr">
        <is>
          <t>windon</t>
        </is>
      </c>
      <c r="B8" t="inlineStr">
        <is>
          <t>AssemblyOn</t>
        </is>
      </c>
      <c r="C8" t="inlineStr">
        <is>
          <t>windon</t>
        </is>
      </c>
      <c r="D8" t="inlineStr">
        <is>
          <t>NacelleOn</t>
        </is>
      </c>
      <c r="E8" t="inlineStr">
        <is>
          <t>1.0</t>
        </is>
      </c>
    </row>
    <row r="9">
      <c r="A9" t="inlineStr">
        <is>
          <t>windoff</t>
        </is>
      </c>
      <c r="B9" t="inlineStr">
        <is>
          <t>AssemblyOff</t>
        </is>
      </c>
      <c r="C9" t="inlineStr">
        <is>
          <t>windoff</t>
        </is>
      </c>
      <c r="D9" t="inlineStr">
        <is>
          <t>BladeOff</t>
        </is>
      </c>
      <c r="E9" t="inlineStr">
        <is>
          <t>1.0</t>
        </is>
      </c>
    </row>
    <row r="10">
      <c r="A10" t="inlineStr">
        <is>
          <t>windoff</t>
        </is>
      </c>
      <c r="B10" t="inlineStr">
        <is>
          <t>AssemblyOff</t>
        </is>
      </c>
      <c r="C10" t="inlineStr">
        <is>
          <t>windoff</t>
        </is>
      </c>
      <c r="D10" t="inlineStr">
        <is>
          <t>TowerOff</t>
        </is>
      </c>
      <c r="E10" t="inlineStr">
        <is>
          <t>1.0</t>
        </is>
      </c>
    </row>
    <row r="11">
      <c r="A11" t="inlineStr">
        <is>
          <t>windoff</t>
        </is>
      </c>
      <c r="B11" t="inlineStr">
        <is>
          <t>AssemblyOff</t>
        </is>
      </c>
      <c r="C11" t="inlineStr">
        <is>
          <t>windoff</t>
        </is>
      </c>
      <c r="D11" t="inlineStr">
        <is>
          <t>NacelleOff</t>
        </is>
      </c>
      <c r="E11" t="inlineStr">
        <is>
          <t>1.0</t>
        </is>
      </c>
    </row>
  </sheetData>
  <pageMargins left="0.7" right="0.7" top="0.787401575" bottom="0.7874015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5"/>
  <sheetViews>
    <sheetView topLeftCell="B1" zoomScale="115" workbookViewId="0">
      <selection activeCell="H12" sqref="H12"/>
    </sheetView>
  </sheetViews>
  <sheetFormatPr baseColWidth="10" defaultRowHeight="15"/>
  <sheetData>
    <row r="1">
      <c r="A1" t="inlineStr">
        <is>
          <t>Year</t>
        </is>
      </c>
      <c r="B1" t="inlineStr">
        <is>
          <t>Location</t>
        </is>
      </c>
      <c r="C1" t="inlineStr">
        <is>
          <t>Technology</t>
        </is>
      </c>
      <c r="D1" t="inlineStr">
        <is>
          <t>Stage</t>
        </is>
      </c>
      <c r="E1" t="inlineStr">
        <is>
          <t>capex_base</t>
        </is>
      </c>
      <c r="F1" t="inlineStr">
        <is>
          <t>opex_var_base</t>
        </is>
      </c>
      <c r="G1" t="inlineStr">
        <is>
          <t>opex_fixed</t>
        </is>
      </c>
      <c r="H1" t="inlineStr">
        <is>
          <t>material_downstream_manufacturing</t>
        </is>
      </c>
    </row>
    <row r="2">
      <c r="A2" t="n">
        <v>2024</v>
      </c>
      <c r="B2" t="inlineStr">
        <is>
          <t>EU27</t>
        </is>
      </c>
      <c r="C2" t="inlineStr">
        <is>
          <t>solarPV</t>
        </is>
      </c>
      <c r="D2" t="inlineStr">
        <is>
          <t>Polysilicon</t>
        </is>
      </c>
      <c r="E2" s="12" t="n">
        <v>64400.00000000001</v>
      </c>
      <c r="F2" s="12" t="n">
        <v>1449</v>
      </c>
      <c r="G2" s="12" t="n">
        <v>3220</v>
      </c>
      <c r="H2" s="12" t="n">
        <v>0</v>
      </c>
    </row>
    <row r="3">
      <c r="A3" t="n">
        <v>2024</v>
      </c>
      <c r="B3" t="inlineStr">
        <is>
          <t>EU27</t>
        </is>
      </c>
      <c r="C3" t="inlineStr">
        <is>
          <t>solarPV</t>
        </is>
      </c>
      <c r="D3" t="inlineStr">
        <is>
          <t>Wafer</t>
        </is>
      </c>
      <c r="E3" s="12" t="n">
        <v>92000</v>
      </c>
      <c r="F3" s="12" t="n">
        <v>3312</v>
      </c>
      <c r="G3" s="12" t="n">
        <v>4600</v>
      </c>
      <c r="H3" s="12" t="n">
        <v>0</v>
      </c>
    </row>
    <row r="4">
      <c r="A4" t="n">
        <v>2024</v>
      </c>
      <c r="B4" t="inlineStr">
        <is>
          <t>EU27</t>
        </is>
      </c>
      <c r="C4" t="inlineStr">
        <is>
          <t>solarPV</t>
        </is>
      </c>
      <c r="D4" t="inlineStr">
        <is>
          <t>Cell</t>
        </is>
      </c>
      <c r="E4" s="12" t="n">
        <v>165600</v>
      </c>
      <c r="F4" s="12" t="n">
        <v>14904</v>
      </c>
      <c r="G4" s="12" t="n">
        <v>8280</v>
      </c>
      <c r="H4" s="12" t="n">
        <v>0</v>
      </c>
    </row>
    <row r="5">
      <c r="A5" t="n">
        <v>2024</v>
      </c>
      <c r="B5" t="inlineStr">
        <is>
          <t>EU27</t>
        </is>
      </c>
      <c r="C5" t="inlineStr">
        <is>
          <t>solarPV</t>
        </is>
      </c>
      <c r="D5" t="inlineStr">
        <is>
          <t>Module</t>
        </is>
      </c>
      <c r="E5" s="12" t="n">
        <v>46000</v>
      </c>
      <c r="F5" s="12" t="n">
        <v>12420</v>
      </c>
      <c r="G5" s="12" t="n">
        <v>2300</v>
      </c>
      <c r="H5" s="12" t="n">
        <v>0</v>
      </c>
    </row>
    <row r="6">
      <c r="A6" t="n">
        <v>2024</v>
      </c>
      <c r="B6" t="inlineStr">
        <is>
          <t>EU27</t>
        </is>
      </c>
      <c r="C6" t="inlineStr">
        <is>
          <t>windon</t>
        </is>
      </c>
      <c r="D6" t="inlineStr">
        <is>
          <t>BladeOn</t>
        </is>
      </c>
      <c r="E6" s="12" t="n">
        <v>73600</v>
      </c>
      <c r="F6" s="12" t="n">
        <v>40142</v>
      </c>
      <c r="G6" s="12" t="n">
        <v>3680.000000000001</v>
      </c>
      <c r="H6" s="12" t="n">
        <v>74006</v>
      </c>
    </row>
    <row r="7">
      <c r="A7" t="n">
        <v>2024</v>
      </c>
      <c r="B7" t="inlineStr">
        <is>
          <t>EU27</t>
        </is>
      </c>
      <c r="C7" t="inlineStr">
        <is>
          <t>windon</t>
        </is>
      </c>
      <c r="D7" t="inlineStr">
        <is>
          <t>TowerOn</t>
        </is>
      </c>
      <c r="E7" s="12" t="n">
        <v>82800</v>
      </c>
      <c r="F7" s="12" t="n">
        <v>7866</v>
      </c>
      <c r="G7" s="12" t="n">
        <v>4140</v>
      </c>
      <c r="H7" s="12" t="n">
        <v>264948.338581541</v>
      </c>
    </row>
    <row r="8">
      <c r="A8" t="n">
        <v>2024</v>
      </c>
      <c r="B8" t="inlineStr">
        <is>
          <t>EU27</t>
        </is>
      </c>
      <c r="C8" t="inlineStr">
        <is>
          <t>windon</t>
        </is>
      </c>
      <c r="D8" t="inlineStr">
        <is>
          <t>NacelleOn</t>
        </is>
      </c>
      <c r="E8" s="12" t="n">
        <v>276000</v>
      </c>
      <c r="F8" s="12" t="n">
        <v>26220</v>
      </c>
      <c r="G8" s="12" t="n">
        <v>13800</v>
      </c>
      <c r="H8" s="12" t="n">
        <v>493032.2104216051</v>
      </c>
    </row>
    <row r="9">
      <c r="A9" t="n">
        <v>2024</v>
      </c>
      <c r="B9" t="inlineStr">
        <is>
          <t>EU27</t>
        </is>
      </c>
      <c r="C9" t="inlineStr">
        <is>
          <t>windon</t>
        </is>
      </c>
      <c r="D9" t="inlineStr">
        <is>
          <t>AssemblyOn</t>
        </is>
      </c>
      <c r="E9" s="12" t="n">
        <v>1</v>
      </c>
      <c r="F9" s="12" t="n">
        <v>1</v>
      </c>
      <c r="G9" s="12" t="n">
        <v>1</v>
      </c>
      <c r="H9" s="12" t="n">
        <v>0</v>
      </c>
    </row>
    <row r="10">
      <c r="A10" t="n">
        <v>2024</v>
      </c>
      <c r="B10" t="inlineStr">
        <is>
          <t>EU27</t>
        </is>
      </c>
      <c r="C10" t="inlineStr">
        <is>
          <t>windoff</t>
        </is>
      </c>
      <c r="D10" t="inlineStr">
        <is>
          <t>BladeOff</t>
        </is>
      </c>
      <c r="E10" s="12" t="n">
        <v>165600</v>
      </c>
      <c r="F10" s="12" t="n">
        <v>120522</v>
      </c>
      <c r="G10" s="12" t="n">
        <v>8280</v>
      </c>
      <c r="H10" s="12" t="n">
        <v>229760</v>
      </c>
    </row>
    <row r="11">
      <c r="A11" t="n">
        <v>2024</v>
      </c>
      <c r="B11" t="inlineStr">
        <is>
          <t>EU27</t>
        </is>
      </c>
      <c r="C11" t="inlineStr">
        <is>
          <t>windoff</t>
        </is>
      </c>
      <c r="D11" t="inlineStr">
        <is>
          <t>TowerOff</t>
        </is>
      </c>
      <c r="E11" s="12" t="n">
        <v>202400</v>
      </c>
      <c r="F11" s="12" t="n">
        <v>19228</v>
      </c>
      <c r="G11" s="12" t="n">
        <v>10120</v>
      </c>
      <c r="H11" s="12" t="n">
        <v>231566.5590228</v>
      </c>
    </row>
    <row r="12">
      <c r="A12" t="n">
        <v>2024</v>
      </c>
      <c r="B12" t="inlineStr">
        <is>
          <t>EU27</t>
        </is>
      </c>
      <c r="C12" t="inlineStr">
        <is>
          <t>windoff</t>
        </is>
      </c>
      <c r="D12" t="inlineStr">
        <is>
          <t>NacelleOff</t>
        </is>
      </c>
      <c r="E12" s="12" t="n">
        <v>202400</v>
      </c>
      <c r="F12" s="12" t="n">
        <v>19228</v>
      </c>
      <c r="G12" s="12" t="n">
        <v>10120</v>
      </c>
      <c r="H12" s="12" t="n">
        <v>901215.1435084781</v>
      </c>
    </row>
    <row r="13">
      <c r="A13" t="n">
        <v>2024</v>
      </c>
      <c r="B13" t="inlineStr">
        <is>
          <t>EU27</t>
        </is>
      </c>
      <c r="C13" t="inlineStr">
        <is>
          <t>windoff</t>
        </is>
      </c>
      <c r="D13" t="inlineStr">
        <is>
          <t>AssemblyOff</t>
        </is>
      </c>
      <c r="E13" s="12" t="n">
        <v>1</v>
      </c>
      <c r="F13" s="12" t="n">
        <v>1</v>
      </c>
      <c r="G13" s="12" t="n">
        <v>1</v>
      </c>
      <c r="H13" s="12" t="n">
        <v>0</v>
      </c>
    </row>
    <row r="14">
      <c r="A14" t="n">
        <v>2024</v>
      </c>
      <c r="B14" t="inlineStr">
        <is>
          <t>EU27</t>
        </is>
      </c>
      <c r="C14" t="inlineStr">
        <is>
          <t>Batteries</t>
        </is>
      </c>
      <c r="D14" t="inlineStr">
        <is>
          <t>CellBatt</t>
        </is>
      </c>
      <c r="E14" t="n">
        <v>1</v>
      </c>
      <c r="F14" t="n">
        <v>1</v>
      </c>
      <c r="G14" t="n">
        <v>1</v>
      </c>
      <c r="H14" s="12" t="n">
        <v>0</v>
      </c>
    </row>
    <row r="15">
      <c r="A15" t="n">
        <v>2024</v>
      </c>
      <c r="B15" t="inlineStr">
        <is>
          <t>EU27</t>
        </is>
      </c>
      <c r="C15" t="inlineStr">
        <is>
          <t>Batteries</t>
        </is>
      </c>
      <c r="D15" t="inlineStr">
        <is>
          <t>Assembly</t>
        </is>
      </c>
      <c r="E15" t="n">
        <v>1</v>
      </c>
      <c r="F15" t="n">
        <v>1</v>
      </c>
      <c r="G15" t="n">
        <v>1</v>
      </c>
      <c r="H15" s="12" t="n">
        <v>0</v>
      </c>
    </row>
  </sheetData>
  <pageMargins left="0.7" right="0.7" top="0.787401575" bottom="0.7874015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M42" sqref="M42"/>
    </sheetView>
  </sheetViews>
  <sheetFormatPr baseColWidth="10" defaultRowHeight="15"/>
  <sheetData>
    <row r="1">
      <c r="A1" t="inlineStr">
        <is>
          <t>Stf</t>
        </is>
      </c>
      <c r="B1" t="inlineStr">
        <is>
          <t>solarPV_Polysilicon</t>
        </is>
      </c>
      <c r="C1" t="inlineStr">
        <is>
          <t>solarPV_Wafer</t>
        </is>
      </c>
      <c r="D1" t="inlineStr">
        <is>
          <t>solarPV_Cell</t>
        </is>
      </c>
      <c r="E1" t="inlineStr">
        <is>
          <t>solarPV_Module</t>
        </is>
      </c>
      <c r="F1" t="inlineStr">
        <is>
          <t>windon_BladeOn</t>
        </is>
      </c>
      <c r="G1" t="inlineStr">
        <is>
          <t>windon_TowerOn</t>
        </is>
      </c>
      <c r="H1" t="inlineStr">
        <is>
          <t>windon_NacelleOn</t>
        </is>
      </c>
      <c r="I1" t="inlineStr">
        <is>
          <t>windon_AssemblyOn</t>
        </is>
      </c>
      <c r="J1" t="inlineStr">
        <is>
          <t>windoff_BladeOff</t>
        </is>
      </c>
      <c r="K1" t="inlineStr">
        <is>
          <t>windoff_TowerOff</t>
        </is>
      </c>
      <c r="L1" t="inlineStr">
        <is>
          <t>windoff_NacelleOff</t>
        </is>
      </c>
      <c r="M1" t="inlineStr">
        <is>
          <t>windoff_AssemblyOff</t>
        </is>
      </c>
      <c r="N1" t="inlineStr">
        <is>
          <t>Batteries_CellBatt</t>
        </is>
      </c>
      <c r="O1" t="inlineStr">
        <is>
          <t>Batteries_Assembly</t>
        </is>
      </c>
    </row>
    <row r="2">
      <c r="A2" t="n">
        <v>2024</v>
      </c>
      <c r="B2" t="n">
        <v>38640</v>
      </c>
      <c r="C2" t="n">
        <v>55200</v>
      </c>
      <c r="D2" t="n">
        <v>82800</v>
      </c>
      <c r="E2" t="n">
        <v>149960</v>
      </c>
      <c r="F2" t="n">
        <v>0</v>
      </c>
      <c r="G2" t="n">
        <v>0</v>
      </c>
      <c r="H2" t="n">
        <v>382762.9</v>
      </c>
      <c r="I2" t="n">
        <v>679793.6</v>
      </c>
      <c r="J2" t="n">
        <v>0</v>
      </c>
      <c r="K2" t="n">
        <v>0</v>
      </c>
      <c r="L2" t="n">
        <v>479917.1</v>
      </c>
      <c r="M2" t="n">
        <v>787018</v>
      </c>
      <c r="N2" t="n">
        <v>0</v>
      </c>
      <c r="O2" t="n">
        <v>280439.83</v>
      </c>
    </row>
    <row r="3">
      <c r="A3" t="n">
        <v>2025</v>
      </c>
      <c r="B3" t="n">
        <v>38060.4</v>
      </c>
      <c r="C3" t="n">
        <v>54372</v>
      </c>
      <c r="D3" t="n">
        <v>81558</v>
      </c>
      <c r="E3" t="n">
        <v>148580</v>
      </c>
      <c r="F3" t="n">
        <v>0</v>
      </c>
      <c r="G3" t="n">
        <v>0</v>
      </c>
      <c r="H3" t="n">
        <v>367452.384</v>
      </c>
      <c r="I3" t="n">
        <v>652601.8559999999</v>
      </c>
      <c r="J3" t="n">
        <v>0</v>
      </c>
      <c r="K3" t="n">
        <v>0</v>
      </c>
      <c r="L3" t="n">
        <v>460720.416</v>
      </c>
      <c r="M3" t="n">
        <v>755537.28</v>
      </c>
      <c r="N3" t="n">
        <v>0</v>
      </c>
      <c r="O3" t="n">
        <v>274754.91</v>
      </c>
    </row>
    <row r="4">
      <c r="A4" t="n">
        <v>2026</v>
      </c>
      <c r="B4" t="n">
        <v>37489.494</v>
      </c>
      <c r="C4" t="n">
        <v>53556.42</v>
      </c>
      <c r="D4" t="n">
        <v>80334.63</v>
      </c>
      <c r="E4" t="n">
        <v>147200</v>
      </c>
      <c r="F4" t="n">
        <v>0</v>
      </c>
      <c r="G4" t="n">
        <v>0</v>
      </c>
      <c r="H4" t="n">
        <v>352754.28864</v>
      </c>
      <c r="I4" t="n">
        <v>626497.7817599999</v>
      </c>
      <c r="J4" t="n">
        <v>0</v>
      </c>
      <c r="K4" t="n">
        <v>0</v>
      </c>
      <c r="L4" t="n">
        <v>442291.5993599999</v>
      </c>
      <c r="M4" t="n">
        <v>725315.7888</v>
      </c>
      <c r="N4" t="n">
        <v>0</v>
      </c>
      <c r="O4" t="n">
        <v>269179.44</v>
      </c>
    </row>
    <row r="5">
      <c r="A5" t="n">
        <v>2027</v>
      </c>
      <c r="B5" t="n">
        <v>36927.15159</v>
      </c>
      <c r="C5" t="n">
        <v>52753.0737</v>
      </c>
      <c r="D5" t="n">
        <v>79129.61055</v>
      </c>
      <c r="E5" t="n">
        <v>145820</v>
      </c>
      <c r="F5" t="n">
        <v>0</v>
      </c>
      <c r="G5" t="n">
        <v>0</v>
      </c>
      <c r="H5" t="n">
        <v>338644.1170944</v>
      </c>
      <c r="I5" t="n">
        <v>601437.8704895999</v>
      </c>
      <c r="J5" t="n">
        <v>0</v>
      </c>
      <c r="K5" t="n">
        <v>0</v>
      </c>
      <c r="L5" t="n">
        <v>424599.9353855999</v>
      </c>
      <c r="M5" t="n">
        <v>696303.1572479999</v>
      </c>
      <c r="N5" t="n">
        <v>0</v>
      </c>
      <c r="O5" t="n">
        <v>263711.78</v>
      </c>
    </row>
    <row r="6">
      <c r="A6" t="n">
        <v>2028</v>
      </c>
      <c r="B6" t="n">
        <v>36373.24431615</v>
      </c>
      <c r="C6" t="n">
        <v>51961.7775945</v>
      </c>
      <c r="D6" t="n">
        <v>77942.66639175</v>
      </c>
      <c r="E6" t="n">
        <v>144440</v>
      </c>
      <c r="F6" t="n">
        <v>0</v>
      </c>
      <c r="G6" t="n">
        <v>0</v>
      </c>
      <c r="H6" t="n">
        <v>325098.352410624</v>
      </c>
      <c r="I6" t="n">
        <v>577380.3556700159</v>
      </c>
      <c r="J6" t="n">
        <v>0</v>
      </c>
      <c r="K6" t="n">
        <v>0</v>
      </c>
      <c r="L6" t="n">
        <v>407615.9379701759</v>
      </c>
      <c r="M6" t="n">
        <v>668451.0309580798</v>
      </c>
      <c r="N6" t="n">
        <v>0</v>
      </c>
      <c r="O6" t="n">
        <v>258350.32</v>
      </c>
    </row>
    <row r="7">
      <c r="A7" t="n">
        <v>2029</v>
      </c>
      <c r="B7" t="n">
        <v>35827.64565140775</v>
      </c>
      <c r="C7" t="n">
        <v>51182.3509305825</v>
      </c>
      <c r="D7" t="n">
        <v>76773.52639587375</v>
      </c>
      <c r="E7" t="n">
        <v>143060</v>
      </c>
      <c r="F7" t="n">
        <v>0</v>
      </c>
      <c r="G7" t="n">
        <v>0</v>
      </c>
      <c r="H7" t="n">
        <v>312094.418314199</v>
      </c>
      <c r="I7" t="n">
        <v>554285.1414432153</v>
      </c>
      <c r="J7" t="n">
        <v>0</v>
      </c>
      <c r="K7" t="n">
        <v>0</v>
      </c>
      <c r="L7" t="n">
        <v>391311.3004513689</v>
      </c>
      <c r="M7" t="n">
        <v>641712.9897197566</v>
      </c>
      <c r="N7" t="n">
        <v>0</v>
      </c>
      <c r="O7" t="n">
        <v>253093.46</v>
      </c>
    </row>
    <row r="8">
      <c r="A8" t="n">
        <v>2030</v>
      </c>
      <c r="B8" t="n">
        <v>35290.23096663663</v>
      </c>
      <c r="C8" t="n">
        <v>50414.61566662376</v>
      </c>
      <c r="D8" t="n">
        <v>75621.92349993564</v>
      </c>
      <c r="E8" t="n">
        <v>141680</v>
      </c>
      <c r="F8" t="n">
        <v>0</v>
      </c>
      <c r="G8" t="n">
        <v>0</v>
      </c>
      <c r="H8" t="n">
        <v>299610.641581631</v>
      </c>
      <c r="I8" t="n">
        <v>532113.7357854866</v>
      </c>
      <c r="J8" t="n">
        <v>0</v>
      </c>
      <c r="K8" t="n">
        <v>0</v>
      </c>
      <c r="L8" t="n">
        <v>375658.8484333141</v>
      </c>
      <c r="M8" t="n">
        <v>616044.4701309664</v>
      </c>
      <c r="N8" t="n">
        <v>0</v>
      </c>
      <c r="O8" t="n">
        <v>247939.65</v>
      </c>
    </row>
    <row r="9">
      <c r="A9" t="n">
        <v>2031</v>
      </c>
      <c r="B9" t="n">
        <v>34760.87750213708</v>
      </c>
      <c r="C9" t="n">
        <v>49658.3964316244</v>
      </c>
      <c r="D9" t="n">
        <v>74487.59464743661</v>
      </c>
      <c r="E9" t="n">
        <v>140300</v>
      </c>
      <c r="F9" t="n">
        <v>0</v>
      </c>
      <c r="G9" t="n">
        <v>0</v>
      </c>
      <c r="H9" t="n">
        <v>287626.2159183658</v>
      </c>
      <c r="I9" t="n">
        <v>510829.1863540672</v>
      </c>
      <c r="J9" t="n">
        <v>0</v>
      </c>
      <c r="K9" t="n">
        <v>0</v>
      </c>
      <c r="L9" t="n">
        <v>360632.4944959815</v>
      </c>
      <c r="M9" t="n">
        <v>591402.6913257277</v>
      </c>
      <c r="N9" t="n">
        <v>0</v>
      </c>
      <c r="O9" t="n">
        <v>242887.37</v>
      </c>
    </row>
    <row r="10">
      <c r="A10" t="n">
        <v>2032</v>
      </c>
      <c r="B10" t="n">
        <v>34239.46433960502</v>
      </c>
      <c r="C10" t="n">
        <v>48913.52048515004</v>
      </c>
      <c r="D10" t="n">
        <v>73370.28072772505</v>
      </c>
      <c r="E10" t="n">
        <v>138920</v>
      </c>
      <c r="F10" t="n">
        <v>0</v>
      </c>
      <c r="G10" t="n">
        <v>0</v>
      </c>
      <c r="H10" t="n">
        <v>276121.1672816311</v>
      </c>
      <c r="I10" t="n">
        <v>490396.0188999044</v>
      </c>
      <c r="J10" t="n">
        <v>0</v>
      </c>
      <c r="K10" t="n">
        <v>0</v>
      </c>
      <c r="L10" t="n">
        <v>346207.1947161422</v>
      </c>
      <c r="M10" t="n">
        <v>567746.5836726986</v>
      </c>
      <c r="N10" t="n">
        <v>0</v>
      </c>
      <c r="O10" t="n">
        <v>237935.1</v>
      </c>
    </row>
    <row r="11">
      <c r="A11" t="n">
        <v>2033</v>
      </c>
      <c r="B11" t="n">
        <v>33725.87237451095</v>
      </c>
      <c r="C11" t="n">
        <v>48179.81767787279</v>
      </c>
      <c r="D11" t="n">
        <v>72269.72651680918</v>
      </c>
      <c r="E11" t="n">
        <v>137540</v>
      </c>
      <c r="F11" t="n">
        <v>0</v>
      </c>
      <c r="G11" t="n">
        <v>0</v>
      </c>
      <c r="H11" t="n">
        <v>265076.3205903659</v>
      </c>
      <c r="I11" t="n">
        <v>470780.1781439083</v>
      </c>
      <c r="J11" t="n">
        <v>0</v>
      </c>
      <c r="K11" t="n">
        <v>0</v>
      </c>
      <c r="L11" t="n">
        <v>332358.9069274965</v>
      </c>
      <c r="M11" t="n">
        <v>545036.7203257906</v>
      </c>
      <c r="N11" t="n">
        <v>0</v>
      </c>
      <c r="O11" t="n">
        <v>233081.4</v>
      </c>
    </row>
    <row r="12">
      <c r="A12" t="n">
        <v>2034</v>
      </c>
      <c r="B12" t="n">
        <v>33219.98428889328</v>
      </c>
      <c r="C12" t="n">
        <v>47457.12041270469</v>
      </c>
      <c r="D12" t="n">
        <v>71185.68061905705</v>
      </c>
      <c r="E12" t="n">
        <v>136160</v>
      </c>
      <c r="F12" t="n">
        <v>0</v>
      </c>
      <c r="G12" t="n">
        <v>0</v>
      </c>
      <c r="H12" t="n">
        <v>254473.2677667513</v>
      </c>
      <c r="I12" t="n">
        <v>451948.9710181519</v>
      </c>
      <c r="J12" t="n">
        <v>0</v>
      </c>
      <c r="K12" t="n">
        <v>0</v>
      </c>
      <c r="L12" t="n">
        <v>319064.5506503966</v>
      </c>
      <c r="M12" t="n">
        <v>523235.251512759</v>
      </c>
      <c r="N12" t="n">
        <v>0</v>
      </c>
      <c r="O12" t="n">
        <v>228324.82</v>
      </c>
    </row>
    <row r="13">
      <c r="A13" t="n">
        <v>2035</v>
      </c>
      <c r="B13" t="n">
        <v>32721.68452455989</v>
      </c>
      <c r="C13" t="n">
        <v>46745.26360651413</v>
      </c>
      <c r="D13" t="n">
        <v>70117.8954097712</v>
      </c>
      <c r="E13" t="n">
        <v>134780</v>
      </c>
      <c r="F13" t="n">
        <v>0</v>
      </c>
      <c r="G13" t="n">
        <v>0</v>
      </c>
      <c r="H13" t="n">
        <v>244294.3370560812</v>
      </c>
      <c r="I13" t="n">
        <v>433871.0121774258</v>
      </c>
      <c r="J13" t="n">
        <v>0</v>
      </c>
      <c r="K13" t="n">
        <v>0</v>
      </c>
      <c r="L13" t="n">
        <v>306301.9686243808</v>
      </c>
      <c r="M13" t="n">
        <v>502305.8414522486</v>
      </c>
      <c r="N13" t="n">
        <v>0</v>
      </c>
      <c r="O13" t="n">
        <v>223663.91</v>
      </c>
    </row>
    <row r="14">
      <c r="A14" t="n">
        <v>2036</v>
      </c>
      <c r="B14" t="n">
        <v>32230.85925669148</v>
      </c>
      <c r="C14" t="n">
        <v>46044.08465241642</v>
      </c>
      <c r="D14" t="n">
        <v>69066.12697862463</v>
      </c>
      <c r="E14" t="n">
        <v>133400</v>
      </c>
      <c r="F14" t="n">
        <v>0</v>
      </c>
      <c r="G14" t="n">
        <v>0</v>
      </c>
      <c r="H14" t="n">
        <v>234522.5635738379</v>
      </c>
      <c r="I14" t="n">
        <v>416516.1716903287</v>
      </c>
      <c r="J14" t="n">
        <v>0</v>
      </c>
      <c r="K14" t="n">
        <v>0</v>
      </c>
      <c r="L14" t="n">
        <v>294049.8898794055</v>
      </c>
      <c r="M14" t="n">
        <v>482213.6077941586</v>
      </c>
      <c r="N14" t="n">
        <v>0</v>
      </c>
      <c r="O14" t="n">
        <v>219097.32</v>
      </c>
    </row>
    <row r="15">
      <c r="A15" t="n">
        <v>2037</v>
      </c>
      <c r="B15" t="n">
        <v>31747.39636784111</v>
      </c>
      <c r="C15" t="n">
        <v>45353.42338263017</v>
      </c>
      <c r="D15" t="n">
        <v>68030.13507394526</v>
      </c>
      <c r="E15" t="n">
        <v>132020</v>
      </c>
      <c r="F15" t="n">
        <v>0</v>
      </c>
      <c r="G15" t="n">
        <v>0</v>
      </c>
      <c r="H15" t="n">
        <v>225141.6610308844</v>
      </c>
      <c r="I15" t="n">
        <v>399855.5248227156</v>
      </c>
      <c r="J15" t="n">
        <v>0</v>
      </c>
      <c r="K15" t="n">
        <v>0</v>
      </c>
      <c r="L15" t="n">
        <v>282287.8942842293</v>
      </c>
      <c r="M15" t="n">
        <v>462925.0634823923</v>
      </c>
      <c r="N15" t="n">
        <v>0</v>
      </c>
      <c r="O15" t="n">
        <v>214623.65</v>
      </c>
    </row>
    <row r="16">
      <c r="A16" t="n">
        <v>2038</v>
      </c>
      <c r="B16" t="n">
        <v>31271.1854223235</v>
      </c>
      <c r="C16" t="n">
        <v>44673.12203189072</v>
      </c>
      <c r="D16" t="n">
        <v>67009.68304783608</v>
      </c>
      <c r="E16" t="n">
        <v>130640</v>
      </c>
      <c r="F16" t="n">
        <v>0</v>
      </c>
      <c r="G16" t="n">
        <v>0</v>
      </c>
      <c r="H16" t="n">
        <v>216135.994589649</v>
      </c>
      <c r="I16" t="n">
        <v>383861.3038298069</v>
      </c>
      <c r="J16" t="n">
        <v>0</v>
      </c>
      <c r="K16" t="n">
        <v>0</v>
      </c>
      <c r="L16" t="n">
        <v>270996.3785128601</v>
      </c>
      <c r="M16" t="n">
        <v>444408.0609430966</v>
      </c>
      <c r="N16" t="n">
        <v>0</v>
      </c>
      <c r="O16" t="n">
        <v>210241.6</v>
      </c>
    </row>
    <row r="17">
      <c r="A17" t="n">
        <v>2039</v>
      </c>
      <c r="B17" t="n">
        <v>30802.11764098864</v>
      </c>
      <c r="C17" t="n">
        <v>44003.02520141236</v>
      </c>
      <c r="D17" t="n">
        <v>66004.53780211853</v>
      </c>
      <c r="E17" t="n">
        <v>129260</v>
      </c>
      <c r="F17" t="n">
        <v>0</v>
      </c>
      <c r="G17" t="n">
        <v>0</v>
      </c>
      <c r="H17" t="n">
        <v>207490.5548060631</v>
      </c>
      <c r="I17" t="n">
        <v>368506.8516766146</v>
      </c>
      <c r="J17" t="n">
        <v>0</v>
      </c>
      <c r="K17" t="n">
        <v>0</v>
      </c>
      <c r="L17" t="n">
        <v>260156.5233723457</v>
      </c>
      <c r="M17" t="n">
        <v>426631.7385053727</v>
      </c>
      <c r="N17" t="n">
        <v>0</v>
      </c>
      <c r="O17" t="n">
        <v>205949.84</v>
      </c>
    </row>
    <row r="18">
      <c r="A18" t="n">
        <v>2040</v>
      </c>
      <c r="B18" t="n">
        <v>30340.08587637381</v>
      </c>
      <c r="C18" t="n">
        <v>43342.97982339118</v>
      </c>
      <c r="D18" t="n">
        <v>65014.46973508675</v>
      </c>
      <c r="E18" t="n">
        <v>127880</v>
      </c>
      <c r="F18" t="n">
        <v>0</v>
      </c>
      <c r="G18" t="n">
        <v>0</v>
      </c>
      <c r="H18" t="n">
        <v>199190.9326138205</v>
      </c>
      <c r="I18" t="n">
        <v>353766.57760955</v>
      </c>
      <c r="J18" t="n">
        <v>0</v>
      </c>
      <c r="K18" t="n">
        <v>0</v>
      </c>
      <c r="L18" t="n">
        <v>249750.2624374519</v>
      </c>
      <c r="M18" t="n">
        <v>409566.4689651578</v>
      </c>
      <c r="N18" t="n">
        <v>0</v>
      </c>
      <c r="O18" t="n">
        <v>201747.12</v>
      </c>
    </row>
    <row r="19">
      <c r="A19" t="n">
        <v>2041</v>
      </c>
      <c r="B19" t="n">
        <v>29884.98458822821</v>
      </c>
      <c r="C19" t="n">
        <v>42692.83512604031</v>
      </c>
      <c r="D19" t="n">
        <v>64039.25268906045</v>
      </c>
      <c r="E19" t="n">
        <v>126500</v>
      </c>
      <c r="F19" t="n">
        <v>0</v>
      </c>
      <c r="G19" t="n">
        <v>0</v>
      </c>
      <c r="H19" t="n">
        <v>191223.2953092677</v>
      </c>
      <c r="I19" t="n">
        <v>339615.914505168</v>
      </c>
      <c r="J19" t="n">
        <v>0</v>
      </c>
      <c r="K19" t="n">
        <v>0</v>
      </c>
      <c r="L19" t="n">
        <v>239760.2519399538</v>
      </c>
      <c r="M19" t="n">
        <v>393183.8102065515</v>
      </c>
      <c r="N19" t="n">
        <v>0</v>
      </c>
      <c r="O19" t="n">
        <v>197632.19</v>
      </c>
    </row>
    <row r="20">
      <c r="A20" t="n">
        <v>2042</v>
      </c>
      <c r="B20" t="n">
        <v>29436.70981940478</v>
      </c>
      <c r="C20" t="n">
        <v>42052.4425991497</v>
      </c>
      <c r="D20" t="n">
        <v>63078.66389872454</v>
      </c>
      <c r="E20" t="n">
        <v>125120</v>
      </c>
      <c r="F20" t="n">
        <v>0</v>
      </c>
      <c r="G20" t="n">
        <v>0</v>
      </c>
      <c r="H20" t="n">
        <v>183574.363496897</v>
      </c>
      <c r="I20" t="n">
        <v>326031.2779249613</v>
      </c>
      <c r="J20" t="n">
        <v>0</v>
      </c>
      <c r="K20" t="n">
        <v>0</v>
      </c>
      <c r="L20" t="n">
        <v>230169.8418623556</v>
      </c>
      <c r="M20" t="n">
        <v>377456.4577982894</v>
      </c>
      <c r="N20" t="n">
        <v>0</v>
      </c>
      <c r="O20" t="n">
        <v>193603.83</v>
      </c>
    </row>
    <row r="21">
      <c r="A21" t="n">
        <v>2043</v>
      </c>
      <c r="B21" t="n">
        <v>28995.15917211371</v>
      </c>
      <c r="C21" t="n">
        <v>41421.65596016246</v>
      </c>
      <c r="D21" t="n">
        <v>62132.48394024367</v>
      </c>
      <c r="E21" t="n">
        <v>123740</v>
      </c>
      <c r="F21" t="n">
        <v>0</v>
      </c>
      <c r="G21" t="n">
        <v>0</v>
      </c>
      <c r="H21" t="n">
        <v>176231.3889570211</v>
      </c>
      <c r="I21" t="n">
        <v>312990.0268079629</v>
      </c>
      <c r="J21" t="n">
        <v>0</v>
      </c>
      <c r="K21" t="n">
        <v>0</v>
      </c>
      <c r="L21" t="n">
        <v>220963.0481878614</v>
      </c>
      <c r="M21" t="n">
        <v>362358.1994863578</v>
      </c>
      <c r="N21" t="n">
        <v>0</v>
      </c>
      <c r="O21" t="n">
        <v>189660.87</v>
      </c>
    </row>
    <row r="22">
      <c r="A22" t="n">
        <v>2044</v>
      </c>
      <c r="B22" t="n">
        <v>28560.23178453201</v>
      </c>
      <c r="C22" t="n">
        <v>40800.33112076003</v>
      </c>
      <c r="D22" t="n">
        <v>61200.49668114002</v>
      </c>
      <c r="E22" t="n">
        <v>122360</v>
      </c>
      <c r="F22" t="n">
        <v>0</v>
      </c>
      <c r="G22" t="n">
        <v>0</v>
      </c>
      <c r="H22" t="n">
        <v>169182.1333987402</v>
      </c>
      <c r="I22" t="n">
        <v>300470.4257356444</v>
      </c>
      <c r="J22" t="n">
        <v>0</v>
      </c>
      <c r="K22" t="n">
        <v>0</v>
      </c>
      <c r="L22" t="n">
        <v>212124.5262603469</v>
      </c>
      <c r="M22" t="n">
        <v>347863.8715069035</v>
      </c>
      <c r="N22" t="n">
        <v>0</v>
      </c>
      <c r="O22" t="n">
        <v>185802.14</v>
      </c>
    </row>
    <row r="23">
      <c r="A23" t="n">
        <v>2045</v>
      </c>
      <c r="B23" t="n">
        <v>28131.82830776403</v>
      </c>
      <c r="C23" t="n">
        <v>40188.32615394863</v>
      </c>
      <c r="D23" t="n">
        <v>60282.48923092291</v>
      </c>
      <c r="E23" t="n">
        <v>120980</v>
      </c>
      <c r="F23" t="n">
        <v>0</v>
      </c>
      <c r="G23" t="n">
        <v>0</v>
      </c>
      <c r="H23" t="n">
        <v>162414.8480627906</v>
      </c>
      <c r="I23" t="n">
        <v>288451.6087062186</v>
      </c>
      <c r="J23" t="n">
        <v>0</v>
      </c>
      <c r="K23" t="n">
        <v>0</v>
      </c>
      <c r="L23" t="n">
        <v>203639.545209933</v>
      </c>
      <c r="M23" t="n">
        <v>333949.3166466273</v>
      </c>
      <c r="N23" t="n">
        <v>0</v>
      </c>
      <c r="O23" t="n">
        <v>182026.51</v>
      </c>
    </row>
    <row r="24">
      <c r="A24" t="n">
        <v>2046</v>
      </c>
      <c r="B24" t="n">
        <v>27709.85088314757</v>
      </c>
      <c r="C24" t="n">
        <v>39585.50126163939</v>
      </c>
      <c r="D24" t="n">
        <v>59378.25189245907</v>
      </c>
      <c r="E24" t="n">
        <v>119600</v>
      </c>
      <c r="F24" t="n">
        <v>0</v>
      </c>
      <c r="G24" t="n">
        <v>0</v>
      </c>
      <c r="H24" t="n">
        <v>155918.254140279</v>
      </c>
      <c r="I24" t="n">
        <v>276913.5443579698</v>
      </c>
      <c r="J24" t="n">
        <v>0</v>
      </c>
      <c r="K24" t="n">
        <v>0</v>
      </c>
      <c r="L24" t="n">
        <v>195493.9634015357</v>
      </c>
      <c r="M24" t="n">
        <v>320591.3439807622</v>
      </c>
      <c r="N24" t="n">
        <v>0</v>
      </c>
      <c r="O24" t="n">
        <v>178332.87</v>
      </c>
    </row>
    <row r="25">
      <c r="A25" t="n">
        <v>2047</v>
      </c>
      <c r="B25" t="n">
        <v>27294.20311990035</v>
      </c>
      <c r="C25" t="n">
        <v>38991.7187427148</v>
      </c>
      <c r="D25" t="n">
        <v>58487.57811407218</v>
      </c>
      <c r="E25" t="n">
        <v>118220</v>
      </c>
      <c r="F25" t="n">
        <v>0</v>
      </c>
      <c r="G25" t="n">
        <v>0</v>
      </c>
      <c r="H25" t="n">
        <v>149681.5239746678</v>
      </c>
      <c r="I25" t="n">
        <v>265837.002583651</v>
      </c>
      <c r="J25" t="n">
        <v>0</v>
      </c>
      <c r="K25" t="n">
        <v>0</v>
      </c>
      <c r="L25" t="n">
        <v>187674.2048654743</v>
      </c>
      <c r="M25" t="n">
        <v>307767.6902215317</v>
      </c>
      <c r="N25" t="n">
        <v>0</v>
      </c>
      <c r="O25" t="n">
        <v>174720.11</v>
      </c>
    </row>
    <row r="26">
      <c r="A26" t="n">
        <v>2048</v>
      </c>
      <c r="B26" t="n">
        <v>26884.79007310185</v>
      </c>
      <c r="C26" t="n">
        <v>38406.84296157408</v>
      </c>
      <c r="D26" t="n">
        <v>57610.2644423611</v>
      </c>
      <c r="E26" t="n">
        <v>116840</v>
      </c>
      <c r="F26" t="n">
        <v>0</v>
      </c>
      <c r="G26" t="n">
        <v>0</v>
      </c>
      <c r="H26" t="n">
        <v>143694.2630156811</v>
      </c>
      <c r="I26" t="n">
        <v>255203.522480305</v>
      </c>
      <c r="J26" t="n">
        <v>0</v>
      </c>
      <c r="K26" t="n">
        <v>0</v>
      </c>
      <c r="L26" t="n">
        <v>180167.2366708553</v>
      </c>
      <c r="M26" t="n">
        <v>295456.9826126705</v>
      </c>
      <c r="N26" t="n">
        <v>0</v>
      </c>
      <c r="O26" t="n">
        <v>171187.17</v>
      </c>
    </row>
    <row r="27">
      <c r="A27" t="n">
        <v>2049</v>
      </c>
      <c r="B27" t="n">
        <v>26481.51822200532</v>
      </c>
      <c r="C27" t="n">
        <v>37830.74031715047</v>
      </c>
      <c r="D27" t="n">
        <v>56746.11047572568</v>
      </c>
      <c r="E27" t="n">
        <v>115460</v>
      </c>
      <c r="F27" t="n">
        <v>0</v>
      </c>
      <c r="G27" t="n">
        <v>0</v>
      </c>
      <c r="H27" t="n">
        <v>137946.4924950539</v>
      </c>
      <c r="I27" t="n">
        <v>244995.3815810928</v>
      </c>
      <c r="J27" t="n">
        <v>0</v>
      </c>
      <c r="K27" t="n">
        <v>0</v>
      </c>
      <c r="L27" t="n">
        <v>172960.5472040211</v>
      </c>
      <c r="M27" t="n">
        <v>283638.7033081636</v>
      </c>
      <c r="N27" t="n">
        <v>0</v>
      </c>
      <c r="O27" t="n">
        <v>167732.98</v>
      </c>
    </row>
    <row r="28">
      <c r="A28" t="n">
        <v>2050</v>
      </c>
      <c r="B28" t="n">
        <v>26084.29544867524</v>
      </c>
      <c r="C28" t="n">
        <v>37263.27921239322</v>
      </c>
      <c r="D28" t="n">
        <v>55894.91881858979</v>
      </c>
      <c r="E28" t="n">
        <v>114080</v>
      </c>
      <c r="F28" t="n">
        <v>0</v>
      </c>
      <c r="G28" t="n">
        <v>0</v>
      </c>
      <c r="H28" t="n">
        <v>132428.6327952517</v>
      </c>
      <c r="I28" t="n">
        <v>235195.5663178491</v>
      </c>
      <c r="J28" t="n">
        <v>0</v>
      </c>
      <c r="K28" t="n">
        <v>0</v>
      </c>
      <c r="L28" t="n">
        <v>166042.1253158602</v>
      </c>
      <c r="M28" t="n">
        <v>272293.155175837</v>
      </c>
      <c r="N28" t="n">
        <v>0</v>
      </c>
      <c r="O28" t="n">
        <v>164356.52</v>
      </c>
    </row>
    <row r="33">
      <c r="B33" s="17" t="n"/>
    </row>
    <row r="34">
      <c r="G34" s="16" t="n"/>
    </row>
  </sheetData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Oitzinger, Maximilian</dc:creator>
  <dcterms:created xsi:type="dcterms:W3CDTF">2024-10-11T10:38:55Z</dcterms:created>
  <dcterms:modified xsi:type="dcterms:W3CDTF">2026-10-26T15:59:49Z</dcterms:modified>
  <cp:lastModifiedBy>Max Oitzinger</cp:lastModifiedBy>
</cp:coreProperties>
</file>