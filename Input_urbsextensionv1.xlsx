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372" documentId="13_ncr:1_{A1CEE875-B6E7-4616-ADB8-CAA4FD821F6B}" xr6:coauthVersionLast="47" xr6:coauthVersionMax="47" xr10:uidLastSave="{2DDDAFC0-16ED-4EDE-85EF-DEE291449E41}"/>
  <bookViews>
    <workbookView xWindow="-120" yWindow="-120" windowWidth="29040" windowHeight="17520" firstSheet="15" activeTab="19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ecommissioning" sheetId="26" r:id="rId6"/>
    <sheet name="dcr" sheetId="6" r:id="rId7"/>
    <sheet name="stocklvl" sheetId="7" r:id="rId8"/>
    <sheet name="installable_capacity" sheetId="3" r:id="rId9"/>
    <sheet name="gas_block" sheetId="13" r:id="rId10"/>
    <sheet name="Tech_Stage_Specs" sheetId="14" r:id="rId11"/>
    <sheet name="Material_Intensity" sheetId="15" r:id="rId12"/>
    <sheet name="Recycling_Costs" sheetId="27" r:id="rId13"/>
    <sheet name="material_blocks" sheetId="25" r:id="rId14"/>
    <sheet name="mining_limit" sheetId="20" r:id="rId15"/>
    <sheet name="mining_cost" sheetId="21" r:id="rId16"/>
    <sheet name="import_cost_mining" sheetId="22" r:id="rId17"/>
    <sheet name="energy_transition_factor" sheetId="23" r:id="rId18"/>
    <sheet name="ore_metal_factor" sheetId="24" r:id="rId19"/>
    <sheet name="Component_Map" sheetId="18" r:id="rId20"/>
    <sheet name="Cost_Data" sheetId="16" r:id="rId21"/>
    <sheet name="Import_Cost_Stage" sheetId="19" r:id="rId22"/>
  </sheets>
  <definedNames>
    <definedName name="_xlnm._FilterDatabase" localSheetId="9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5" l="1"/>
  <c r="I3" i="25" s="1"/>
  <c r="H4" i="25"/>
  <c r="I4" i="25"/>
  <c r="H5" i="25"/>
  <c r="I5" i="25"/>
  <c r="H6" i="25"/>
  <c r="I6" i="25"/>
  <c r="H7" i="25"/>
  <c r="I7" i="25"/>
  <c r="H8" i="25"/>
  <c r="I8" i="25"/>
  <c r="H9" i="25"/>
  <c r="I9" i="25"/>
  <c r="H10" i="25"/>
  <c r="I10" i="25"/>
  <c r="H11" i="25"/>
  <c r="I11" i="25"/>
  <c r="H12" i="25"/>
  <c r="I12" i="25" s="1"/>
  <c r="H13" i="25"/>
  <c r="I13" i="25"/>
  <c r="H14" i="25"/>
  <c r="I14" i="25"/>
  <c r="H15" i="25"/>
  <c r="I15" i="25"/>
  <c r="H16" i="25"/>
  <c r="I16" i="25"/>
  <c r="H17" i="25"/>
  <c r="I17" i="25"/>
  <c r="H18" i="25"/>
  <c r="I18" i="25"/>
  <c r="H19" i="25"/>
  <c r="I19" i="25"/>
  <c r="H20" i="25"/>
  <c r="I20" i="25"/>
  <c r="H21" i="25"/>
  <c r="I21" i="25"/>
  <c r="H22" i="25"/>
  <c r="I22" i="25"/>
  <c r="H23" i="25"/>
  <c r="I23" i="25"/>
  <c r="H24" i="25"/>
  <c r="I24" i="25"/>
  <c r="H25" i="25"/>
  <c r="I25" i="25"/>
  <c r="H26" i="25"/>
  <c r="I26" i="25"/>
  <c r="I2" i="25"/>
  <c r="H2" i="25"/>
  <c r="C9" i="13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<sst xmlns="http://schemas.openxmlformats.org/spreadsheetml/2006/main" count="737" uniqueCount="203">
  <si>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</si>
  <si>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</si>
  <si>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</si>
  <si>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</si>
  <si>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</si>
  <si>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</si>
  <si>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</si>
  <si>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</si>
  <si>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</si>
  <si>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</si>
  <si>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</si>
  <si>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</si>
  <si>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</si>
  <si>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</si>
  <si>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</si>
  <si>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</si>
  <si>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</si>
  <si>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</si>
  <si>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</si>
  <si>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</si>
  <si>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</si>
  <si>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</si>
  <si>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</si>
  <si>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</si>
  <si>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</si>
  <si>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</si>
  <si>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</si>
  <si>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</si>
  <si>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</si>
  <si>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</si>
  <si>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</si>
  <si>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</si>
  <si>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</si>
  <si>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</si>
  <si>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</si>
  <si>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</si>
  <si>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</si>
  <si>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</si>
  <si>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</si>
  <si>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</si>
  <si>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</si>
  <si>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</si>
  <si>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</si>
  <si>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</si>
  <si>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</si>
  <si>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</si>
  <si>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</si>
  <si>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</si>
  <si>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</si>
  <si>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</si>
  <si>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</si>
  <si>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</si>
  <si>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</si>
  <si>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</si>
  <si>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</si>
  <si>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</si>
  <si>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</si>
  <si>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</si>
  <si>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</si>
  <si>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</si>
  <si>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</si>
  <si>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</si>
  <si>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</si>
  <si>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</si>
  <si>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</si>
  <si>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</si>
  <si>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</si>
  <si>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</si>
  <si>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</si>
  <si>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</si>
  <si>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</si>
  <si>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</si>
  <si>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</si>
  <si>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</si>
  <si>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</si>
  <si>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</si>
  <si>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</si>
  <si>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</si>
  <si>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</si>
  <si>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</si>
  <si>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</si>
  <si>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</si>
  <si>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</si>
  <si>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</si>
  <si>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</si>
  <si>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</si>
  <si>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</si>
  <si>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</si>
  <si>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</si>
  <si>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</si>
  <si>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</si>
  <si>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</si>
  <si>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</si>
  <si>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</si>
  <si>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</si>
  <si>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</si>
  <si>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</si>
  <si>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</si>
  <si>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</si>
  <si>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</si>
  <si>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</si>
  <si>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</si>
  <si>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</si>
  <si>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</si>
  <si>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</si>
  <si>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</si>
  <si>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</si>
  <si>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</si>
  <si>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</si>
  <si>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</si>
  <si>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</si>
  <si>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</si>
  <si>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</si>
  <si>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</si>
  <si>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</si>
  <si>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</si>
  <si>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</si>
  <si>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</si>
  <si>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</si>
  <si>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</si>
  <si>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</si>
  <si>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</si>
  <si>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</si>
  <si>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</si>
  <si>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</si>
  <si>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</si>
  <si>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</si>
  <si>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</si>
  <si>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</si>
  <si>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</si>
  <si>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</si>
  <si>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</si>
  <si>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</si>
  <si>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</si>
  <si>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</si>
  <si>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</si>
  <si>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</si>
  <si>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</si>
  <si>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</si>
  <si>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</si>
  <si>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</si>
  <si>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</si>
  <si>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</si>
  <si>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</si>
  <si>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</si>
  <si>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</si>
  <si>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</si>
  <si>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</si>
  <si>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</si>
  <si>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</si>
  <si>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</si>
  <si>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</si>
  <si>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</si>
  <si>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</si>
  <si>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</si>
  <si>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</si>
  <si>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</si>
  <si>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</si>
  <si>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</si>
  <si>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</si>
  <si>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</si>
  <si>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</si>
  <si>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</si>
  <si>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</si>
  <si>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</si>
  <si>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</si>
  <si>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</si>
  <si>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</si>
  <si>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</si>
  <si>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</si>
  <si>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</si>
  <si>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</si>
  <si>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</si>
  <si>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</si>
  <si>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</si>
  <si>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</si>
  <si>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</si>
  <si>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</si>
  <si>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</si>
  <si>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</si>
  <si>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</si>
  <si>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</si>
  <si>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</si>
  <si>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</si>
  <si>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</si>
  <si>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</si>
  <si>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</si>
  <si>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</si>
  <si>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</si>
  <si>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</si>
  <si>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</si>
  <si>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</si>
  <si>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</si>
  <si>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</si>
  <si>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>Installed wind energy capacity</t>
  </si>
  <si>
    <t>capex_magnet</t>
  </si>
  <si>
    <t>capex_bulk</t>
  </si>
  <si>
    <t>capex</t>
  </si>
  <si>
    <t>opex_var</t>
  </si>
  <si>
    <t>opex_fixed_magnet</t>
  </si>
  <si>
    <t>opex_var_magnet</t>
  </si>
  <si>
    <t>opex_fixed_bulk</t>
  </si>
  <si>
    <t>opex_var_bulk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</si>
</sst>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0" fillId="0" borderId="0" xfId="11"/>
    <xf numFmtId="0" fontId="1" fillId="0" borderId="3" xfId="0" applyFont="1" applyBorder="1" applyAlignment="1">
      <alignment horizontal="center" vertical="top"/>
    </xf>
  </cellXfs>
  <cellStyles count="12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Link" xfId="11" builtinId="8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workbookViewId="0">
      <selection activeCell="L14" sqref="L14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D24" sqref="D24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68.997492539999996</v>
      </c>
      <c r="Q2" s="6">
        <v>68.997492539999996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6.4290486009999999</v>
      </c>
      <c r="Q3" s="6">
        <v>6.4290486009999999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8.0020722230000008</v>
      </c>
      <c r="Q4" s="6">
        <v>8.0020722230000008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037-FB6F-4527-A823-BAF75500CD20}">
  <dimension ref="A1:H28"/>
  <sheetViews>
    <sheetView workbookViewId="0">
      <selection activeCell="I17" sqref="I17"/>
    </sheetView>
  </sheetViews>
  <sheetFormatPr baseColWidth="10" defaultRowHeight="15" x14ac:dyDescent="0.25"/>
  <sheetData>
    <row r="1" spans="1:8" x14ac:dyDescent="0.25">
      <c r="A1" t="s">
        <v>89</v>
      </c>
      <c r="B1" t="s">
        <v>75</v>
      </c>
      <c r="C1" t="s">
        <v>76</v>
      </c>
      <c r="D1" t="s">
        <v>77</v>
      </c>
      <c r="H1" s="23" t="s">
        <v>194</v>
      </c>
    </row>
    <row r="2" spans="1:8" x14ac:dyDescent="0.25">
      <c r="A2">
        <v>2024</v>
      </c>
      <c r="B2">
        <v>0</v>
      </c>
      <c r="C2">
        <v>5800</v>
      </c>
      <c r="D2">
        <v>100</v>
      </c>
    </row>
    <row r="3" spans="1:8" x14ac:dyDescent="0.25">
      <c r="A3">
        <v>2025</v>
      </c>
      <c r="B3">
        <v>184.39400000000001</v>
      </c>
      <c r="C3">
        <v>5510</v>
      </c>
      <c r="D3">
        <v>100</v>
      </c>
    </row>
    <row r="4" spans="1:8" x14ac:dyDescent="0.25">
      <c r="A4">
        <v>2026</v>
      </c>
      <c r="B4">
        <v>98.009000000000015</v>
      </c>
      <c r="C4">
        <v>6730</v>
      </c>
      <c r="D4">
        <v>100</v>
      </c>
    </row>
    <row r="5" spans="1:8" x14ac:dyDescent="0.25">
      <c r="A5">
        <v>2027</v>
      </c>
      <c r="B5">
        <v>83.361999999999995</v>
      </c>
      <c r="C5">
        <v>7630</v>
      </c>
      <c r="D5">
        <v>200</v>
      </c>
    </row>
    <row r="6" spans="1:8" x14ac:dyDescent="0.25">
      <c r="A6">
        <v>2028</v>
      </c>
      <c r="B6">
        <v>235.08099999999999</v>
      </c>
      <c r="C6">
        <v>6440</v>
      </c>
      <c r="D6">
        <v>250</v>
      </c>
    </row>
    <row r="7" spans="1:8" x14ac:dyDescent="0.25">
      <c r="A7">
        <v>2029</v>
      </c>
      <c r="B7">
        <v>708.94100000000003</v>
      </c>
      <c r="C7">
        <v>10440</v>
      </c>
      <c r="D7">
        <v>300</v>
      </c>
    </row>
    <row r="8" spans="1:8" x14ac:dyDescent="0.25">
      <c r="A8">
        <v>2030</v>
      </c>
      <c r="B8">
        <v>976.00700000000006</v>
      </c>
      <c r="C8">
        <v>7830</v>
      </c>
      <c r="D8">
        <v>250</v>
      </c>
    </row>
    <row r="9" spans="1:8" x14ac:dyDescent="0.25">
      <c r="A9">
        <v>2031</v>
      </c>
      <c r="B9">
        <v>958.91700000000003</v>
      </c>
      <c r="C9">
        <v>7970</v>
      </c>
      <c r="D9">
        <v>500</v>
      </c>
    </row>
    <row r="10" spans="1:8" x14ac:dyDescent="0.25">
      <c r="A10">
        <v>2032</v>
      </c>
      <c r="B10">
        <v>1763.2419999999995</v>
      </c>
      <c r="C10">
        <v>9150</v>
      </c>
      <c r="D10">
        <v>600</v>
      </c>
    </row>
    <row r="11" spans="1:8" x14ac:dyDescent="0.25">
      <c r="A11">
        <v>2033</v>
      </c>
      <c r="B11">
        <v>5453.0510000000013</v>
      </c>
      <c r="C11">
        <v>7780</v>
      </c>
      <c r="D11">
        <v>700</v>
      </c>
    </row>
    <row r="12" spans="1:8" x14ac:dyDescent="0.25">
      <c r="A12">
        <v>2034</v>
      </c>
      <c r="B12">
        <v>6568.9410000000007</v>
      </c>
      <c r="C12">
        <v>9090</v>
      </c>
      <c r="D12">
        <v>900</v>
      </c>
    </row>
    <row r="13" spans="1:8" x14ac:dyDescent="0.25">
      <c r="A13">
        <v>2035</v>
      </c>
      <c r="B13">
        <v>13458.527</v>
      </c>
      <c r="C13">
        <v>10150</v>
      </c>
      <c r="D13">
        <v>1400</v>
      </c>
    </row>
    <row r="14" spans="1:8" x14ac:dyDescent="0.25">
      <c r="A14">
        <v>2036</v>
      </c>
      <c r="B14">
        <v>22532.142999999996</v>
      </c>
      <c r="C14">
        <v>9600</v>
      </c>
      <c r="D14">
        <v>1200</v>
      </c>
    </row>
    <row r="15" spans="1:8" x14ac:dyDescent="0.25">
      <c r="A15">
        <v>2037</v>
      </c>
      <c r="B15">
        <v>17516.055</v>
      </c>
      <c r="C15">
        <v>9440</v>
      </c>
      <c r="D15">
        <v>1500</v>
      </c>
    </row>
    <row r="16" spans="1:8" x14ac:dyDescent="0.25">
      <c r="A16">
        <v>2038</v>
      </c>
      <c r="B16">
        <v>8474.1800000000039</v>
      </c>
      <c r="C16">
        <v>6900</v>
      </c>
      <c r="D16">
        <v>1400</v>
      </c>
    </row>
    <row r="17" spans="1:4" x14ac:dyDescent="0.25">
      <c r="A17">
        <v>2039</v>
      </c>
      <c r="B17">
        <v>3781.3799999999987</v>
      </c>
      <c r="C17">
        <v>7830</v>
      </c>
      <c r="D17">
        <v>2100</v>
      </c>
    </row>
    <row r="18" spans="1:4" x14ac:dyDescent="0.25">
      <c r="A18">
        <v>2040</v>
      </c>
      <c r="B18">
        <v>3811.8649999999975</v>
      </c>
      <c r="C18">
        <v>7230</v>
      </c>
      <c r="D18">
        <v>2700</v>
      </c>
    </row>
    <row r="19" spans="1:4" x14ac:dyDescent="0.25">
      <c r="A19">
        <v>2041</v>
      </c>
      <c r="B19">
        <v>3577.8349999999932</v>
      </c>
      <c r="C19">
        <v>9860</v>
      </c>
      <c r="D19">
        <v>1000</v>
      </c>
    </row>
    <row r="20" spans="1:4" x14ac:dyDescent="0.25">
      <c r="A20">
        <v>2042</v>
      </c>
      <c r="B20">
        <v>4451.4400000000051</v>
      </c>
      <c r="C20">
        <v>14890</v>
      </c>
      <c r="D20">
        <v>800</v>
      </c>
    </row>
    <row r="21" spans="1:4" x14ac:dyDescent="0.25">
      <c r="A21">
        <v>2043</v>
      </c>
      <c r="B21">
        <v>7438.2240000000056</v>
      </c>
      <c r="C21">
        <v>13340</v>
      </c>
      <c r="D21">
        <v>1900</v>
      </c>
    </row>
    <row r="22" spans="1:4" x14ac:dyDescent="0.25">
      <c r="A22">
        <v>2044</v>
      </c>
      <c r="B22">
        <v>15574.545999999998</v>
      </c>
      <c r="C22" s="7">
        <v>11210</v>
      </c>
      <c r="D22" s="7">
        <v>1200</v>
      </c>
    </row>
    <row r="23" spans="1:4" x14ac:dyDescent="0.25">
      <c r="A23">
        <v>2045</v>
      </c>
      <c r="B23">
        <v>17542.319999999989</v>
      </c>
      <c r="C23">
        <v>0</v>
      </c>
      <c r="D23">
        <v>0</v>
      </c>
    </row>
    <row r="24" spans="1:4" x14ac:dyDescent="0.25">
      <c r="A24">
        <v>2046</v>
      </c>
      <c r="B24">
        <v>25086.870000000006</v>
      </c>
      <c r="C24">
        <v>0</v>
      </c>
      <c r="D24">
        <v>0</v>
      </c>
    </row>
    <row r="25" spans="1:4" x14ac:dyDescent="0.25">
      <c r="A25">
        <v>2047</v>
      </c>
      <c r="B25">
        <v>33666.9</v>
      </c>
      <c r="C25">
        <v>0</v>
      </c>
      <c r="D25">
        <v>0</v>
      </c>
    </row>
    <row r="26" spans="1:4" x14ac:dyDescent="0.25">
      <c r="A26">
        <v>2048</v>
      </c>
      <c r="B26">
        <v>40000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EB3998CC-1E8C-4650-ACE6-5B76E514F038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4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4"/>
      <c r="B3" s="11" t="s">
        <v>70</v>
      </c>
      <c r="C3" s="2">
        <v>1047284444</v>
      </c>
      <c r="D3">
        <v>42.69</v>
      </c>
      <c r="E3" s="2"/>
    </row>
    <row r="4" spans="1:5" x14ac:dyDescent="0.25">
      <c r="A4" s="24"/>
      <c r="B4" s="11" t="s">
        <v>71</v>
      </c>
      <c r="C4" s="2">
        <v>2930833333</v>
      </c>
      <c r="D4">
        <v>150</v>
      </c>
    </row>
    <row r="5" spans="1:5" x14ac:dyDescent="0.25">
      <c r="A5" s="24"/>
      <c r="B5" s="11" t="s">
        <v>68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4"/>
      <c r="B7" s="11" t="s">
        <v>70</v>
      </c>
      <c r="C7" s="2">
        <v>1047284444</v>
      </c>
      <c r="D7">
        <v>42.69</v>
      </c>
    </row>
    <row r="8" spans="1:5" x14ac:dyDescent="0.25">
      <c r="A8" s="24"/>
      <c r="B8" s="11" t="s">
        <v>71</v>
      </c>
      <c r="C8" s="2">
        <v>2930833333</v>
      </c>
      <c r="D8">
        <v>150</v>
      </c>
    </row>
    <row r="9" spans="1:5" x14ac:dyDescent="0.25">
      <c r="A9" s="24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4"/>
      <c r="B11" s="11" t="s">
        <v>70</v>
      </c>
      <c r="C11" s="2">
        <v>1047284444</v>
      </c>
      <c r="D11">
        <v>42.69</v>
      </c>
    </row>
    <row r="12" spans="1:5" x14ac:dyDescent="0.25">
      <c r="A12" s="24"/>
      <c r="B12" s="11" t="s">
        <v>71</v>
      </c>
      <c r="C12" s="2">
        <v>2930833333</v>
      </c>
      <c r="D12">
        <v>150</v>
      </c>
    </row>
    <row r="13" spans="1:5" x14ac:dyDescent="0.25">
      <c r="A13" s="24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4"/>
      <c r="B15" s="11" t="s">
        <v>70</v>
      </c>
      <c r="C15" s="2">
        <v>1047284444</v>
      </c>
      <c r="D15">
        <v>42.69</v>
      </c>
    </row>
    <row r="16" spans="1:5" x14ac:dyDescent="0.25">
      <c r="A16" s="24"/>
      <c r="B16" s="11" t="s">
        <v>71</v>
      </c>
      <c r="C16" s="2">
        <v>2930833333</v>
      </c>
      <c r="D16">
        <v>150</v>
      </c>
    </row>
    <row r="17" spans="1:4" x14ac:dyDescent="0.25">
      <c r="A17" s="24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4"/>
      <c r="B19" s="11" t="s">
        <v>70</v>
      </c>
      <c r="C19" s="2">
        <v>1047284444</v>
      </c>
      <c r="D19">
        <v>42.69</v>
      </c>
    </row>
    <row r="20" spans="1:4" x14ac:dyDescent="0.25">
      <c r="A20" s="24"/>
      <c r="B20" s="11" t="s">
        <v>71</v>
      </c>
      <c r="C20" s="2">
        <v>2930833333</v>
      </c>
      <c r="D20">
        <v>150</v>
      </c>
    </row>
    <row r="21" spans="1:4" x14ac:dyDescent="0.25">
      <c r="A21" s="24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4"/>
      <c r="B23" s="11" t="s">
        <v>70</v>
      </c>
      <c r="C23" s="2">
        <v>1047284444</v>
      </c>
      <c r="D23">
        <v>42.69</v>
      </c>
    </row>
    <row r="24" spans="1:4" x14ac:dyDescent="0.25">
      <c r="A24" s="24"/>
      <c r="B24" s="11" t="s">
        <v>71</v>
      </c>
      <c r="C24" s="2">
        <v>2930833333</v>
      </c>
      <c r="D24">
        <v>150</v>
      </c>
    </row>
    <row r="25" spans="1:4" x14ac:dyDescent="0.25">
      <c r="A25" s="24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4"/>
      <c r="B27" s="11" t="s">
        <v>70</v>
      </c>
      <c r="C27" s="2">
        <v>1047284444</v>
      </c>
      <c r="D27">
        <v>42.69</v>
      </c>
    </row>
    <row r="28" spans="1:4" x14ac:dyDescent="0.25">
      <c r="A28" s="24"/>
      <c r="B28" s="11" t="s">
        <v>71</v>
      </c>
      <c r="C28" s="2">
        <v>2930833333</v>
      </c>
      <c r="D28">
        <v>150</v>
      </c>
    </row>
    <row r="29" spans="1:4" x14ac:dyDescent="0.25">
      <c r="A29" s="24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4"/>
      <c r="B31" s="11" t="s">
        <v>70</v>
      </c>
      <c r="C31" s="2">
        <v>1047284444</v>
      </c>
      <c r="D31">
        <v>42.69</v>
      </c>
    </row>
    <row r="32" spans="1:4" x14ac:dyDescent="0.25">
      <c r="A32" s="24"/>
      <c r="B32" s="11" t="s">
        <v>71</v>
      </c>
      <c r="C32" s="2">
        <v>2930833333</v>
      </c>
      <c r="D32">
        <v>150</v>
      </c>
    </row>
    <row r="33" spans="1:4" x14ac:dyDescent="0.25">
      <c r="A33" s="24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4"/>
      <c r="B35" s="11" t="s">
        <v>70</v>
      </c>
      <c r="C35" s="2">
        <v>1047284444</v>
      </c>
      <c r="D35">
        <v>42.69</v>
      </c>
    </row>
    <row r="36" spans="1:4" x14ac:dyDescent="0.25">
      <c r="A36" s="24"/>
      <c r="B36" s="11" t="s">
        <v>71</v>
      </c>
      <c r="C36" s="2">
        <v>2930833333</v>
      </c>
      <c r="D36">
        <v>150</v>
      </c>
    </row>
    <row r="37" spans="1:4" x14ac:dyDescent="0.25">
      <c r="A37" s="24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4"/>
      <c r="B39" s="11" t="s">
        <v>70</v>
      </c>
      <c r="C39" s="2">
        <v>1047284444</v>
      </c>
      <c r="D39">
        <v>42.69</v>
      </c>
    </row>
    <row r="40" spans="1:4" x14ac:dyDescent="0.25">
      <c r="A40" s="24"/>
      <c r="B40" s="11" t="s">
        <v>71</v>
      </c>
      <c r="C40" s="2">
        <v>2930833333</v>
      </c>
      <c r="D40">
        <v>150</v>
      </c>
    </row>
    <row r="41" spans="1:4" x14ac:dyDescent="0.25">
      <c r="A41" s="24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4"/>
      <c r="B43" s="11" t="s">
        <v>70</v>
      </c>
      <c r="C43" s="2">
        <v>1047284444</v>
      </c>
      <c r="D43">
        <v>42.69</v>
      </c>
    </row>
    <row r="44" spans="1:4" x14ac:dyDescent="0.25">
      <c r="A44" s="24"/>
      <c r="B44" s="11" t="s">
        <v>71</v>
      </c>
      <c r="C44" s="2">
        <v>2930833333</v>
      </c>
      <c r="D44">
        <v>150</v>
      </c>
    </row>
    <row r="45" spans="1:4" x14ac:dyDescent="0.25">
      <c r="A45" s="24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4"/>
      <c r="B47" s="11" t="s">
        <v>70</v>
      </c>
      <c r="C47" s="2">
        <v>1047284444</v>
      </c>
      <c r="D47">
        <v>42.69</v>
      </c>
    </row>
    <row r="48" spans="1:4" x14ac:dyDescent="0.25">
      <c r="A48" s="24"/>
      <c r="B48" s="11" t="s">
        <v>71</v>
      </c>
      <c r="C48" s="2">
        <v>2930833333</v>
      </c>
      <c r="D48">
        <v>150</v>
      </c>
    </row>
    <row r="49" spans="1:4" x14ac:dyDescent="0.25">
      <c r="A49" s="24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4"/>
      <c r="B51" s="11" t="s">
        <v>70</v>
      </c>
      <c r="C51" s="2">
        <v>1047284444</v>
      </c>
      <c r="D51">
        <v>42.69</v>
      </c>
    </row>
    <row r="52" spans="1:4" x14ac:dyDescent="0.25">
      <c r="A52" s="24"/>
      <c r="B52" s="11" t="s">
        <v>71</v>
      </c>
      <c r="C52" s="2">
        <v>2930833333</v>
      </c>
      <c r="D52">
        <v>150</v>
      </c>
    </row>
    <row r="53" spans="1:4" x14ac:dyDescent="0.25">
      <c r="A53" s="24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4"/>
      <c r="B55" s="11" t="s">
        <v>70</v>
      </c>
      <c r="C55" s="2">
        <v>1047284444</v>
      </c>
      <c r="D55">
        <v>42.69</v>
      </c>
    </row>
    <row r="56" spans="1:4" x14ac:dyDescent="0.25">
      <c r="A56" s="24"/>
      <c r="B56" s="11" t="s">
        <v>71</v>
      </c>
      <c r="C56" s="2">
        <v>2930833333</v>
      </c>
      <c r="D56">
        <v>150</v>
      </c>
    </row>
    <row r="57" spans="1:4" x14ac:dyDescent="0.25">
      <c r="A57" s="24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4"/>
      <c r="B59" s="11" t="s">
        <v>70</v>
      </c>
      <c r="C59" s="2">
        <v>1047284444</v>
      </c>
      <c r="D59">
        <v>42.69</v>
      </c>
    </row>
    <row r="60" spans="1:4" x14ac:dyDescent="0.25">
      <c r="A60" s="24"/>
      <c r="B60" s="11" t="s">
        <v>71</v>
      </c>
      <c r="C60" s="2">
        <v>2930833333</v>
      </c>
      <c r="D60">
        <v>150</v>
      </c>
    </row>
    <row r="61" spans="1:4" x14ac:dyDescent="0.25">
      <c r="A61" s="24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4"/>
      <c r="B63" s="11" t="s">
        <v>70</v>
      </c>
      <c r="C63" s="2">
        <v>1047284444</v>
      </c>
      <c r="D63">
        <v>42.69</v>
      </c>
    </row>
    <row r="64" spans="1:4" x14ac:dyDescent="0.25">
      <c r="A64" s="24"/>
      <c r="B64" s="11" t="s">
        <v>71</v>
      </c>
      <c r="C64" s="2">
        <v>2930833333</v>
      </c>
      <c r="D64">
        <v>150</v>
      </c>
    </row>
    <row r="65" spans="1:4" x14ac:dyDescent="0.25">
      <c r="A65" s="24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4"/>
      <c r="B67" s="11" t="s">
        <v>70</v>
      </c>
      <c r="C67" s="2">
        <v>1047284444</v>
      </c>
      <c r="D67">
        <v>42.69</v>
      </c>
    </row>
    <row r="68" spans="1:4" x14ac:dyDescent="0.25">
      <c r="A68" s="24"/>
      <c r="B68" s="11" t="s">
        <v>71</v>
      </c>
      <c r="C68" s="2">
        <v>2930833333</v>
      </c>
      <c r="D68">
        <v>150</v>
      </c>
    </row>
    <row r="69" spans="1:4" x14ac:dyDescent="0.25">
      <c r="A69" s="24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4"/>
      <c r="B71" s="11" t="s">
        <v>70</v>
      </c>
      <c r="C71" s="2">
        <v>1047284444</v>
      </c>
      <c r="D71">
        <v>42.69</v>
      </c>
    </row>
    <row r="72" spans="1:4" x14ac:dyDescent="0.25">
      <c r="A72" s="24"/>
      <c r="B72" s="11" t="s">
        <v>71</v>
      </c>
      <c r="C72" s="2">
        <v>2930833333</v>
      </c>
      <c r="D72">
        <v>150</v>
      </c>
    </row>
    <row r="73" spans="1:4" x14ac:dyDescent="0.25">
      <c r="A73" s="24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4"/>
      <c r="B75" s="11" t="s">
        <v>70</v>
      </c>
      <c r="C75" s="2">
        <v>1047284444</v>
      </c>
      <c r="D75">
        <v>42.69</v>
      </c>
    </row>
    <row r="76" spans="1:4" x14ac:dyDescent="0.25">
      <c r="A76" s="24"/>
      <c r="B76" s="11" t="s">
        <v>71</v>
      </c>
      <c r="C76" s="2">
        <v>2930833333</v>
      </c>
      <c r="D76">
        <v>150</v>
      </c>
    </row>
    <row r="77" spans="1:4" x14ac:dyDescent="0.25">
      <c r="A77" s="24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4"/>
      <c r="B79" s="11" t="s">
        <v>70</v>
      </c>
      <c r="C79" s="2">
        <v>1047284444</v>
      </c>
      <c r="D79">
        <v>42.69</v>
      </c>
    </row>
    <row r="80" spans="1:4" x14ac:dyDescent="0.25">
      <c r="A80" s="24"/>
      <c r="B80" s="11" t="s">
        <v>71</v>
      </c>
      <c r="C80" s="2">
        <v>2930833333</v>
      </c>
      <c r="D80">
        <v>150</v>
      </c>
    </row>
    <row r="81" spans="1:4" x14ac:dyDescent="0.25">
      <c r="A81" s="24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4"/>
      <c r="B83" s="11" t="s">
        <v>70</v>
      </c>
      <c r="C83" s="2">
        <v>1047284444</v>
      </c>
      <c r="D83">
        <v>42.69</v>
      </c>
    </row>
    <row r="84" spans="1:4" x14ac:dyDescent="0.25">
      <c r="A84" s="24"/>
      <c r="B84" s="11" t="s">
        <v>71</v>
      </c>
      <c r="C84" s="2">
        <v>2930833333</v>
      </c>
      <c r="D84">
        <v>150</v>
      </c>
    </row>
    <row r="85" spans="1:4" x14ac:dyDescent="0.25">
      <c r="A85" s="24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4"/>
      <c r="B87" s="11" t="s">
        <v>70</v>
      </c>
      <c r="C87" s="2">
        <v>1047284444</v>
      </c>
      <c r="D87">
        <v>42.69</v>
      </c>
    </row>
    <row r="88" spans="1:4" x14ac:dyDescent="0.25">
      <c r="A88" s="24"/>
      <c r="B88" s="11" t="s">
        <v>71</v>
      </c>
      <c r="C88" s="2">
        <v>2930833333</v>
      </c>
      <c r="D88">
        <v>150</v>
      </c>
    </row>
    <row r="89" spans="1:4" x14ac:dyDescent="0.25">
      <c r="A89" s="24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4"/>
      <c r="B91" s="11" t="s">
        <v>70</v>
      </c>
      <c r="C91" s="2">
        <v>1047284444</v>
      </c>
      <c r="D91">
        <v>42.69</v>
      </c>
    </row>
    <row r="92" spans="1:4" x14ac:dyDescent="0.25">
      <c r="A92" s="24"/>
      <c r="B92" s="11" t="s">
        <v>71</v>
      </c>
      <c r="C92" s="2">
        <v>2930833333</v>
      </c>
      <c r="D92">
        <v>150</v>
      </c>
    </row>
    <row r="93" spans="1:4" x14ac:dyDescent="0.25">
      <c r="A93" s="24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4"/>
      <c r="B95" s="11" t="s">
        <v>70</v>
      </c>
      <c r="C95" s="2">
        <v>1047284444</v>
      </c>
      <c r="D95">
        <v>42.69</v>
      </c>
    </row>
    <row r="96" spans="1:4" x14ac:dyDescent="0.25">
      <c r="A96" s="24"/>
      <c r="B96" s="11" t="s">
        <v>71</v>
      </c>
      <c r="C96" s="2">
        <v>2930833333</v>
      </c>
      <c r="D96">
        <v>150</v>
      </c>
    </row>
    <row r="97" spans="1:4" x14ac:dyDescent="0.25">
      <c r="A97" s="24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4"/>
      <c r="B99" s="11" t="s">
        <v>70</v>
      </c>
      <c r="C99" s="2">
        <v>1047284444</v>
      </c>
      <c r="D99">
        <v>42.69</v>
      </c>
    </row>
    <row r="100" spans="1:4" x14ac:dyDescent="0.25">
      <c r="A100" s="24"/>
      <c r="B100" s="11" t="s">
        <v>71</v>
      </c>
      <c r="C100" s="2">
        <v>2930833333</v>
      </c>
      <c r="D100">
        <v>150</v>
      </c>
    </row>
    <row r="101" spans="1:4" x14ac:dyDescent="0.25">
      <c r="A101" s="24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4"/>
      <c r="B103" s="11" t="s">
        <v>70</v>
      </c>
      <c r="C103" s="2">
        <v>1047284444</v>
      </c>
      <c r="D103">
        <v>42.69</v>
      </c>
    </row>
    <row r="104" spans="1:4" x14ac:dyDescent="0.25">
      <c r="A104" s="24"/>
      <c r="B104" s="11" t="s">
        <v>71</v>
      </c>
      <c r="C104" s="2">
        <v>2930833333</v>
      </c>
      <c r="D104">
        <v>150</v>
      </c>
    </row>
    <row r="105" spans="1:4" x14ac:dyDescent="0.25">
      <c r="A105" s="24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4"/>
      <c r="B107" s="11" t="s">
        <v>70</v>
      </c>
      <c r="C107" s="2">
        <v>1047284444</v>
      </c>
      <c r="D107">
        <v>42.69</v>
      </c>
    </row>
    <row r="108" spans="1:4" x14ac:dyDescent="0.25">
      <c r="A108" s="24"/>
      <c r="B108" s="11" t="s">
        <v>71</v>
      </c>
      <c r="C108" s="2">
        <v>2930833333</v>
      </c>
      <c r="D108">
        <v>150</v>
      </c>
    </row>
    <row r="109" spans="1:4" x14ac:dyDescent="0.25">
      <c r="A109" s="24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F35" sqref="F35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topLeftCell="A16" workbookViewId="0">
      <selection activeCell="H29" sqref="H29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15</v>
      </c>
      <c r="E9" s="12">
        <v>15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D69BF-5451-472F-B8C8-C2D651A5BC41}">
  <dimension ref="A1:K5"/>
  <sheetViews>
    <sheetView workbookViewId="0">
      <selection activeCell="E11" sqref="E11"/>
    </sheetView>
  </sheetViews>
  <sheetFormatPr baseColWidth="10" defaultRowHeight="15" x14ac:dyDescent="0.25"/>
  <sheetData>
    <row r="1" spans="1:11" x14ac:dyDescent="0.25">
      <c r="A1" t="s">
        <v>90</v>
      </c>
      <c r="B1" t="s">
        <v>82</v>
      </c>
      <c r="C1" t="s">
        <v>197</v>
      </c>
      <c r="D1" t="s">
        <v>112</v>
      </c>
      <c r="E1" t="s">
        <v>198</v>
      </c>
      <c r="F1" t="s">
        <v>195</v>
      </c>
      <c r="G1" t="s">
        <v>199</v>
      </c>
      <c r="H1" t="s">
        <v>200</v>
      </c>
      <c r="I1" t="s">
        <v>196</v>
      </c>
      <c r="J1" t="s">
        <v>201</v>
      </c>
      <c r="K1" t="s">
        <v>202</v>
      </c>
    </row>
    <row r="2" spans="1:11" x14ac:dyDescent="0.25">
      <c r="A2" t="s">
        <v>16</v>
      </c>
      <c r="B2" t="s">
        <v>76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0</v>
      </c>
      <c r="K2">
        <v>245</v>
      </c>
    </row>
    <row r="3" spans="1:11" x14ac:dyDescent="0.25">
      <c r="A3" t="s">
        <v>16</v>
      </c>
      <c r="B3" t="s">
        <v>77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0</v>
      </c>
      <c r="K3">
        <v>245</v>
      </c>
    </row>
    <row r="4" spans="1:11" x14ac:dyDescent="0.25">
      <c r="A4" t="s">
        <v>16</v>
      </c>
      <c r="B4" t="s">
        <v>75</v>
      </c>
      <c r="C4">
        <v>494.690808</v>
      </c>
      <c r="D4">
        <v>1225.6664426666666</v>
      </c>
      <c r="E4">
        <v>1225.44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16</v>
      </c>
      <c r="B5" t="s">
        <v>88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D33-43EA-4828-A0BA-4DF40CC0ECAB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191</v>
      </c>
      <c r="H1" t="s">
        <v>192</v>
      </c>
      <c r="I1" t="s">
        <v>193</v>
      </c>
    </row>
    <row r="2" spans="1:9" x14ac:dyDescent="0.25">
      <c r="A2" t="s">
        <v>140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>SUM(G2*1.25)</f>
        <v>2250</v>
      </c>
      <c r="I2">
        <f>SUM(H2*1.5)</f>
        <v>3375</v>
      </c>
    </row>
    <row r="3" spans="1:9" x14ac:dyDescent="0.25">
      <c r="A3" t="s">
        <v>181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ref="H3:H26" si="0">SUM(G3*1.25)</f>
        <v>450</v>
      </c>
      <c r="I3">
        <f t="shared" ref="I3:I26" si="1">SUM(H3*1.5)</f>
        <v>675</v>
      </c>
    </row>
    <row r="4" spans="1:9" x14ac:dyDescent="0.25">
      <c r="A4" t="s">
        <v>182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142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183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184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141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143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144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145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146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147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148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149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150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151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152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153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154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155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156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121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120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123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122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E1" sqref="E1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tabSelected="1"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L7" sqref="L7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F22" sqref="F22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2026-07-20T14:05:43Z</dcterms:modified>
</cp:coreProperties>
</file>