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31D8B0BD-1635-471E-B8F3-0D5CD8EC8BC5}"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5" i="5"/>
  <c r="E24" i="5"/>
  <c r="E20" i="5"/>
  <c r="E22" i="5" s="1"/>
  <c r="E19" i="5"/>
  <c r="E18" i="5"/>
  <c r="E21" i="5" s="1"/>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<sst xmlns="http://schemas.openxmlformats.org/spreadsheetml/2006/main" count="282" uniqueCount="97">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</sst>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0" borderId="0" xfId="0" applyNumberFormat="1" applyAlignment="1">
      <alignment horizontal="right"/>
    </xf>
    <xf numFmtId="0" fontId="0" fillId="0" borderId="0" xfId="0" applyAlignment="1">
      <alignment horizontal="right"/>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E16" sqref="E16"/>
    </sheetView>
  </sheetViews>
  <sheetFormatPr baseColWidth="10" defaultColWidth="9.109375" defaultRowHeight="14.4" x14ac:dyDescent="0.3"/>
  <sheetData>
    <row r="1" spans="1:3" x14ac:dyDescent="0.3">
      <c r="A1" s="1" t="s">
        <v>0</v>
      </c>
      <c r="B1" s="1" t="s">
        <v>1</v>
      </c>
      <c r="C1" s="1" t="s">
        <v>2</v>
      </c>
    </row>
    <row r="2" spans="1:3" x14ac:dyDescent="0.3">
      <c r="A2" t="s">
        <v>3</v>
      </c>
      <c r="B2">
        <v>2042</v>
      </c>
      <c r="C2" t="s">
        <v>4</v>
      </c>
    </row>
    <row r="3" spans="1:3" x14ac:dyDescent="0.3">
      <c r="A3" t="s">
        <v>5</v>
      </c>
      <c r="B3" s="8">
        <v>12600000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sqref="A1:XFD1048576"/>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30" customWidth="1"/>
    <col min="6" max="6" width="13.88671875" style="31"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89</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90</v>
      </c>
      <c r="C10" s="11" t="s">
        <v>21</v>
      </c>
      <c r="D10">
        <v>32.04</v>
      </c>
      <c r="E10" s="25" t="s">
        <v>22</v>
      </c>
      <c r="F10" s="26" t="s">
        <v>22</v>
      </c>
    </row>
    <row r="11" spans="1:6" x14ac:dyDescent="0.3">
      <c r="A11" s="11" t="s">
        <v>9</v>
      </c>
      <c r="B11" s="11" t="s">
        <v>91</v>
      </c>
      <c r="C11" s="11" t="s">
        <v>21</v>
      </c>
      <c r="D11">
        <v>32.04</v>
      </c>
      <c r="E11" s="25" t="s">
        <v>22</v>
      </c>
      <c r="F11" s="26" t="s">
        <v>22</v>
      </c>
    </row>
  </sheetData>
  <conditionalFormatting sqref="B8:B11">
    <cfRule type="expression" dxfId="50" priority="1">
      <formula>NOT(EXACT(INDIRECT("Z"&amp;ROW()-1&amp;"S1",FALSE()), INDIRECT("Z"&amp;ROW()&amp;"S1",FALSE())))</formula>
    </cfRule>
  </conditionalFormatting>
  <conditionalFormatting sqref="B2:B11">
    <cfRule type="duplicateValues" dxfId="49"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856B69D1-5DCB-4F0E-9BEA-EBF672748016}"/>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2D3E49F7-9169-44A8-A829-E0E3AE656A0F}"/>
    <dataValidation allowBlank="1" showInputMessage="1" showErrorMessage="1" promptTitle="Maximum commodity use per hour" prompt="For stock commodities, this value limits the energy use per hour (MW)._x000a_" sqref="F1" xr:uid="{DD153B41-4DB3-4F80-BADA-73C6FD3D0202}"/>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41" customWidth="1"/>
    <col min="10" max="10" width="16.109375" style="13" bestFit="1" customWidth="1"/>
    <col min="11" max="11" width="10.5546875" style="13" customWidth="1"/>
    <col min="12" max="12" width="14.88671875" style="42" bestFit="1" customWidth="1"/>
    <col min="13" max="13" width="14.88671875" style="13" bestFit="1" customWidth="1"/>
    <col min="14" max="16384" width="11.44140625" style="13"/>
  </cols>
  <sheetData>
    <row r="1" spans="1:13" x14ac:dyDescent="0.3">
      <c r="A1" t="s">
        <v>10</v>
      </c>
      <c r="B1" t="s">
        <v>28</v>
      </c>
      <c r="C1" s="32" t="s">
        <v>29</v>
      </c>
      <c r="D1" s="32" t="s">
        <v>30</v>
      </c>
      <c r="E1" s="32" t="s">
        <v>31</v>
      </c>
      <c r="F1" s="33" t="s">
        <v>32</v>
      </c>
      <c r="G1" s="32" t="s">
        <v>33</v>
      </c>
      <c r="H1" s="32" t="s">
        <v>34</v>
      </c>
      <c r="I1" s="34" t="s">
        <v>35</v>
      </c>
      <c r="J1" s="33" t="s">
        <v>36</v>
      </c>
      <c r="K1" s="35" t="s">
        <v>37</v>
      </c>
      <c r="L1" s="35" t="s">
        <v>38</v>
      </c>
      <c r="M1" s="35" t="s">
        <v>39</v>
      </c>
    </row>
    <row r="2" spans="1:13" x14ac:dyDescent="0.3">
      <c r="A2" s="13" t="s">
        <v>9</v>
      </c>
      <c r="B2" s="13" t="s">
        <v>42</v>
      </c>
      <c r="C2" s="22">
        <v>0</v>
      </c>
      <c r="D2" s="22">
        <v>56122</v>
      </c>
      <c r="E2" s="15" t="s">
        <v>22</v>
      </c>
      <c r="F2" s="16">
        <v>0.5</v>
      </c>
      <c r="G2" s="19">
        <v>1784013.3448000001</v>
      </c>
      <c r="H2" s="36">
        <v>28544.213516799999</v>
      </c>
      <c r="I2" s="37">
        <v>2.7</v>
      </c>
      <c r="J2" s="17">
        <v>0</v>
      </c>
      <c r="K2" s="29">
        <v>7.2999999999999995E-2</v>
      </c>
      <c r="L2" s="17">
        <v>40</v>
      </c>
      <c r="M2" s="21" t="e">
        <v>#N/A</v>
      </c>
    </row>
    <row r="3" spans="1:13" x14ac:dyDescent="0.3">
      <c r="A3" s="13" t="s">
        <v>9</v>
      </c>
      <c r="B3" s="13" t="s">
        <v>92</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93</v>
      </c>
      <c r="C5" s="22">
        <v>0</v>
      </c>
      <c r="D5" s="22">
        <v>13483</v>
      </c>
      <c r="E5" s="15" t="s">
        <v>22</v>
      </c>
      <c r="F5" s="13">
        <v>0</v>
      </c>
      <c r="G5">
        <v>5648000</v>
      </c>
      <c r="H5" s="38">
        <v>16725.186000000002</v>
      </c>
      <c r="I5">
        <v>2.6</v>
      </c>
      <c r="J5" s="19">
        <v>0</v>
      </c>
      <c r="K5" s="20">
        <v>7.0999999999999994E-2</v>
      </c>
      <c r="L5" s="17">
        <v>25</v>
      </c>
      <c r="M5" s="21" t="e">
        <v>#N/A</v>
      </c>
    </row>
    <row r="6" spans="1:13" x14ac:dyDescent="0.3">
      <c r="A6" s="13" t="s">
        <v>9</v>
      </c>
      <c r="B6" s="13" t="s">
        <v>94</v>
      </c>
      <c r="C6" s="22">
        <v>0</v>
      </c>
      <c r="D6" s="22">
        <v>14578</v>
      </c>
      <c r="E6" s="15" t="s">
        <v>22</v>
      </c>
      <c r="F6" s="13">
        <v>0</v>
      </c>
      <c r="G6">
        <v>5648000</v>
      </c>
      <c r="H6" s="38">
        <v>16725.186000000002</v>
      </c>
      <c r="I6">
        <v>2.6</v>
      </c>
      <c r="J6" s="19">
        <v>0</v>
      </c>
      <c r="K6" s="20">
        <v>7.0999999999999994E-2</v>
      </c>
      <c r="L6" s="17">
        <v>25</v>
      </c>
      <c r="M6" s="21" t="e">
        <v>#N/A</v>
      </c>
    </row>
    <row r="7" spans="1:13" x14ac:dyDescent="0.3">
      <c r="A7" s="13" t="s">
        <v>9</v>
      </c>
      <c r="B7" s="13" t="s">
        <v>95</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96</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6">
        <v>120421.3392</v>
      </c>
      <c r="I10" s="37">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7">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9">
        <v>5648000</v>
      </c>
      <c r="H13" s="39">
        <v>0</v>
      </c>
      <c r="I13" s="40">
        <v>53.2</v>
      </c>
      <c r="J13" s="17">
        <v>0</v>
      </c>
      <c r="K13" s="29">
        <v>7.2999999999999995E-2</v>
      </c>
      <c r="L13" s="17">
        <v>25</v>
      </c>
      <c r="M13" s="21" t="e">
        <v>#N/A</v>
      </c>
    </row>
  </sheetData>
  <conditionalFormatting sqref="P2:XFD4">
    <cfRule type="expression" dxfId="48" priority="14">
      <formula>NOT(EXACT(INDIRECT("Z"&amp;ROW()-1&amp;"S1",FALSE()), INDIRECT("Z"&amp;ROW()&amp;"S1",FALSE())))</formula>
    </cfRule>
  </conditionalFormatting>
  <conditionalFormatting sqref="A1:XFD1 A14:F15 J14:XFD15 A16:XFD1048576 N13:XFD13">
    <cfRule type="expression" dxfId="47" priority="16">
      <formula>NOT(EXACT(INDIRECT("Z"&amp;ROW()-1&amp;"S1",FALSE()), INDIRECT("Z"&amp;ROW()&amp;"S1",FALSE())))</formula>
    </cfRule>
  </conditionalFormatting>
  <conditionalFormatting sqref="N12:XFD12">
    <cfRule type="expression" dxfId="46" priority="15">
      <formula>NOT(EXACT(INDIRECT("Z"&amp;ROW()-1&amp;"S1",FALSE()), INDIRECT("Z"&amp;ROW()&amp;"S1",FALSE())))</formula>
    </cfRule>
  </conditionalFormatting>
  <conditionalFormatting sqref="C2:D13 F9:F13 F4:F6">
    <cfRule type="expression" dxfId="45" priority="13">
      <formula>NOT(EXACT(INDIRECT("Z"&amp;ROW()-1&amp;"S1",FALSE()), INDIRECT("Z"&amp;ROW()&amp;"S1",FALSE())))</formula>
    </cfRule>
  </conditionalFormatting>
  <conditionalFormatting sqref="E2:E4 E12:E13">
    <cfRule type="expression" dxfId="44" priority="12">
      <formula>NOT(EXACT(INDIRECT("Z"&amp;ROW()-1&amp;"S1",FALSE()), INDIRECT("Z"&amp;ROW()&amp;"S1",FALSE())))</formula>
    </cfRule>
  </conditionalFormatting>
  <conditionalFormatting sqref="F2">
    <cfRule type="expression" dxfId="43" priority="11">
      <formula>NOT(EXACT(INDIRECT("Z"&amp;ROW()-1&amp;"S1",FALSE()), INDIRECT("Z"&amp;ROW()&amp;"S1",FALSE())))</formula>
    </cfRule>
  </conditionalFormatting>
  <conditionalFormatting sqref="F7">
    <cfRule type="expression" dxfId="42" priority="10">
      <formula>NOT(EXACT(INDIRECT("Z"&amp;ROW()-1&amp;"S1",FALSE()), INDIRECT("Z"&amp;ROW()&amp;"S1",FALSE())))</formula>
    </cfRule>
  </conditionalFormatting>
  <conditionalFormatting sqref="B2:B9">
    <cfRule type="expression" dxfId="41" priority="9">
      <formula>NOT(EXACT(INDIRECT("Z"&amp;ROW()-1&amp;"S1",FALSE()), INDIRECT("Z"&amp;ROW()&amp;"S1",FALSE())))</formula>
    </cfRule>
  </conditionalFormatting>
  <conditionalFormatting sqref="A2:A4">
    <cfRule type="expression" dxfId="40" priority="8">
      <formula>NOT(EXACT(INDIRECT("Z"&amp;ROW()-1&amp;"S1",FALSE()), INDIRECT("Z"&amp;ROW()&amp;"S1",FALSE())))</formula>
    </cfRule>
  </conditionalFormatting>
  <conditionalFormatting sqref="A2:A13">
    <cfRule type="expression" dxfId="39" priority="7">
      <formula>NOT(EXACT(INDIRECT("Z"&amp;ROW()-1&amp;"S1",FALSE()), INDIRECT("Z"&amp;ROW()&amp;"S1",FALSE())))</formula>
    </cfRule>
  </conditionalFormatting>
  <conditionalFormatting sqref="B10">
    <cfRule type="expression" dxfId="38" priority="6">
      <formula>NOT(EXACT(INDIRECT("Z"&amp;ROW()-1&amp;"S1",FALSE()), INDIRECT("Z"&amp;ROW()&amp;"S1",FALSE())))</formula>
    </cfRule>
  </conditionalFormatting>
  <conditionalFormatting sqref="B11:B12">
    <cfRule type="expression" dxfId="37" priority="5">
      <formula>NOT(EXACT(INDIRECT("Z"&amp;ROW()-1&amp;"S1",FALSE()), INDIRECT("Z"&amp;ROW()&amp;"S1",FALSE())))</formula>
    </cfRule>
  </conditionalFormatting>
  <conditionalFormatting sqref="B11:B12">
    <cfRule type="expression" dxfId="36" priority="4">
      <formula>NOT(EXACT(INDIRECT("Z"&amp;ROW()-1&amp;"S1",FALSE()), INDIRECT("Z"&amp;ROW()&amp;"S1",FALSE())))</formula>
    </cfRule>
  </conditionalFormatting>
  <conditionalFormatting sqref="B13">
    <cfRule type="expression" dxfId="35" priority="3">
      <formula>NOT(EXACT(INDIRECT("Z"&amp;ROW()-1&amp;"S1",FALSE()), INDIRECT("Z"&amp;ROW()&amp;"S1",FALSE())))</formula>
    </cfRule>
  </conditionalFormatting>
  <conditionalFormatting sqref="M2">
    <cfRule type="expression" dxfId="34" priority="2">
      <formula>NOT(EXACT(INDIRECT("Z"&amp;ROW()-1&amp;"S1",FALSE()), INDIRECT("Z"&amp;ROW()&amp;"S1",FALSE())))</formula>
    </cfRule>
  </conditionalFormatting>
  <conditionalFormatting sqref="G11:I11">
    <cfRule type="expression" dxfId="33"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1CD91592-4436-4BC2-A23B-7B9CE93E1BBB}"/>
    <dataValidation allowBlank="1" showInputMessage="1" showErrorMessage="1" promptTitle="Weighted average cost of capital" prompt="Percentage (%) of costs for capital after taxes. Used to calculate annuity factor for investment costs." sqref="K1" xr:uid="{06592F7F-A437-4E3C-BED8-A61320B70313}"/>
    <dataValidation allowBlank="1" showInputMessage="1" showErrorMessage="1" promptTitle="Area use per capacity (m^2/MW) " prompt="If a process requires area set value here. If no area use is to be considered set NV(). " sqref="M1" xr:uid="{B4CF8EC7-15E8-407A-81D7-21F19FC7EACF}"/>
    <dataValidation allowBlank="1" showInputMessage="1" showErrorMessage="1" promptTitle="Minimum load fraction" prompt="This value sets the minimum possible fraction of the process capacity which the process can run at." sqref="F1" xr:uid="{4000F16C-480E-401D-BE10-5FDFC6F5FA0A}"/>
    <dataValidation allowBlank="1" showInputMessage="1" showErrorMessage="1" promptTitle="Maximal power gradient (1/h)" prompt="Maximum allowed power gradient relative to power throughput capacity. Set value to inf or greater than 1/dt to disable it." sqref="E1" xr:uid="{32E680DE-DD12-4F52-8145-B23D04CBADED}"/>
    <dataValidation allowBlank="1" showInputMessage="1" showErrorMessage="1" promptTitle="Depreciation period (a)" prompt="Economic lifetime (more conservative than technical lifetime) of a process investment in years (a). Used to calculate annuity factor for investment costs." sqref="L1" xr:uid="{491B91C5-3E9F-48ED-AEF1-CAE311987E1C}"/>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C85D9178-BFED-494F-B393-0070BE6DF008}"/>
    <dataValidation allowBlank="1" showInputMessage="1" showErrorMessage="1" promptTitle="Annual fix cost (€/MW/a)" prompt="Operation independent costs for existing and new capacities per MW throughput power." sqref="H1" xr:uid="{53E7A901-2CE4-41E9-893A-BB9CA764CED4}"/>
    <dataValidation allowBlank="1" showInputMessage="1" showErrorMessage="1" promptTitle="Investment cost (€/MW)" prompt="Total investement cost for adding capacity. Is annualized in the model using the annuity factor derived from 'wacc' and 'depreciation'." sqref="G1" xr:uid="{360AC5A6-5919-4B0F-A439-4D4017F4ABBE}"/>
    <dataValidation allowBlank="1" showInputMessage="1" showErrorMessage="1" promptTitle="Maximum capacity (MW)" prompt="Maximum allowed power throughput capacity per process. Must be bigger than or equal to max('cap-lo', 'inst-cap')." sqref="D1" xr:uid="{B6297159-7FE3-4243-AAF9-F90A6DAB900E}"/>
    <dataValidation allowBlank="1" showInputMessage="1" showErrorMessage="1" promptTitle="Minimum capacity (MW)" prompt="Minimum required power throughput capacity that is allowed per process. Must be smaller or equal to 'cap-up', but can be bigger than 'inst-cap' to force investment." sqref="C1" xr:uid="{7A499220-D610-4EDF-860C-A36F0F5E78B7}"/>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E18" sqref="E18"/>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44" customWidth="1"/>
    <col min="5" max="5" width="18.5546875" style="44" customWidth="1"/>
    <col min="6" max="16384" width="11.44140625" style="13"/>
  </cols>
  <sheetData>
    <row r="1" spans="1:5" x14ac:dyDescent="0.3">
      <c r="A1" t="s">
        <v>28</v>
      </c>
      <c r="B1" t="s">
        <v>11</v>
      </c>
      <c r="C1" t="s">
        <v>46</v>
      </c>
      <c r="D1" s="43" t="s">
        <v>47</v>
      </c>
      <c r="E1" s="43" t="s">
        <v>48</v>
      </c>
    </row>
    <row r="2" spans="1:5" x14ac:dyDescent="0.3">
      <c r="A2" s="13" t="s">
        <v>92</v>
      </c>
      <c r="B2" s="11" t="s">
        <v>20</v>
      </c>
      <c r="C2" s="11" t="s">
        <v>49</v>
      </c>
      <c r="D2" s="12">
        <v>1</v>
      </c>
      <c r="E2" s="12">
        <v>2</v>
      </c>
    </row>
    <row r="3" spans="1:5" x14ac:dyDescent="0.3">
      <c r="A3" s="13" t="s">
        <v>92</v>
      </c>
      <c r="B3" s="11" t="s">
        <v>18</v>
      </c>
      <c r="C3" s="11" t="s">
        <v>50</v>
      </c>
      <c r="D3" s="27">
        <v>0.43</v>
      </c>
      <c r="E3" s="12" t="e">
        <f>NA()</f>
        <v>#N/A</v>
      </c>
    </row>
    <row r="4" spans="1:5" x14ac:dyDescent="0.3">
      <c r="A4" s="13" t="s">
        <v>92</v>
      </c>
      <c r="B4" s="11" t="s">
        <v>23</v>
      </c>
      <c r="C4" s="11" t="s">
        <v>50</v>
      </c>
      <c r="D4" s="12">
        <v>0.36299999999999999</v>
      </c>
      <c r="E4" s="12">
        <v>0.8</v>
      </c>
    </row>
    <row r="5" spans="1:5" x14ac:dyDescent="0.3">
      <c r="A5" s="10" t="s">
        <v>43</v>
      </c>
      <c r="B5" s="11" t="s">
        <v>89</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95</v>
      </c>
      <c r="B20" s="11" t="s">
        <v>27</v>
      </c>
      <c r="C20" s="11" t="s">
        <v>49</v>
      </c>
      <c r="D20" s="12">
        <v>1</v>
      </c>
      <c r="E20" s="12" t="e">
        <f>NA()</f>
        <v>#N/A</v>
      </c>
    </row>
    <row r="21" spans="1:5" x14ac:dyDescent="0.3">
      <c r="A21" s="13" t="s">
        <v>95</v>
      </c>
      <c r="B21" s="11" t="s">
        <v>18</v>
      </c>
      <c r="C21" s="11" t="s">
        <v>50</v>
      </c>
      <c r="D21" s="12">
        <v>0.34</v>
      </c>
      <c r="E21" s="12" t="e">
        <f>D21*E18</f>
        <v>#N/A</v>
      </c>
    </row>
    <row r="22" spans="1:5" x14ac:dyDescent="0.3">
      <c r="A22" s="13" t="s">
        <v>95</v>
      </c>
      <c r="B22" s="11" t="s">
        <v>23</v>
      </c>
      <c r="C22" s="11" t="s">
        <v>50</v>
      </c>
      <c r="D22" s="12">
        <v>3.6299999999999999E-2</v>
      </c>
      <c r="E22" s="12" t="e">
        <f>D22*E20</f>
        <v>#N/A</v>
      </c>
    </row>
    <row r="23" spans="1:5" x14ac:dyDescent="0.3">
      <c r="A23" s="13" t="s">
        <v>96</v>
      </c>
      <c r="B23" s="11" t="s">
        <v>27</v>
      </c>
      <c r="C23" s="11" t="s">
        <v>49</v>
      </c>
      <c r="D23" s="12">
        <v>1</v>
      </c>
      <c r="E23" s="12">
        <v>1.2</v>
      </c>
    </row>
    <row r="24" spans="1:5" x14ac:dyDescent="0.3">
      <c r="A24" s="13" t="s">
        <v>96</v>
      </c>
      <c r="B24" s="11" t="s">
        <v>18</v>
      </c>
      <c r="C24" s="11" t="s">
        <v>50</v>
      </c>
      <c r="D24" s="12">
        <v>0.49</v>
      </c>
      <c r="E24" s="12" t="e">
        <f>NA()</f>
        <v>#N/A</v>
      </c>
    </row>
    <row r="25" spans="1:5" x14ac:dyDescent="0.3">
      <c r="A25" s="13" t="s">
        <v>96</v>
      </c>
      <c r="B25" s="11" t="s">
        <v>23</v>
      </c>
      <c r="C25" s="11" t="s">
        <v>50</v>
      </c>
      <c r="D25" s="12">
        <v>1.2500000000000001E-2</v>
      </c>
      <c r="E25" s="12" t="e">
        <f>NA()</f>
        <v>#N/A</v>
      </c>
    </row>
    <row r="26" spans="1:5" x14ac:dyDescent="0.3">
      <c r="A26" s="10" t="s">
        <v>88</v>
      </c>
      <c r="B26" s="11" t="s">
        <v>89</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93</v>
      </c>
      <c r="B29" s="11" t="s">
        <v>91</v>
      </c>
      <c r="C29" s="11" t="s">
        <v>49</v>
      </c>
      <c r="D29" s="12">
        <v>1</v>
      </c>
      <c r="E29" s="12" t="e">
        <f>D29*E27</f>
        <v>#N/A</v>
      </c>
    </row>
    <row r="30" spans="1:5" x14ac:dyDescent="0.3">
      <c r="A30" s="13" t="s">
        <v>93</v>
      </c>
      <c r="B30" s="11" t="s">
        <v>18</v>
      </c>
      <c r="C30" s="11" t="s">
        <v>50</v>
      </c>
      <c r="D30" s="12">
        <v>0.4</v>
      </c>
      <c r="E30" s="12" t="e">
        <f>NA()</f>
        <v>#N/A</v>
      </c>
    </row>
    <row r="31" spans="1:5" x14ac:dyDescent="0.3">
      <c r="A31" s="13" t="s">
        <v>93</v>
      </c>
      <c r="B31" s="11" t="s">
        <v>23</v>
      </c>
      <c r="C31" s="11" t="s">
        <v>50</v>
      </c>
      <c r="D31" s="12">
        <v>0.26700000000000002</v>
      </c>
      <c r="E31" s="12" t="e">
        <f>NA()</f>
        <v>#N/A</v>
      </c>
    </row>
    <row r="32" spans="1:5" x14ac:dyDescent="0.3">
      <c r="A32" s="13" t="s">
        <v>94</v>
      </c>
      <c r="B32" s="11" t="s">
        <v>90</v>
      </c>
      <c r="C32" s="11" t="s">
        <v>49</v>
      </c>
      <c r="D32" s="12">
        <v>1</v>
      </c>
      <c r="E32" s="12" t="e">
        <f>D32*E30</f>
        <v>#N/A</v>
      </c>
    </row>
    <row r="33" spans="1:5" x14ac:dyDescent="0.3">
      <c r="A33" s="13" t="s">
        <v>94</v>
      </c>
      <c r="B33" s="11" t="s">
        <v>18</v>
      </c>
      <c r="C33" s="11" t="s">
        <v>50</v>
      </c>
      <c r="D33" s="12">
        <v>0.4</v>
      </c>
      <c r="E33" s="12" t="e">
        <f>NA()</f>
        <v>#N/A</v>
      </c>
    </row>
    <row r="34" spans="1:5" x14ac:dyDescent="0.3">
      <c r="A34" s="13" t="s">
        <v>94</v>
      </c>
      <c r="B34" s="11" t="s">
        <v>23</v>
      </c>
      <c r="C34" s="11" t="s">
        <v>50</v>
      </c>
      <c r="D34" s="12">
        <v>0.26700000000000002</v>
      </c>
      <c r="E34" s="12" t="e">
        <f>NA()</f>
        <v>#N/A</v>
      </c>
    </row>
  </sheetData>
  <conditionalFormatting sqref="A2:C4 E2:XFD19 A30:C31 E30:E31">
    <cfRule type="expression" dxfId="32" priority="61">
      <formula>NOT(EXACT(INDIRECT("Z"&amp;ROW()-1&amp;"S1",FALSE()), INDIRECT("Z"&amp;ROW()&amp;"S1",FALSE())))</formula>
    </cfRule>
  </conditionalFormatting>
  <conditionalFormatting sqref="A29:E29">
    <cfRule type="expression" dxfId="31" priority="58">
      <formula>NOT(EXACT(INDIRECT("Z"&amp;ROW()-1&amp;"S1",FALSE()), INDIRECT("Z"&amp;ROW()&amp;"S1",FALSE())))</formula>
    </cfRule>
  </conditionalFormatting>
  <conditionalFormatting sqref="A1:XFD1 A5 C5 A6:C19">
    <cfRule type="expression" dxfId="30" priority="73">
      <formula>NOT(EXACT(INDIRECT("Z"&amp;ROW()-1&amp;"S1",FALSE()), INDIRECT("Z"&amp;ROW()&amp;"S1",FALSE())))</formula>
    </cfRule>
  </conditionalFormatting>
  <conditionalFormatting sqref="A20:XFD25 A26 C26:XFD26 A27:XFD28 F29:XFD31 A32:XFD33 A35:XFD1048576 F34:XFD34">
    <cfRule type="expression" dxfId="29" priority="62">
      <formula>NOT(EXACT(INDIRECT("Z"&amp;ROW()-1&amp;"S1",FALSE()), INDIRECT("Z"&amp;ROW()&amp;"S1",FALSE())))</formula>
    </cfRule>
  </conditionalFormatting>
  <conditionalFormatting sqref="D2 D4:D5 D8:D13 D15:D19">
    <cfRule type="expression" dxfId="28"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{26567BF3-B03D-4ABD-BF59-551027E527B9}</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{FC88546B-A7BE-4B64-80E0-209B572301F8}</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27"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26" priority="54">
      <formula>NOT(EXACT(INDIRECT("Z"&amp;ROW()-1&amp;"S1",FALSE()), INDIRECT("Z"&amp;ROW()&amp;"S1",FALSE())))</formula>
    </cfRule>
  </conditionalFormatting>
  <conditionalFormatting sqref="A20:C25 A27:C28 A32:E32">
    <cfRule type="expression" dxfId="25"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24" priority="47">
      <formula>NOT(EXACT(INDIRECT("Z"&amp;ROW()-1&amp;"S1",FALSE()), INDIRECT("Z"&amp;ROW()&amp;"S1",FALSE())))</formula>
    </cfRule>
  </conditionalFormatting>
  <conditionalFormatting sqref="B21:C25 C26 B27:C27">
    <cfRule type="expression" dxfId="23" priority="44">
      <formula>NOT(EXACT(INDIRECT("Z"&amp;ROW()-1&amp;"S1",FALSE()), INDIRECT("Z"&amp;ROW()&amp;"S1",FALSE())))</formula>
    </cfRule>
  </conditionalFormatting>
  <conditionalFormatting sqref="B20:C20 A26:A28">
    <cfRule type="expression" dxfId="22" priority="45">
      <formula>NOT(EXACT(INDIRECT("Z"&amp;ROW()-1&amp;"S1",FALSE()), INDIRECT("Z"&amp;ROW()&amp;"S1",FALSE())))</formula>
    </cfRule>
  </conditionalFormatting>
  <conditionalFormatting sqref="C5">
    <cfRule type="expression" dxfId="21"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{64F5956B-9501-4410-BF2A-9A1D68638116}</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{6616C894-28FC-41C7-82F7-1D3AA19E36D2}</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{233F2EC6-5CFF-4926-8539-2419E450C47C}</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{632991A2-EA36-462E-AF03-A64D97F8A046}</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{DE2D6869-5C41-42E4-ACB5-F20B4BDD7A16}</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{3D143A86-3E56-4870-924F-A8442D39CF5F}</x14:id>
        </ext>
      </extLst>
    </cfRule>
  </conditionalFormatting>
  <conditionalFormatting sqref="E29:E34">
    <cfRule type="expression" dxfId="20" priority="41">
      <formula>NOT(EXACT(INDIRECT("Z"&amp;ROW()-1&amp;"S1",FALSE()), INDIRECT("Z"&amp;ROW()&amp;"S1",FALSE())))</formula>
    </cfRule>
  </conditionalFormatting>
  <conditionalFormatting sqref="B28:C28">
    <cfRule type="expression" dxfId="19" priority="43">
      <formula>NOT(EXACT(INDIRECT("Z"&amp;ROW()-1&amp;"S1",FALSE()), INDIRECT("Z"&amp;ROW()&amp;"S1",FALSE())))</formula>
    </cfRule>
  </conditionalFormatting>
  <conditionalFormatting sqref="A2:A4">
    <cfRule type="expression" dxfId="18" priority="40">
      <formula>NOT(EXACT(INDIRECT("Z"&amp;ROW()-1&amp;"S1",FALSE()), INDIRECT("Z"&amp;ROW()&amp;"S1",FALSE())))</formula>
    </cfRule>
  </conditionalFormatting>
  <conditionalFormatting sqref="A29:A31">
    <cfRule type="expression" dxfId="17" priority="39">
      <formula>NOT(EXACT(INDIRECT("Z"&amp;ROW()-1&amp;"S1",FALSE()), INDIRECT("Z"&amp;ROW()&amp;"S1",FALSE())))</formula>
    </cfRule>
  </conditionalFormatting>
  <conditionalFormatting sqref="A32:A34">
    <cfRule type="expression" dxfId="16" priority="38">
      <formula>NOT(EXACT(INDIRECT("Z"&amp;ROW()-1&amp;"S1",FALSE()), INDIRECT("Z"&amp;ROW()&amp;"S1",FALSE())))</formula>
    </cfRule>
  </conditionalFormatting>
  <conditionalFormatting sqref="C29 B30:C30">
    <cfRule type="expression" dxfId="15"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{09DD9E40-585D-43F7-BDDE-0A027E10A864}</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{726F3BF3-A2FC-4C6A-9A4F-EFA554755781}</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{56507B25-87B2-4E54-975A-73D43EC8A631}</x14:id>
        </ext>
      </extLst>
    </cfRule>
  </conditionalFormatting>
  <conditionalFormatting sqref="B31:C31">
    <cfRule type="expression" dxfId="14" priority="33">
      <formula>NOT(EXACT(INDIRECT("Z"&amp;ROW()-1&amp;"S1",FALSE()), INDIRECT("Z"&amp;ROW()&amp;"S1",FALSE())))</formula>
    </cfRule>
  </conditionalFormatting>
  <conditionalFormatting sqref="C32 B33:C33">
    <cfRule type="expression" dxfId="13"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{85162996-B156-4C97-9DA9-6D7A643AAD68}</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{945FA7ED-945F-48E6-8440-6200EF2CE5D2}</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{04DACE2C-2108-4F17-8429-912A4C7E2D93}</x14:id>
        </ext>
      </extLst>
    </cfRule>
  </conditionalFormatting>
  <conditionalFormatting sqref="B34:C34">
    <cfRule type="expression" dxfId="12" priority="28">
      <formula>NOT(EXACT(INDIRECT("Z"&amp;ROW()-1&amp;"S1",FALSE()), INDIRECT("Z"&amp;ROW()&amp;"S1",FALSE())))</formula>
    </cfRule>
  </conditionalFormatting>
  <conditionalFormatting sqref="A20:A22">
    <cfRule type="expression" dxfId="11" priority="27">
      <formula>NOT(EXACT(INDIRECT("Z"&amp;ROW()-1&amp;"S1",FALSE()), INDIRECT("Z"&amp;ROW()&amp;"S1",FALSE())))</formula>
    </cfRule>
  </conditionalFormatting>
  <conditionalFormatting sqref="A23:A25">
    <cfRule type="expression" dxfId="10" priority="26">
      <formula>NOT(EXACT(INDIRECT("Z"&amp;ROW()-1&amp;"S1",FALSE()), INDIRECT("Z"&amp;ROW()&amp;"S1",FALSE())))</formula>
    </cfRule>
  </conditionalFormatting>
  <conditionalFormatting sqref="D29:D34">
    <cfRule type="expression" dxfId="9"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{F451326D-8D1F-4F41-9594-CE05CBB428DB}</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{2085AC79-D917-4D62-95EC-088210DD1F6F}</x14:id>
        </ext>
      </extLst>
    </cfRule>
  </conditionalFormatting>
  <conditionalFormatting sqref="E27:E28">
    <cfRule type="expression" dxfId="8" priority="19">
      <formula>NOT(EXACT(INDIRECT("Z"&amp;ROW()-1&amp;"S1",FALSE()), INDIRECT("Z"&amp;ROW()&amp;"S1",FALSE())))</formula>
    </cfRule>
  </conditionalFormatting>
  <conditionalFormatting sqref="D26:E26">
    <cfRule type="expression" dxfId="7" priority="16">
      <formula>NOT(EXACT(INDIRECT("Z"&amp;ROW()-1&amp;"S1",FALSE()), INDIRECT("Z"&amp;ROW()&amp;"S1",FALSE())))</formula>
    </cfRule>
  </conditionalFormatting>
  <conditionalFormatting sqref="D20:E25">
    <cfRule type="expression" dxfId="6"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{A80D4AD3-0651-4A12-956D-AB9BED6E5621}</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{BF509973-8AAF-492F-86F6-DBB71EC0ECFF}</x14:id>
        </ext>
      </extLst>
    </cfRule>
  </conditionalFormatting>
  <conditionalFormatting sqref="E2:E4">
    <cfRule type="expression" dxfId="5" priority="11">
      <formula>NOT(EXACT(INDIRECT("Z"&amp;ROW()-1&amp;"S1",FALSE()), INDIRECT("Z"&amp;ROW()&amp;"S1",FALSE())))</formula>
    </cfRule>
  </conditionalFormatting>
  <conditionalFormatting sqref="D2 D4">
    <cfRule type="expression" dxfId="4"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3" priority="7">
      <formula>NOT(EXACT(INDIRECT("Z"&amp;ROW()-1&amp;"S1",FALSE()), INDIRECT("Z"&amp;ROW()&amp;"S1",FALSE())))</formula>
    </cfRule>
  </conditionalFormatting>
  <conditionalFormatting sqref="D5">
    <cfRule type="expression" dxfId="2"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 priority="1">
      <formula>NOT(EXACT(INDIRECT("Z"&amp;ROW()-1&amp;"S1",FALSE()), INDIRECT("Z"&amp;ROW()&amp;"S1",FALSE())))</formula>
    </cfRule>
  </conditionalFormatting>
  <conditionalFormatting sqref="D13 D15">
    <cfRule type="expression" dxfId="0"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DF91835F-AB44-480C-AF5E-6E45A276699F}"/>
    <dataValidation allowBlank="1" showInputMessage="1" showErrorMessage="1" promptTitle="Ratio at minimum operation point" prompt="Input/Output ratio at point of minimum operation (min-fract in 'Process' sheet)._x000a__x000a_All values have to be larger/equal to ratio!" sqref="E1" xr:uid="{0A3E224D-2C06-45DC-8099-3B6AC4F6196B}"/>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6567BF3-B03D-4ABD-BF59-551027E527B9}">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FC88546B-A7BE-4B64-80E0-209B572301F8}">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64F5956B-9501-4410-BF2A-9A1D68638116}">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6616C894-28FC-41C7-82F7-1D3AA19E36D2}">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233F2EC6-5CFF-4926-8539-2419E450C47C}">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632991A2-EA36-462E-AF03-A64D97F8A046}">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DE2D6869-5C41-42E4-ACB5-F20B4BDD7A16}">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3D143A86-3E56-4870-924F-A8442D39CF5F}">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09DD9E40-585D-43F7-BDDE-0A027E10A864}">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726F3BF3-A2FC-4C6A-9A4F-EFA554755781}">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56507B25-87B2-4E54-975A-73D43EC8A631}">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85162996-B156-4C97-9DA9-6D7A643AAD68}">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945FA7ED-945F-48E6-8440-6200EF2CE5D2}">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04DACE2C-2108-4F17-8429-912A4C7E2D93}">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F451326D-8D1F-4F41-9594-CE05CBB428DB}">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2085AC79-D917-4D62-95EC-088210DD1F6F}">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A80D4AD3-0651-4A12-956D-AB9BED6E5621}">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BF509973-8AAF-492F-86F6-DBB71EC0ECFF}">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E8" sqref="E8"/>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s="9">
        <v>474583333</v>
      </c>
    </row>
    <row r="4" spans="1:2" x14ac:dyDescent="0.3">
      <c r="A4">
        <v>2</v>
      </c>
      <c r="B4" s="9">
        <v>474583333</v>
      </c>
    </row>
    <row r="5" spans="1:2" x14ac:dyDescent="0.3">
      <c r="A5">
        <v>3</v>
      </c>
      <c r="B5" s="9">
        <v>474583333</v>
      </c>
    </row>
    <row r="6" spans="1:2" x14ac:dyDescent="0.3">
      <c r="A6">
        <v>4</v>
      </c>
      <c r="B6" s="9">
        <v>474583333</v>
      </c>
    </row>
    <row r="7" spans="1:2" x14ac:dyDescent="0.3">
      <c r="A7">
        <v>5</v>
      </c>
      <c r="B7" s="9">
        <v>474583333</v>
      </c>
    </row>
    <row r="8" spans="1:2" x14ac:dyDescent="0.3">
      <c r="A8">
        <v>6</v>
      </c>
      <c r="B8" s="9">
        <v>474583333</v>
      </c>
    </row>
    <row r="9" spans="1:2" x14ac:dyDescent="0.3">
      <c r="A9">
        <v>7</v>
      </c>
      <c r="B9" s="9">
        <v>474583333</v>
      </c>
    </row>
    <row r="10" spans="1:2" x14ac:dyDescent="0.3">
      <c r="A10">
        <v>8</v>
      </c>
      <c r="B10" s="9">
        <v>474583333</v>
      </c>
    </row>
    <row r="11" spans="1:2" x14ac:dyDescent="0.3">
      <c r="A11">
        <v>9</v>
      </c>
      <c r="B11" s="9">
        <v>474583333</v>
      </c>
    </row>
    <row r="12" spans="1:2" x14ac:dyDescent="0.3">
      <c r="A12">
        <v>10</v>
      </c>
      <c r="B12" s="9">
        <v>474583333</v>
      </c>
    </row>
    <row r="13" spans="1:2" x14ac:dyDescent="0.3">
      <c r="A13">
        <v>11</v>
      </c>
      <c r="B13" s="9">
        <v>474583333</v>
      </c>
    </row>
    <row r="14" spans="1:2" x14ac:dyDescent="0.3">
      <c r="A14">
        <v>12</v>
      </c>
      <c r="B14" s="9">
        <v>474583333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2024-11-06T10:11:34Z</dcterms:created>
  <dcterms:modified xsi:type="dcterms:W3CDTF">2025-09-16T09:21:04Z</dcterms:modified>
</cp:coreProperties>
</file>