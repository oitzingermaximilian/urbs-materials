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6218856D-805C-4B1B-BDBB-7859A8B76B50}"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0" i="5"/>
  <c r="E22" i="5" s="1"/>
  <c r="E19" i="5"/>
  <c r="E21" i="5" s="1"/>
  <c r="E24" i="5" s="1"/>
  <c r="E26" i="5" s="1"/>
  <c r="E18" i="5"/>
  <c r="E17" i="5"/>
  <c r="E16" i="5"/>
  <c r="E15" i="5"/>
  <c r="E14" i="5"/>
  <c r="E12" i="5"/>
  <c r="E11" i="5"/>
  <c r="E10" i="5"/>
  <c r="E9" i="5"/>
  <c r="E8" i="5"/>
  <c r="E6" i="5"/>
  <c r="E3" i="5"/>
  <c r="E5" i="5" s="1"/>
  <c r="E7" i="5" s="1"/>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<sst xmlns="http://schemas.openxmlformats.org/spreadsheetml/2006/main" count="282" uniqueCount="97">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</sst>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5" borderId="0" xfId="0" applyFill="1" applyAlignment="1">
      <alignment horizontal="right"/>
    </xf>
    <xf numFmtId="0" fontId="0" fillId="5" borderId="0" xfId="0" applyFill="1"/>
    <xf numFmtId="0" fontId="0" fillId="6" borderId="0" xfId="0" applyFill="1"/>
    <xf numFmtId="3" fontId="0" fillId="6" borderId="0" xfId="0" applyNumberFormat="1" applyFill="1"/>
    <xf numFmtId="0" fontId="2" fillId="7"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8" borderId="0" xfId="0" applyNumberFormat="1" applyFill="1"/>
    <xf numFmtId="0" fontId="0" fillId="8" borderId="0" xfId="0" applyFill="1"/>
    <xf numFmtId="3" fontId="0" fillId="9" borderId="0" xfId="0" applyNumberFormat="1" applyFill="1" applyAlignment="1">
      <alignment horizontal="right"/>
    </xf>
    <xf numFmtId="0" fontId="0" fillId="9" borderId="0" xfId="0" applyFill="1" applyAlignment="1">
      <alignment horizontal="right"/>
    </xf>
    <xf numFmtId="166" fontId="0" fillId="6" borderId="0" xfId="0" applyNumberFormat="1" applyFill="1"/>
    <xf numFmtId="3" fontId="0" fillId="0" borderId="0" xfId="0" applyNumberFormat="1" applyAlignment="1">
      <alignment horizontal="right"/>
    </xf>
    <xf numFmtId="0" fontId="0" fillId="0" borderId="0" xfId="0" applyAlignment="1">
      <alignment horizontal="right"/>
    </xf>
    <xf numFmtId="3" fontId="0" fillId="8" borderId="0" xfId="0" applyNumberFormat="1" applyFill="1" applyAlignment="1">
      <alignment horizontal="right" indent="2"/>
    </xf>
    <xf numFmtId="0" fontId="0" fillId="8" borderId="0" xfId="0" applyFill="1" applyAlignment="1">
      <alignment horizontal="center"/>
    </xf>
    <xf numFmtId="166" fontId="0" fillId="8" borderId="0" xfId="0" applyNumberFormat="1" applyFill="1" applyAlignment="1">
      <alignment horizontal="right" indent="2"/>
    </xf>
    <xf numFmtId="0" fontId="0" fillId="8" borderId="0" xfId="0" applyFill="1" applyAlignment="1">
      <alignment horizontal="right" indent="2"/>
    </xf>
    <xf numFmtId="3" fontId="0" fillId="6" borderId="0" xfId="0" applyNumberFormat="1" applyFill="1" applyAlignment="1">
      <alignment horizontal="right"/>
    </xf>
    <xf numFmtId="166" fontId="0" fillId="0" borderId="0" xfId="0" applyNumberFormat="1"/>
    <xf numFmtId="0" fontId="0" fillId="10" borderId="0" xfId="0" applyFill="1"/>
    <xf numFmtId="166" fontId="0" fillId="0" borderId="0" xfId="0" applyNumberFormat="1" applyAlignment="1">
      <alignment horizontal="right" indent="2"/>
    </xf>
    <xf numFmtId="0" fontId="0" fillId="0" borderId="0" xfId="0" applyAlignment="1">
      <alignment horizontal="right" indent="2"/>
    </xf>
    <xf numFmtId="2" fontId="0" fillId="8"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45">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B3" sqref="B3"/>
    </sheetView>
  </sheetViews>
  <sheetFormatPr baseColWidth="10" defaultColWidth="9.109375" defaultRowHeight="14.4" x14ac:dyDescent="0.3"/>
  <cols>
    <col min="2" max="2" width="25.5546875" customWidth="1"/>
  </cols>
  <sheetData>
    <row r="1" spans="1:3" x14ac:dyDescent="0.3">
      <c r="A1" s="1" t="s">
        <v>0</v>
      </c>
      <c r="B1" s="1" t="s">
        <v>1</v>
      </c>
      <c r="C1" s="1" t="s">
        <v>2</v>
      </c>
    </row>
    <row r="2" spans="1:3" x14ac:dyDescent="0.3">
      <c r="A2" t="s">
        <v>3</v>
      </c>
      <c r="B2">
        <v>2028</v>
      </c>
      <c r="C2" t="s">
        <v>4</v>
      </c>
    </row>
    <row r="3" spans="1:3" x14ac:dyDescent="0.3">
      <c r="A3" t="s">
        <v>5</v>
      </c>
      <c r="B3" s="7">
        <v>380520000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1" customWidth="1"/>
    <col min="2" max="2" width="13.5546875" style="11" bestFit="1" customWidth="1"/>
    <col min="3" max="3" width="10.6640625" style="11" customWidth="1"/>
    <col min="4" max="5" width="10.6640625" style="25" customWidth="1"/>
    <col min="6" max="6" width="13.88671875" style="26" bestFit="1" customWidth="1"/>
    <col min="7" max="16384" width="11.44140625" style="11"/>
  </cols>
  <sheetData>
    <row r="1" spans="1:6" x14ac:dyDescent="0.3">
      <c r="A1" t="s">
        <v>10</v>
      </c>
      <c r="B1" t="s">
        <v>11</v>
      </c>
      <c r="C1" t="s">
        <v>12</v>
      </c>
      <c r="D1" s="20" t="s">
        <v>13</v>
      </c>
      <c r="E1" s="20" t="s">
        <v>14</v>
      </c>
      <c r="F1" s="21" t="s">
        <v>15</v>
      </c>
    </row>
    <row r="2" spans="1:6" x14ac:dyDescent="0.3">
      <c r="A2" s="9" t="s">
        <v>9</v>
      </c>
      <c r="B2" s="9" t="s">
        <v>17</v>
      </c>
      <c r="C2" s="9" t="s">
        <v>16</v>
      </c>
      <c r="D2" s="18" t="e">
        <f>NA()</f>
        <v>#N/A</v>
      </c>
      <c r="E2" s="18" t="e">
        <f>NA()</f>
        <v>#N/A</v>
      </c>
      <c r="F2" s="18" t="e">
        <f>NA()</f>
        <v>#N/A</v>
      </c>
    </row>
    <row r="3" spans="1:6" x14ac:dyDescent="0.3">
      <c r="A3" s="9" t="s">
        <v>9</v>
      </c>
      <c r="B3" s="9" t="s">
        <v>18</v>
      </c>
      <c r="C3" s="9" t="s">
        <v>19</v>
      </c>
      <c r="D3" s="18" t="e">
        <f>NA()</f>
        <v>#N/A</v>
      </c>
      <c r="E3" s="18" t="e">
        <f>NA()</f>
        <v>#N/A</v>
      </c>
      <c r="F3" s="18" t="e">
        <f>NA()</f>
        <v>#N/A</v>
      </c>
    </row>
    <row r="4" spans="1:6" x14ac:dyDescent="0.3">
      <c r="A4" s="9" t="s">
        <v>9</v>
      </c>
      <c r="B4" s="9" t="s">
        <v>20</v>
      </c>
      <c r="C4" s="9" t="s">
        <v>21</v>
      </c>
      <c r="D4">
        <v>8.64</v>
      </c>
      <c r="E4" s="22" t="s">
        <v>22</v>
      </c>
      <c r="F4" s="23" t="s">
        <v>22</v>
      </c>
    </row>
    <row r="5" spans="1:6" x14ac:dyDescent="0.3">
      <c r="A5" s="9" t="s">
        <v>9</v>
      </c>
      <c r="B5" s="9" t="s">
        <v>89</v>
      </c>
      <c r="C5" s="9" t="s">
        <v>21</v>
      </c>
      <c r="D5">
        <v>22.68</v>
      </c>
      <c r="E5" s="22" t="s">
        <v>22</v>
      </c>
      <c r="F5" s="23" t="s">
        <v>22</v>
      </c>
    </row>
    <row r="6" spans="1:6" x14ac:dyDescent="0.3">
      <c r="A6" s="9" t="s">
        <v>9</v>
      </c>
      <c r="B6" s="9" t="s">
        <v>23</v>
      </c>
      <c r="C6" s="9" t="s">
        <v>24</v>
      </c>
      <c r="D6">
        <v>65</v>
      </c>
      <c r="E6" s="22" t="s">
        <v>22</v>
      </c>
      <c r="F6" s="22" t="s">
        <v>22</v>
      </c>
    </row>
    <row r="7" spans="1:6" x14ac:dyDescent="0.3">
      <c r="A7" s="9" t="s">
        <v>9</v>
      </c>
      <c r="B7" s="9" t="s">
        <v>25</v>
      </c>
      <c r="C7" s="9" t="s">
        <v>21</v>
      </c>
      <c r="D7">
        <v>67.680000000000007</v>
      </c>
      <c r="E7" s="22" t="s">
        <v>22</v>
      </c>
      <c r="F7" s="23" t="s">
        <v>22</v>
      </c>
    </row>
    <row r="8" spans="1:6" x14ac:dyDescent="0.3">
      <c r="A8" s="9" t="s">
        <v>9</v>
      </c>
      <c r="B8" s="9" t="s">
        <v>26</v>
      </c>
      <c r="C8" s="9" t="s">
        <v>21</v>
      </c>
      <c r="D8">
        <v>6.12</v>
      </c>
      <c r="E8" s="22" t="s">
        <v>22</v>
      </c>
      <c r="F8" s="23" t="s">
        <v>22</v>
      </c>
    </row>
    <row r="9" spans="1:6" x14ac:dyDescent="0.3">
      <c r="A9" s="9" t="s">
        <v>9</v>
      </c>
      <c r="B9" s="9" t="s">
        <v>27</v>
      </c>
      <c r="C9" s="9" t="s">
        <v>21</v>
      </c>
      <c r="D9">
        <v>6.48</v>
      </c>
      <c r="E9" s="22" t="s">
        <v>22</v>
      </c>
      <c r="F9" s="23" t="s">
        <v>22</v>
      </c>
    </row>
    <row r="10" spans="1:6" x14ac:dyDescent="0.3">
      <c r="A10" s="9" t="s">
        <v>9</v>
      </c>
      <c r="B10" s="9" t="s">
        <v>90</v>
      </c>
      <c r="C10" s="9" t="s">
        <v>21</v>
      </c>
      <c r="D10">
        <v>33.119999999999997</v>
      </c>
      <c r="E10" s="22" t="s">
        <v>22</v>
      </c>
      <c r="F10" s="23" t="s">
        <v>22</v>
      </c>
    </row>
    <row r="11" spans="1:6" x14ac:dyDescent="0.3">
      <c r="A11" s="9" t="s">
        <v>9</v>
      </c>
      <c r="B11" s="9" t="s">
        <v>91</v>
      </c>
      <c r="C11" s="9" t="s">
        <v>21</v>
      </c>
      <c r="D11">
        <v>33.119999999999997</v>
      </c>
      <c r="E11" s="22" t="s">
        <v>22</v>
      </c>
      <c r="F11" s="23" t="s">
        <v>22</v>
      </c>
    </row>
  </sheetData>
  <conditionalFormatting sqref="B8:B11">
    <cfRule type="expression" dxfId="38" priority="2">
      <formula>NOT(EXACT(INDIRECT("Z"&amp;ROW()-1&amp;"S1",FALSE()), INDIRECT("Z"&amp;ROW()&amp;"S1",FALSE())))</formula>
    </cfRule>
  </conditionalFormatting>
  <conditionalFormatting sqref="B2:B11">
    <cfRule type="duplicateValues" dxfId="37" priority="1"/>
  </conditionalFormatting>
  <dataValidations count="3">
    <dataValidation allowBlank="1" showInputMessage="1" showErrorMessage="1" promptTitle="Maximum commodity use per hour" prompt="For stock commodities, this value limits the energy use per hour (MW)._x000a_" sqref="F1" xr:uid="{A6149DE3-4B0F-4462-B782-67C0CF021D45}"/>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222ADCD6-BFC2-4097-98E0-AB84651B5536}"/>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E97DDC3D-C3B2-4BDB-B9F5-ADD9FB3D0637}"/>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1" customWidth="1"/>
    <col min="2" max="2" width="16.33203125" style="11" bestFit="1" customWidth="1"/>
    <col min="3" max="3" width="10.6640625" style="19" customWidth="1"/>
    <col min="4" max="4" width="20.88671875" style="19" customWidth="1"/>
    <col min="5" max="5" width="15.109375" style="19" customWidth="1"/>
    <col min="6" max="6" width="10.6640625" style="11" customWidth="1"/>
    <col min="7" max="7" width="24" style="19" customWidth="1"/>
    <col min="8" max="8" width="10.6640625" style="19" customWidth="1"/>
    <col min="9" max="9" width="10.6640625" style="34" customWidth="1"/>
    <col min="10" max="10" width="16.109375" style="11" bestFit="1" customWidth="1"/>
    <col min="11" max="11" width="10.5546875" style="11" customWidth="1"/>
    <col min="12" max="12" width="14.88671875" style="35" bestFit="1" customWidth="1"/>
    <col min="13" max="13" width="14.88671875" style="11" bestFit="1" customWidth="1"/>
    <col min="14" max="16384" width="11.44140625" style="11"/>
  </cols>
  <sheetData>
    <row r="1" spans="1:13" x14ac:dyDescent="0.3">
      <c r="A1" t="s">
        <v>10</v>
      </c>
      <c r="B1" t="s">
        <v>28</v>
      </c>
      <c r="C1" s="27" t="s">
        <v>29</v>
      </c>
      <c r="D1" s="27" t="s">
        <v>30</v>
      </c>
      <c r="E1" s="27" t="s">
        <v>31</v>
      </c>
      <c r="F1" s="28" t="s">
        <v>32</v>
      </c>
      <c r="G1" s="27" t="s">
        <v>33</v>
      </c>
      <c r="H1" s="27" t="s">
        <v>34</v>
      </c>
      <c r="I1" s="29" t="s">
        <v>35</v>
      </c>
      <c r="J1" s="28" t="s">
        <v>36</v>
      </c>
      <c r="K1" s="30" t="s">
        <v>37</v>
      </c>
      <c r="L1" s="30" t="s">
        <v>38</v>
      </c>
      <c r="M1" s="30" t="s">
        <v>39</v>
      </c>
    </row>
    <row r="2" spans="1:13" x14ac:dyDescent="0.3">
      <c r="A2" s="11" t="s">
        <v>9</v>
      </c>
      <c r="B2" s="11" t="s">
        <v>42</v>
      </c>
      <c r="C2" s="19">
        <v>0</v>
      </c>
      <c r="D2" s="19">
        <v>56122</v>
      </c>
      <c r="E2" s="13" t="s">
        <v>22</v>
      </c>
      <c r="F2" s="14">
        <v>0.5</v>
      </c>
      <c r="G2" s="16">
        <v>1784013.3447999998</v>
      </c>
      <c r="H2" s="31">
        <v>28544.213516800002</v>
      </c>
      <c r="I2" s="24">
        <v>2.7</v>
      </c>
      <c r="J2" s="15">
        <v>0</v>
      </c>
      <c r="K2" s="17">
        <v>7.0999999999999994E-2</v>
      </c>
      <c r="L2" s="15">
        <v>40</v>
      </c>
      <c r="M2" s="18" t="e">
        <v>#N/A</v>
      </c>
    </row>
    <row r="3" spans="1:13" x14ac:dyDescent="0.3">
      <c r="A3" s="11" t="s">
        <v>9</v>
      </c>
      <c r="B3" s="11" t="s">
        <v>92</v>
      </c>
      <c r="C3" s="19">
        <v>0</v>
      </c>
      <c r="D3" s="19">
        <v>43599</v>
      </c>
      <c r="E3" s="13" t="s">
        <v>22</v>
      </c>
      <c r="F3" s="14">
        <v>0.65</v>
      </c>
      <c r="G3" s="24">
        <v>2230016.6809999999</v>
      </c>
      <c r="H3" s="24">
        <v>52182.390330800001</v>
      </c>
      <c r="I3" s="15">
        <v>4.5999999999999996</v>
      </c>
      <c r="J3" s="15">
        <v>0</v>
      </c>
      <c r="K3" s="17">
        <v>7.0999999999999994E-2</v>
      </c>
      <c r="L3" s="15">
        <v>40</v>
      </c>
      <c r="M3" s="18" t="e">
        <v>#N/A</v>
      </c>
    </row>
    <row r="4" spans="1:13" x14ac:dyDescent="0.3">
      <c r="A4" s="11" t="s">
        <v>9</v>
      </c>
      <c r="B4" s="11" t="s">
        <v>43</v>
      </c>
      <c r="C4" s="19">
        <v>0</v>
      </c>
      <c r="D4" s="19">
        <v>999999</v>
      </c>
      <c r="E4" s="13" t="s">
        <v>22</v>
      </c>
      <c r="F4" s="11">
        <v>0</v>
      </c>
      <c r="G4" s="24">
        <v>802808.92800000007</v>
      </c>
      <c r="H4" s="24">
        <v>16725.186000000002</v>
      </c>
      <c r="I4" s="15">
        <v>2.6</v>
      </c>
      <c r="J4" s="16">
        <v>0</v>
      </c>
      <c r="K4" s="17">
        <v>7.0999999999999994E-2</v>
      </c>
      <c r="L4" s="15">
        <v>25</v>
      </c>
      <c r="M4" s="18" t="e">
        <v>#N/A</v>
      </c>
    </row>
    <row r="5" spans="1:13" x14ac:dyDescent="0.3">
      <c r="A5" s="11" t="s">
        <v>9</v>
      </c>
      <c r="B5" s="11" t="s">
        <v>93</v>
      </c>
      <c r="C5" s="19">
        <v>0</v>
      </c>
      <c r="D5" s="19">
        <v>13483</v>
      </c>
      <c r="E5" s="13" t="s">
        <v>22</v>
      </c>
      <c r="F5" s="11">
        <v>0</v>
      </c>
      <c r="G5">
        <v>5648000</v>
      </c>
      <c r="H5" s="32">
        <v>16725.186000000002</v>
      </c>
      <c r="I5">
        <v>2.6</v>
      </c>
      <c r="J5" s="16">
        <v>0</v>
      </c>
      <c r="K5" s="17">
        <v>7.0999999999999994E-2</v>
      </c>
      <c r="L5" s="15">
        <v>25</v>
      </c>
      <c r="M5" s="18" t="e">
        <v>#N/A</v>
      </c>
    </row>
    <row r="6" spans="1:13" x14ac:dyDescent="0.3">
      <c r="A6" s="11" t="s">
        <v>9</v>
      </c>
      <c r="B6" s="11" t="s">
        <v>94</v>
      </c>
      <c r="C6" s="19">
        <v>0</v>
      </c>
      <c r="D6" s="19">
        <v>14578</v>
      </c>
      <c r="E6" s="13" t="s">
        <v>22</v>
      </c>
      <c r="F6" s="11">
        <v>0</v>
      </c>
      <c r="G6">
        <v>5648000</v>
      </c>
      <c r="H6" s="32">
        <v>16725.186000000002</v>
      </c>
      <c r="I6">
        <v>2.6</v>
      </c>
      <c r="J6" s="16">
        <v>0</v>
      </c>
      <c r="K6" s="17">
        <v>7.0999999999999994E-2</v>
      </c>
      <c r="L6" s="15">
        <v>25</v>
      </c>
      <c r="M6" s="18" t="e">
        <v>#N/A</v>
      </c>
    </row>
    <row r="7" spans="1:13" x14ac:dyDescent="0.3">
      <c r="A7" s="11" t="s">
        <v>9</v>
      </c>
      <c r="B7" s="11" t="s">
        <v>95</v>
      </c>
      <c r="C7" s="19">
        <v>0</v>
      </c>
      <c r="D7" s="19">
        <v>100000</v>
      </c>
      <c r="E7" s="13" t="s">
        <v>22</v>
      </c>
      <c r="F7" s="14">
        <v>0.5</v>
      </c>
      <c r="G7" s="15">
        <v>3791028.3572399998</v>
      </c>
      <c r="H7" s="15">
        <v>84183.129702000006</v>
      </c>
      <c r="I7" s="15">
        <v>6.75</v>
      </c>
      <c r="J7" s="16">
        <v>0</v>
      </c>
      <c r="K7" s="17">
        <v>7.0999999999999994E-2</v>
      </c>
      <c r="L7" s="15">
        <v>40</v>
      </c>
      <c r="M7" s="18" t="e">
        <v>#N/A</v>
      </c>
    </row>
    <row r="8" spans="1:13" x14ac:dyDescent="0.3">
      <c r="A8" s="11" t="s">
        <v>9</v>
      </c>
      <c r="B8" s="11" t="s">
        <v>96</v>
      </c>
      <c r="C8" s="19">
        <v>0</v>
      </c>
      <c r="D8" s="19">
        <v>100000</v>
      </c>
      <c r="E8" s="13" t="s">
        <v>22</v>
      </c>
      <c r="F8" s="14">
        <v>0.65</v>
      </c>
      <c r="G8" s="15">
        <v>4014030.0248799999</v>
      </c>
      <c r="H8" s="15">
        <v>76489.572146799997</v>
      </c>
      <c r="I8" s="15">
        <v>6.96</v>
      </c>
      <c r="J8" s="16">
        <v>0</v>
      </c>
      <c r="K8" s="17">
        <v>7.0999999999999994E-2</v>
      </c>
      <c r="L8" s="15">
        <v>40</v>
      </c>
      <c r="M8" s="18" t="e">
        <v>#N/A</v>
      </c>
    </row>
    <row r="9" spans="1:13" x14ac:dyDescent="0.3">
      <c r="A9" s="11" t="s">
        <v>9</v>
      </c>
      <c r="B9" s="11" t="s">
        <v>88</v>
      </c>
      <c r="C9" s="19">
        <v>0</v>
      </c>
      <c r="D9" s="19">
        <v>100000</v>
      </c>
      <c r="E9" s="13" t="s">
        <v>22</v>
      </c>
      <c r="F9" s="11">
        <v>0</v>
      </c>
      <c r="G9" s="15">
        <v>1951271.6999999997</v>
      </c>
      <c r="H9" s="15">
        <v>45715.5</v>
      </c>
      <c r="I9" s="15">
        <v>3.46</v>
      </c>
      <c r="J9" s="16">
        <v>0</v>
      </c>
      <c r="K9" s="17">
        <v>7.0999999999999994E-2</v>
      </c>
      <c r="L9" s="15">
        <v>25</v>
      </c>
      <c r="M9" s="18" t="e">
        <v>#N/A</v>
      </c>
    </row>
    <row r="10" spans="1:13" x14ac:dyDescent="0.3">
      <c r="A10" s="11" t="s">
        <v>9</v>
      </c>
      <c r="B10" s="12" t="s">
        <v>44</v>
      </c>
      <c r="C10" s="19">
        <v>0</v>
      </c>
      <c r="D10" s="19">
        <v>94198</v>
      </c>
      <c r="E10" s="13" t="s">
        <v>22</v>
      </c>
      <c r="F10" s="11">
        <v>0</v>
      </c>
      <c r="G10" s="24">
        <v>5909565.7200000007</v>
      </c>
      <c r="H10" s="31">
        <v>133801.48800000001</v>
      </c>
      <c r="I10" s="24">
        <v>7.1</v>
      </c>
      <c r="J10" s="15">
        <v>0</v>
      </c>
      <c r="K10" s="17">
        <v>7.0999999999999994E-2</v>
      </c>
      <c r="L10" s="15">
        <v>60</v>
      </c>
      <c r="M10" s="18" t="e">
        <v>#N/A</v>
      </c>
    </row>
    <row r="11" spans="1:13" x14ac:dyDescent="0.3">
      <c r="A11" s="11" t="s">
        <v>9</v>
      </c>
      <c r="B11" s="12" t="s">
        <v>40</v>
      </c>
      <c r="C11" s="19">
        <v>0</v>
      </c>
      <c r="D11" s="19">
        <v>46703</v>
      </c>
      <c r="E11" s="13" t="s">
        <v>22</v>
      </c>
      <c r="F11" s="11">
        <v>0</v>
      </c>
      <c r="G11" s="24">
        <v>2731780.3800000004</v>
      </c>
      <c r="H11" s="24">
        <v>9923.6103600000006</v>
      </c>
      <c r="I11" s="24">
        <v>0</v>
      </c>
      <c r="J11" s="15">
        <v>0</v>
      </c>
      <c r="K11" s="17">
        <v>7.0999999999999994E-2</v>
      </c>
      <c r="L11" s="15">
        <v>60</v>
      </c>
      <c r="M11" s="18" t="e">
        <v>#N/A</v>
      </c>
    </row>
    <row r="12" spans="1:13" x14ac:dyDescent="0.3">
      <c r="A12" s="11" t="s">
        <v>9</v>
      </c>
      <c r="B12" s="12" t="s">
        <v>41</v>
      </c>
      <c r="C12" s="19">
        <v>0</v>
      </c>
      <c r="D12" s="19">
        <v>61218</v>
      </c>
      <c r="E12" s="13" t="s">
        <v>22</v>
      </c>
      <c r="F12" s="11">
        <v>0</v>
      </c>
      <c r="G12" s="15">
        <v>3345037.2</v>
      </c>
      <c r="H12" s="15">
        <v>28432.799999999999</v>
      </c>
      <c r="I12" s="15">
        <v>0.35699999999999998</v>
      </c>
      <c r="J12" s="15">
        <v>0</v>
      </c>
      <c r="K12" s="17">
        <v>7.0999999999999994E-2</v>
      </c>
      <c r="L12" s="15">
        <v>50</v>
      </c>
      <c r="M12" s="18" t="e">
        <v>#N/A</v>
      </c>
    </row>
    <row r="13" spans="1:13" x14ac:dyDescent="0.3">
      <c r="A13" s="11" t="s">
        <v>9</v>
      </c>
      <c r="B13" s="12" t="s">
        <v>45</v>
      </c>
      <c r="C13" s="19">
        <v>0</v>
      </c>
      <c r="D13" s="19">
        <v>999999</v>
      </c>
      <c r="E13" s="13" t="s">
        <v>22</v>
      </c>
      <c r="F13" s="11">
        <v>0</v>
      </c>
      <c r="G13" s="33">
        <v>5648000</v>
      </c>
      <c r="H13" s="33">
        <v>0</v>
      </c>
      <c r="I13" s="33">
        <v>44.2</v>
      </c>
      <c r="J13" s="15">
        <v>0</v>
      </c>
      <c r="K13" s="17">
        <v>7.0999999999999994E-2</v>
      </c>
      <c r="L13" s="15">
        <v>25</v>
      </c>
      <c r="M13" s="18" t="e">
        <v>#N/A</v>
      </c>
    </row>
  </sheetData>
  <conditionalFormatting sqref="P2:XFD4">
    <cfRule type="expression" dxfId="36" priority="16">
      <formula>NOT(EXACT(INDIRECT("Z"&amp;ROW()-1&amp;"S1",FALSE()), INDIRECT("Z"&amp;ROW()&amp;"S1",FALSE())))</formula>
    </cfRule>
  </conditionalFormatting>
  <conditionalFormatting sqref="A1:XFD1 A14:XFD1048576 N12:XFD13">
    <cfRule type="expression" dxfId="35" priority="17">
      <formula>NOT(EXACT(INDIRECT("Z"&amp;ROW()-1&amp;"S1",FALSE()), INDIRECT("Z"&amp;ROW()&amp;"S1",FALSE())))</formula>
    </cfRule>
  </conditionalFormatting>
  <conditionalFormatting sqref="C2:D13 F9:F13 F4:F6">
    <cfRule type="expression" dxfId="34" priority="15">
      <formula>NOT(EXACT(INDIRECT("Z"&amp;ROW()-1&amp;"S1",FALSE()), INDIRECT("Z"&amp;ROW()&amp;"S1",FALSE())))</formula>
    </cfRule>
  </conditionalFormatting>
  <conditionalFormatting sqref="E2:E4 E12:E13">
    <cfRule type="expression" dxfId="33" priority="14">
      <formula>NOT(EXACT(INDIRECT("Z"&amp;ROW()-1&amp;"S1",FALSE()), INDIRECT("Z"&amp;ROW()&amp;"S1",FALSE())))</formula>
    </cfRule>
  </conditionalFormatting>
  <conditionalFormatting sqref="F2">
    <cfRule type="expression" dxfId="32" priority="13">
      <formula>NOT(EXACT(INDIRECT("Z"&amp;ROW()-1&amp;"S1",FALSE()), INDIRECT("Z"&amp;ROW()&amp;"S1",FALSE())))</formula>
    </cfRule>
  </conditionalFormatting>
  <conditionalFormatting sqref="F7">
    <cfRule type="expression" dxfId="31" priority="12">
      <formula>NOT(EXACT(INDIRECT("Z"&amp;ROW()-1&amp;"S1",FALSE()), INDIRECT("Z"&amp;ROW()&amp;"S1",FALSE())))</formula>
    </cfRule>
  </conditionalFormatting>
  <conditionalFormatting sqref="G11:M11">
    <cfRule type="expression" dxfId="30" priority="11">
      <formula>NOT(EXACT(INDIRECT("Z"&amp;ROW()-1&amp;"S1",FALSE()), INDIRECT("Z"&amp;ROW()&amp;"S1",FALSE())))</formula>
    </cfRule>
  </conditionalFormatting>
  <conditionalFormatting sqref="G11:I11">
    <cfRule type="expression" dxfId="29" priority="10">
      <formula>NOT(EXACT(INDIRECT("Z"&amp;ROW()-1&amp;"S1",FALSE()), INDIRECT("Z"&amp;ROW()&amp;"S1",FALSE())))</formula>
    </cfRule>
  </conditionalFormatting>
  <conditionalFormatting sqref="G12:M12">
    <cfRule type="expression" dxfId="28" priority="9">
      <formula>NOT(EXACT(INDIRECT("Z"&amp;ROW()-1&amp;"S1",FALSE()), INDIRECT("Z"&amp;ROW()&amp;"S1",FALSE())))</formula>
    </cfRule>
  </conditionalFormatting>
  <conditionalFormatting sqref="G2:M2">
    <cfRule type="expression" dxfId="27" priority="8">
      <formula>NOT(EXACT(INDIRECT("Z"&amp;ROW()-1&amp;"S1",FALSE()), INDIRECT("Z"&amp;ROW()&amp;"S1",FALSE())))</formula>
    </cfRule>
  </conditionalFormatting>
  <conditionalFormatting sqref="B2:B9">
    <cfRule type="expression" dxfId="26" priority="7">
      <formula>NOT(EXACT(INDIRECT("Z"&amp;ROW()-1&amp;"S1",FALSE()), INDIRECT("Z"&amp;ROW()&amp;"S1",FALSE())))</formula>
    </cfRule>
  </conditionalFormatting>
  <conditionalFormatting sqref="A2:A4">
    <cfRule type="expression" dxfId="25" priority="6">
      <formula>NOT(EXACT(INDIRECT("Z"&amp;ROW()-1&amp;"S1",FALSE()), INDIRECT("Z"&amp;ROW()&amp;"S1",FALSE())))</formula>
    </cfRule>
  </conditionalFormatting>
  <conditionalFormatting sqref="A2:A13">
    <cfRule type="expression" dxfId="24" priority="5">
      <formula>NOT(EXACT(INDIRECT("Z"&amp;ROW()-1&amp;"S1",FALSE()), INDIRECT("Z"&amp;ROW()&amp;"S1",FALSE())))</formula>
    </cfRule>
  </conditionalFormatting>
  <conditionalFormatting sqref="B10">
    <cfRule type="expression" dxfId="23" priority="4">
      <formula>NOT(EXACT(INDIRECT("Z"&amp;ROW()-1&amp;"S1",FALSE()), INDIRECT("Z"&amp;ROW()&amp;"S1",FALSE())))</formula>
    </cfRule>
  </conditionalFormatting>
  <conditionalFormatting sqref="B11:B12">
    <cfRule type="expression" dxfId="22" priority="3">
      <formula>NOT(EXACT(INDIRECT("Z"&amp;ROW()-1&amp;"S1",FALSE()), INDIRECT("Z"&amp;ROW()&amp;"S1",FALSE())))</formula>
    </cfRule>
  </conditionalFormatting>
  <conditionalFormatting sqref="B11:B12">
    <cfRule type="expression" dxfId="21" priority="2">
      <formula>NOT(EXACT(INDIRECT("Z"&amp;ROW()-1&amp;"S1",FALSE()), INDIRECT("Z"&amp;ROW()&amp;"S1",FALSE())))</formula>
    </cfRule>
  </conditionalFormatting>
  <conditionalFormatting sqref="B13">
    <cfRule type="expression" dxfId="20"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CA79E092-6B84-49C2-A3C2-216380FFAD73}"/>
    <dataValidation allowBlank="1" showInputMessage="1" showErrorMessage="1" promptTitle="Weighted average cost of capital" prompt="Percentage (%) of costs for capital after taxes. Used to calculate annuity factor for investment costs." sqref="K1" xr:uid="{371C60AA-8619-44ED-A70F-D0AE22F419D1}"/>
    <dataValidation allowBlank="1" showInputMessage="1" showErrorMessage="1" promptTitle="Area use per capacity (m^2/MW) " prompt="If a process requires area set value here. If no area use is to be considered set NV(). " sqref="M1" xr:uid="{EB7AE938-CF31-4784-8C52-992C80AC01C2}"/>
    <dataValidation allowBlank="1" showInputMessage="1" showErrorMessage="1" promptTitle="Minimum load fraction" prompt="This value sets the minimum possible fraction of the process capacity which the process can run at." sqref="F1" xr:uid="{1F868F41-F66F-4AEA-96B6-4C3B9BA19680}"/>
    <dataValidation allowBlank="1" showInputMessage="1" showErrorMessage="1" promptTitle="Maximal power gradient (1/h)" prompt="Maximum allowed power gradient relative to power throughput capacity. Set value to inf or greater than 1/dt to disable it." sqref="E1" xr:uid="{D239E19F-47C4-4F78-8E28-0B3D33841B23}"/>
    <dataValidation allowBlank="1" showInputMessage="1" showErrorMessage="1" promptTitle="Depreciation period (a)" prompt="Economic lifetime (more conservative than technical lifetime) of a process investment in years (a). Used to calculate annuity factor for investment costs." sqref="L1" xr:uid="{B5C446EA-55C4-437B-AC55-EFEB5F255403}"/>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41C116D6-9984-4C93-8A10-0D72BF87A55F}"/>
    <dataValidation allowBlank="1" showInputMessage="1" showErrorMessage="1" promptTitle="Annual fix cost (€/MW/a)" prompt="Operation independent costs for existing and new capacities per MW throughput power." sqref="H1" xr:uid="{0F4FE925-76CC-4D07-97C5-A120E1A208C8}"/>
    <dataValidation allowBlank="1" showInputMessage="1" showErrorMessage="1" promptTitle="Investment cost (€/MW)" prompt="Total investement cost for adding capacity. Is annualized in the model using the annuity factor derived from 'wacc' and 'depreciation'." sqref="G1" xr:uid="{D43ECDB3-B174-424D-A9D1-26BABC19C03C}"/>
    <dataValidation allowBlank="1" showInputMessage="1" showErrorMessage="1" promptTitle="Maximum capacity (MW)" prompt="Maximum allowed power throughput capacity per process. Must be bigger than or equal to max('cap-lo', 'inst-cap')." sqref="D1" xr:uid="{C08000D7-C8E3-4D13-B376-6F392C763AF2}"/>
    <dataValidation allowBlank="1" showInputMessage="1" showErrorMessage="1" promptTitle="Minimum capacity (MW)" prompt="Minimum required power throughput capacity that is allowed per process. Must be smaller or equal to 'cap-up', but can be bigger than 'inst-cap' to force investment." sqref="C1" xr:uid="{FC6D7E31-374D-43C6-95F5-C5F1790720C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G42" sqref="G42"/>
    </sheetView>
  </sheetViews>
  <sheetFormatPr baseColWidth="10" defaultColWidth="11.44140625" defaultRowHeight="14.4" x14ac:dyDescent="0.3"/>
  <cols>
    <col min="1" max="1" width="16.33203125" style="11" bestFit="1" customWidth="1"/>
    <col min="2" max="2" width="13.5546875" style="11" bestFit="1" customWidth="1"/>
    <col min="3" max="3" width="11.44140625" style="11" bestFit="1"/>
    <col min="4" max="4" width="20.6640625" style="37" customWidth="1"/>
    <col min="5" max="5" width="18.5546875" style="37" customWidth="1"/>
    <col min="6" max="16384" width="11.44140625" style="11"/>
  </cols>
  <sheetData>
    <row r="1" spans="1:5" x14ac:dyDescent="0.3">
      <c r="A1" t="s">
        <v>28</v>
      </c>
      <c r="B1" t="s">
        <v>11</v>
      </c>
      <c r="C1" t="s">
        <v>46</v>
      </c>
      <c r="D1" s="36" t="s">
        <v>47</v>
      </c>
      <c r="E1" s="36" t="s">
        <v>48</v>
      </c>
    </row>
    <row r="2" spans="1:5" x14ac:dyDescent="0.3">
      <c r="A2" s="11" t="s">
        <v>92</v>
      </c>
      <c r="B2" s="9" t="s">
        <v>20</v>
      </c>
      <c r="C2" s="9" t="s">
        <v>49</v>
      </c>
      <c r="D2" s="10">
        <v>1</v>
      </c>
      <c r="E2" s="10">
        <v>2</v>
      </c>
    </row>
    <row r="3" spans="1:5" x14ac:dyDescent="0.3">
      <c r="A3" s="11" t="s">
        <v>92</v>
      </c>
      <c r="B3" s="9" t="s">
        <v>18</v>
      </c>
      <c r="C3" s="9" t="s">
        <v>50</v>
      </c>
      <c r="D3" s="10">
        <v>0.41</v>
      </c>
      <c r="E3" s="10" t="e">
        <f>NA()</f>
        <v>#N/A</v>
      </c>
    </row>
    <row r="4" spans="1:5" x14ac:dyDescent="0.3">
      <c r="A4" s="11" t="s">
        <v>92</v>
      </c>
      <c r="B4" s="9" t="s">
        <v>23</v>
      </c>
      <c r="C4" s="9" t="s">
        <v>50</v>
      </c>
      <c r="D4" s="10">
        <v>0.36299999999999999</v>
      </c>
      <c r="E4" s="10">
        <v>0.8</v>
      </c>
    </row>
    <row r="5" spans="1:5" x14ac:dyDescent="0.3">
      <c r="A5" s="8" t="s">
        <v>43</v>
      </c>
      <c r="B5" s="9" t="s">
        <v>89</v>
      </c>
      <c r="C5" s="9" t="s">
        <v>49</v>
      </c>
      <c r="D5" s="10">
        <v>1</v>
      </c>
      <c r="E5" s="10" t="e">
        <f>D5*E3</f>
        <v>#N/A</v>
      </c>
    </row>
    <row r="6" spans="1:5" x14ac:dyDescent="0.3">
      <c r="A6" s="8" t="s">
        <v>43</v>
      </c>
      <c r="B6" s="9" t="s">
        <v>18</v>
      </c>
      <c r="C6" s="9" t="s">
        <v>50</v>
      </c>
      <c r="D6" s="10">
        <v>0.6</v>
      </c>
      <c r="E6" s="10" t="e">
        <f>NA()</f>
        <v>#N/A</v>
      </c>
    </row>
    <row r="7" spans="1:5" x14ac:dyDescent="0.3">
      <c r="A7" s="8" t="s">
        <v>43</v>
      </c>
      <c r="B7" s="9" t="s">
        <v>23</v>
      </c>
      <c r="C7" s="9" t="s">
        <v>50</v>
      </c>
      <c r="D7" s="10">
        <v>0.20499999999999999</v>
      </c>
      <c r="E7" s="10" t="e">
        <f>D7*E5</f>
        <v>#N/A</v>
      </c>
    </row>
    <row r="8" spans="1:5" x14ac:dyDescent="0.3">
      <c r="A8" s="8" t="s">
        <v>45</v>
      </c>
      <c r="B8" s="9" t="s">
        <v>25</v>
      </c>
      <c r="C8" s="9" t="s">
        <v>49</v>
      </c>
      <c r="D8" s="10">
        <v>1</v>
      </c>
      <c r="E8" s="10" t="e">
        <f>NA()</f>
        <v>#N/A</v>
      </c>
    </row>
    <row r="9" spans="1:5" x14ac:dyDescent="0.3">
      <c r="A9" s="8" t="s">
        <v>45</v>
      </c>
      <c r="B9" s="9" t="s">
        <v>18</v>
      </c>
      <c r="C9" s="9" t="s">
        <v>50</v>
      </c>
      <c r="D9" s="10">
        <v>0.35</v>
      </c>
      <c r="E9" s="10" t="e">
        <f>NA()</f>
        <v>#N/A</v>
      </c>
    </row>
    <row r="10" spans="1:5" x14ac:dyDescent="0.3">
      <c r="A10" s="8" t="s">
        <v>45</v>
      </c>
      <c r="B10" s="9" t="s">
        <v>23</v>
      </c>
      <c r="C10" s="9" t="s">
        <v>50</v>
      </c>
      <c r="D10" s="10">
        <v>0</v>
      </c>
      <c r="E10" s="10" t="e">
        <f>NA()</f>
        <v>#N/A</v>
      </c>
    </row>
    <row r="11" spans="1:5" x14ac:dyDescent="0.3">
      <c r="A11" s="8" t="s">
        <v>44</v>
      </c>
      <c r="B11" s="9" t="s">
        <v>26</v>
      </c>
      <c r="C11" s="9" t="s">
        <v>49</v>
      </c>
      <c r="D11" s="10">
        <v>1</v>
      </c>
      <c r="E11" s="10" t="e">
        <f>NA()</f>
        <v>#N/A</v>
      </c>
    </row>
    <row r="12" spans="1:5" x14ac:dyDescent="0.3">
      <c r="A12" s="8" t="s">
        <v>44</v>
      </c>
      <c r="B12" s="9" t="s">
        <v>18</v>
      </c>
      <c r="C12" s="9" t="s">
        <v>50</v>
      </c>
      <c r="D12" s="10">
        <v>0.38</v>
      </c>
      <c r="E12" s="10" t="e">
        <f>NA()</f>
        <v>#N/A</v>
      </c>
    </row>
    <row r="13" spans="1:5" x14ac:dyDescent="0.3">
      <c r="A13" s="8" t="s">
        <v>42</v>
      </c>
      <c r="B13" s="9" t="s">
        <v>27</v>
      </c>
      <c r="C13" s="9" t="s">
        <v>49</v>
      </c>
      <c r="D13" s="10">
        <v>1</v>
      </c>
      <c r="E13" s="10">
        <v>1.4</v>
      </c>
    </row>
    <row r="14" spans="1:5" x14ac:dyDescent="0.3">
      <c r="A14" s="8" t="s">
        <v>42</v>
      </c>
      <c r="B14" s="9" t="s">
        <v>18</v>
      </c>
      <c r="C14" s="9" t="s">
        <v>50</v>
      </c>
      <c r="D14" s="10">
        <v>0.45</v>
      </c>
      <c r="E14" s="10" t="e">
        <f>NA()</f>
        <v>#N/A</v>
      </c>
    </row>
    <row r="15" spans="1:5" x14ac:dyDescent="0.3">
      <c r="A15" s="8" t="s">
        <v>42</v>
      </c>
      <c r="B15" s="9" t="s">
        <v>23</v>
      </c>
      <c r="C15" s="9" t="s">
        <v>50</v>
      </c>
      <c r="D15" s="10">
        <v>0.34179999999999999</v>
      </c>
      <c r="E15" s="10">
        <f>D15*E13</f>
        <v>0.47851999999999995</v>
      </c>
    </row>
    <row r="16" spans="1:5" x14ac:dyDescent="0.3">
      <c r="A16" s="8" t="s">
        <v>40</v>
      </c>
      <c r="B16" s="9" t="s">
        <v>17</v>
      </c>
      <c r="C16" s="9" t="s">
        <v>49</v>
      </c>
      <c r="D16" s="10">
        <v>1</v>
      </c>
      <c r="E16" s="10" t="e">
        <f>NA()</f>
        <v>#N/A</v>
      </c>
    </row>
    <row r="17" spans="1:5" x14ac:dyDescent="0.3">
      <c r="A17" s="8" t="s">
        <v>40</v>
      </c>
      <c r="B17" s="9" t="s">
        <v>18</v>
      </c>
      <c r="C17" s="9" t="s">
        <v>50</v>
      </c>
      <c r="D17" s="10">
        <v>1</v>
      </c>
      <c r="E17" s="10" t="e">
        <f>NA()</f>
        <v>#N/A</v>
      </c>
    </row>
    <row r="18" spans="1:5" x14ac:dyDescent="0.3">
      <c r="A18" s="8" t="s">
        <v>41</v>
      </c>
      <c r="B18" s="9" t="s">
        <v>17</v>
      </c>
      <c r="C18" s="9" t="s">
        <v>49</v>
      </c>
      <c r="D18" s="10">
        <v>1</v>
      </c>
      <c r="E18" s="10" t="e">
        <f>NA()</f>
        <v>#N/A</v>
      </c>
    </row>
    <row r="19" spans="1:5" x14ac:dyDescent="0.3">
      <c r="A19" s="8" t="s">
        <v>41</v>
      </c>
      <c r="B19" s="9" t="s">
        <v>18</v>
      </c>
      <c r="C19" s="9" t="s">
        <v>50</v>
      </c>
      <c r="D19" s="10">
        <v>1</v>
      </c>
      <c r="E19" s="10" t="e">
        <f>NA()</f>
        <v>#N/A</v>
      </c>
    </row>
    <row r="20" spans="1:5" x14ac:dyDescent="0.3">
      <c r="A20" s="11" t="s">
        <v>95</v>
      </c>
      <c r="B20" s="9" t="s">
        <v>27</v>
      </c>
      <c r="C20" s="9" t="s">
        <v>49</v>
      </c>
      <c r="D20" s="10">
        <v>1</v>
      </c>
      <c r="E20" s="10" t="e">
        <f>NA()</f>
        <v>#N/A</v>
      </c>
    </row>
    <row r="21" spans="1:5" x14ac:dyDescent="0.3">
      <c r="A21" s="11" t="s">
        <v>95</v>
      </c>
      <c r="B21" s="9" t="s">
        <v>18</v>
      </c>
      <c r="C21" s="9" t="s">
        <v>50</v>
      </c>
      <c r="D21" s="10">
        <v>0.36</v>
      </c>
      <c r="E21" s="10" t="e">
        <f>D21*E19</f>
        <v>#N/A</v>
      </c>
    </row>
    <row r="22" spans="1:5" x14ac:dyDescent="0.3">
      <c r="A22" s="11" t="s">
        <v>95</v>
      </c>
      <c r="B22" s="9" t="s">
        <v>23</v>
      </c>
      <c r="C22" s="9" t="s">
        <v>50</v>
      </c>
      <c r="D22" s="10">
        <v>3.4180000000000002E-2</v>
      </c>
      <c r="E22" s="10" t="e">
        <f>D22*E20</f>
        <v>#N/A</v>
      </c>
    </row>
    <row r="23" spans="1:5" x14ac:dyDescent="0.3">
      <c r="A23" s="11" t="s">
        <v>96</v>
      </c>
      <c r="B23" s="9" t="s">
        <v>27</v>
      </c>
      <c r="C23" s="9" t="s">
        <v>49</v>
      </c>
      <c r="D23" s="10">
        <v>1</v>
      </c>
      <c r="E23" s="10" t="e">
        <f>NA()</f>
        <v>#N/A</v>
      </c>
    </row>
    <row r="24" spans="1:5" x14ac:dyDescent="0.3">
      <c r="A24" s="11" t="s">
        <v>96</v>
      </c>
      <c r="B24" s="9" t="s">
        <v>18</v>
      </c>
      <c r="C24" s="9" t="s">
        <v>50</v>
      </c>
      <c r="D24" s="10">
        <v>0.32</v>
      </c>
      <c r="E24" s="10" t="e">
        <f>D24*E21</f>
        <v>#N/A</v>
      </c>
    </row>
    <row r="25" spans="1:5" x14ac:dyDescent="0.3">
      <c r="A25" s="11" t="s">
        <v>96</v>
      </c>
      <c r="B25" s="9" t="s">
        <v>23</v>
      </c>
      <c r="C25" s="9" t="s">
        <v>50</v>
      </c>
      <c r="D25" s="10">
        <v>3.6299999999999999E-2</v>
      </c>
      <c r="E25" s="10" t="e">
        <f>D25*E23</f>
        <v>#N/A</v>
      </c>
    </row>
    <row r="26" spans="1:5" x14ac:dyDescent="0.3">
      <c r="A26" s="8" t="s">
        <v>88</v>
      </c>
      <c r="B26" s="9" t="s">
        <v>89</v>
      </c>
      <c r="C26" s="9" t="s">
        <v>49</v>
      </c>
      <c r="D26" s="10">
        <v>1</v>
      </c>
      <c r="E26" s="10" t="e">
        <f>D26*E24</f>
        <v>#N/A</v>
      </c>
    </row>
    <row r="27" spans="1:5" x14ac:dyDescent="0.3">
      <c r="A27" s="8" t="s">
        <v>88</v>
      </c>
      <c r="B27" s="9" t="s">
        <v>18</v>
      </c>
      <c r="C27" s="9" t="s">
        <v>50</v>
      </c>
      <c r="D27" s="10">
        <v>0.4</v>
      </c>
      <c r="E27" s="10" t="e">
        <f>NA()</f>
        <v>#N/A</v>
      </c>
    </row>
    <row r="28" spans="1:5" x14ac:dyDescent="0.3">
      <c r="A28" s="8" t="s">
        <v>88</v>
      </c>
      <c r="B28" s="9" t="s">
        <v>23</v>
      </c>
      <c r="C28" s="9" t="s">
        <v>50</v>
      </c>
      <c r="D28" s="10">
        <v>2.0500000000000001E-2</v>
      </c>
      <c r="E28" s="10" t="e">
        <f>NA()</f>
        <v>#N/A</v>
      </c>
    </row>
    <row r="29" spans="1:5" x14ac:dyDescent="0.3">
      <c r="A29" s="11" t="s">
        <v>93</v>
      </c>
      <c r="B29" s="9" t="s">
        <v>91</v>
      </c>
      <c r="C29" s="9" t="s">
        <v>49</v>
      </c>
      <c r="D29" s="10">
        <v>1</v>
      </c>
      <c r="E29" s="10" t="e">
        <f>D29*E27</f>
        <v>#N/A</v>
      </c>
    </row>
    <row r="30" spans="1:5" x14ac:dyDescent="0.3">
      <c r="A30" s="11" t="s">
        <v>93</v>
      </c>
      <c r="B30" s="9" t="s">
        <v>18</v>
      </c>
      <c r="C30" s="9" t="s">
        <v>50</v>
      </c>
      <c r="D30" s="10">
        <v>0.4</v>
      </c>
      <c r="E30" s="10" t="e">
        <f>NA()</f>
        <v>#N/A</v>
      </c>
    </row>
    <row r="31" spans="1:5" x14ac:dyDescent="0.3">
      <c r="A31" s="11" t="s">
        <v>93</v>
      </c>
      <c r="B31" s="9" t="s">
        <v>23</v>
      </c>
      <c r="C31" s="9" t="s">
        <v>50</v>
      </c>
      <c r="D31" s="10">
        <v>0.26700000000000002</v>
      </c>
      <c r="E31" s="10" t="e">
        <f>NA()</f>
        <v>#N/A</v>
      </c>
    </row>
    <row r="32" spans="1:5" x14ac:dyDescent="0.3">
      <c r="A32" s="11" t="s">
        <v>94</v>
      </c>
      <c r="B32" s="9" t="s">
        <v>90</v>
      </c>
      <c r="C32" s="9" t="s">
        <v>49</v>
      </c>
      <c r="D32" s="10">
        <v>1</v>
      </c>
      <c r="E32" s="10" t="e">
        <f>D32*E30</f>
        <v>#N/A</v>
      </c>
    </row>
    <row r="33" spans="1:5" x14ac:dyDescent="0.3">
      <c r="A33" s="11" t="s">
        <v>94</v>
      </c>
      <c r="B33" s="9" t="s">
        <v>18</v>
      </c>
      <c r="C33" s="9" t="s">
        <v>50</v>
      </c>
      <c r="D33" s="10">
        <v>0.4</v>
      </c>
      <c r="E33" s="10" t="e">
        <f>NA()</f>
        <v>#N/A</v>
      </c>
    </row>
    <row r="34" spans="1:5" x14ac:dyDescent="0.3">
      <c r="A34" s="11" t="s">
        <v>94</v>
      </c>
      <c r="B34" s="9" t="s">
        <v>23</v>
      </c>
      <c r="C34" s="9" t="s">
        <v>50</v>
      </c>
      <c r="D34" s="10">
        <v>0.26700000000000002</v>
      </c>
      <c r="E34" s="10" t="e">
        <f>NA()</f>
        <v>#N/A</v>
      </c>
    </row>
  </sheetData>
  <conditionalFormatting sqref="A35:XFD1048576 F8:XFD34">
    <cfRule type="expression" dxfId="19" priority="44">
      <formula>NOT(EXACT(INDIRECT("Z"&amp;ROW()-1&amp;"S1",FALSE()), INDIRECT("Z"&amp;ROW()&amp;"S1",FALSE())))</formula>
    </cfRule>
  </conditionalFormatting>
  <conditionalFormatting sqref="A1:XFD1 F2:XFD4">
    <cfRule type="expression" dxfId="18" priority="43">
      <formula>NOT(EXACT(INDIRECT("Z"&amp;ROW()-1&amp;"S1",FALSE()), INDIRECT("Z"&amp;ROW()&amp;"S1",FALSE())))</formula>
    </cfRule>
  </conditionalFormatting>
  <conditionalFormatting sqref="D1:E1">
    <cfRule type="dataBar" priority="45">
      <dataBar>
        <cfvo type="num" val="0"/>
        <cfvo type="num" val="2"/>
        <color rgb="FF638EC6"/>
      </dataBar>
    </cfRule>
  </conditionalFormatting>
  <conditionalFormatting sqref="D35:E1048576">
    <cfRule type="dataBar" priority="46">
      <dataBar>
        <cfvo type="num" val="0"/>
        <cfvo type="num" val="2"/>
        <color rgb="FF638EC6"/>
      </dataBar>
    </cfRule>
  </conditionalFormatting>
  <conditionalFormatting sqref="F5:XFD7">
    <cfRule type="expression" dxfId="17" priority="42">
      <formula>NOT(EXACT(INDIRECT("Z"&amp;ROW()-1&amp;"S1",FALSE()), INDIRECT("Z"&amp;ROW()&amp;"S1",FALSE())))</formula>
    </cfRule>
  </conditionalFormatting>
  <conditionalFormatting sqref="D2:D19 A5 A6:C19 E6:E19 B2:C4 E2:E4">
    <cfRule type="expression" dxfId="16" priority="35">
      <formula>NOT(EXACT(INDIRECT("Z"&amp;ROW()-1&amp;"S1",FALSE()), INDIRECT("Z"&amp;ROW()&amp;"S1",FALSE())))</formula>
    </cfRule>
  </conditionalFormatting>
  <conditionalFormatting sqref="B21:C25 C26 B27:C27">
    <cfRule type="expression" dxfId="15" priority="26">
      <formula>NOT(EXACT(INDIRECT("Z"&amp;ROW()-1&amp;"S1",FALSE()), INDIRECT("Z"&amp;ROW()&amp;"S1",FALSE())))</formula>
    </cfRule>
  </conditionalFormatting>
  <conditionalFormatting sqref="B20:C20 A26:A28 E23 E20">
    <cfRule type="expression" dxfId="14" priority="27">
      <formula>NOT(EXACT(INDIRECT("Z"&amp;ROW()-1&amp;"S1",FALSE()), INDIRECT("Z"&amp;ROW()&amp;"S1",FALSE())))</formula>
    </cfRule>
  </conditionalFormatting>
  <conditionalFormatting sqref="C5:E5">
    <cfRule type="expression" dxfId="13" priority="20">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{767FD1E1-571F-43F1-8487-0B1C393A0A58}</x14:id>
        </ext>
      </extLst>
    </cfRule>
  </conditionalFormatting>
  <conditionalFormatting sqref="D8:D10 D5 E3:E4 E6:E7">
    <cfRule type="dataBar" priority="40">
      <dataBar>
        <cfvo type="num" val="0"/>
        <cfvo type="num" val="2"/>
        <color rgb="FF638EC6"/>
      </dataBar>
      <extLst>
        <ext xmlns:x14="http://schemas.microsoft.com/office/spreadsheetml/2009/9/main" uri="{B025F937-C7B1-47D3-B67F-A62EFF666E3E}">
          <x14:id>{6D832CE4-EB24-429E-8471-379B387ADE59}</x14:id>
        </ext>
      </extLst>
    </cfRule>
  </conditionalFormatting>
  <conditionalFormatting sqref="D13 D15">
    <cfRule type="dataBar" priority="32">
      <dataBar>
        <cfvo type="num" val="0"/>
        <cfvo type="num" val="2"/>
        <color rgb="FF638EC6"/>
      </dataBar>
      <extLst>
        <ext xmlns:x14="http://schemas.microsoft.com/office/spreadsheetml/2009/9/main" uri="{B025F937-C7B1-47D3-B67F-A62EFF666E3E}">
          <x14:id>{2E53EC0F-6980-42BD-8032-B3A41E92C883}</x14:id>
        </ext>
      </extLst>
    </cfRule>
  </conditionalFormatting>
  <conditionalFormatting sqref="D15">
    <cfRule type="dataBar" priority="31">
      <dataBar>
        <cfvo type="num" val="0"/>
        <cfvo type="num" val="2"/>
        <color rgb="FF638EC6"/>
      </dataBar>
      <extLst>
        <ext xmlns:x14="http://schemas.microsoft.com/office/spreadsheetml/2009/9/main" uri="{B025F937-C7B1-47D3-B67F-A62EFF666E3E}">
          <x14:id>{44672803-4751-4CBC-8992-B1D97305965C}</x14:id>
        </ext>
      </extLst>
    </cfRule>
  </conditionalFormatting>
  <conditionalFormatting sqref="D2:E2 D3:D19">
    <cfRule type="dataBar" priority="34">
      <dataBar>
        <cfvo type="num" val="0"/>
        <cfvo type="num" val="2"/>
        <color rgb="FF638EC6"/>
      </dataBar>
      <extLst>
        <ext xmlns:x14="http://schemas.microsoft.com/office/spreadsheetml/2009/9/main" uri="{B025F937-C7B1-47D3-B67F-A62EFF666E3E}">
          <x14:id>{6CED7C2E-82F0-4608-B40B-E739FA9655EC}</x14:id>
        </ext>
      </extLst>
    </cfRule>
  </conditionalFormatting>
  <conditionalFormatting sqref="D11:E12">
    <cfRule type="dataBar" priority="41">
      <dataBar>
        <cfvo type="num" val="0"/>
        <cfvo type="num" val="2"/>
        <color rgb="FF638EC6"/>
      </dataBar>
      <extLst>
        <ext xmlns:x14="http://schemas.microsoft.com/office/spreadsheetml/2009/9/main" uri="{B025F937-C7B1-47D3-B67F-A62EFF666E3E}">
          <x14:id>{E43F7E03-4343-4842-8CC4-CDFD5DDF91CA}</x14:id>
        </ext>
      </extLst>
    </cfRule>
  </conditionalFormatting>
  <conditionalFormatting sqref="D16:E17">
    <cfRule type="dataBar" priority="37">
      <dataBar>
        <cfvo type="num" val="0"/>
        <cfvo type="num" val="2"/>
        <color rgb="FF638EC6"/>
      </dataBar>
      <extLst>
        <ext xmlns:x14="http://schemas.microsoft.com/office/spreadsheetml/2009/9/main" uri="{B025F937-C7B1-47D3-B67F-A62EFF666E3E}">
          <x14:id>{3C2635E6-CEE1-49B5-9F52-4C2E5919B1E9}</x14:id>
        </ext>
      </extLst>
    </cfRule>
  </conditionalFormatting>
  <conditionalFormatting sqref="D18:E19">
    <cfRule type="dataBar" priority="36">
      <dataBar>
        <cfvo type="num" val="0"/>
        <cfvo type="num" val="2"/>
        <color rgb="FF638EC6"/>
      </dataBar>
      <extLst>
        <ext xmlns:x14="http://schemas.microsoft.com/office/spreadsheetml/2009/9/main" uri="{B025F937-C7B1-47D3-B67F-A62EFF666E3E}">
          <x14:id>{12170572-4555-47D5-BD45-5CA79F2D1B2A}</x14:id>
        </ext>
      </extLst>
    </cfRule>
  </conditionalFormatting>
  <conditionalFormatting sqref="E5">
    <cfRule type="dataBar" priority="21">
      <dataBar>
        <cfvo type="num" val="0"/>
        <cfvo type="num" val="2"/>
        <color rgb="FF638EC6"/>
      </dataBar>
      <extLst>
        <ext xmlns:x14="http://schemas.microsoft.com/office/spreadsheetml/2009/9/main" uri="{B025F937-C7B1-47D3-B67F-A62EFF666E3E}">
          <x14:id>{A59F917B-4EB1-43C4-B605-F63FCEE2264A}</x14:id>
        </ext>
      </extLst>
    </cfRule>
  </conditionalFormatting>
  <conditionalFormatting sqref="E8:E10">
    <cfRule type="dataBar" priority="39">
      <dataBar>
        <cfvo type="num" val="0"/>
        <cfvo type="num" val="2"/>
        <color rgb="FF638EC6"/>
      </dataBar>
      <extLst>
        <ext xmlns:x14="http://schemas.microsoft.com/office/spreadsheetml/2009/9/main" uri="{B025F937-C7B1-47D3-B67F-A62EFF666E3E}">
          <x14:id>{1AB67519-4914-45CF-9D0C-9AF67E3CD240}</x14:id>
        </ext>
      </extLst>
    </cfRule>
  </conditionalFormatting>
  <conditionalFormatting sqref="E13:E15">
    <cfRule type="dataBar" priority="38">
      <dataBar>
        <cfvo type="num" val="0"/>
        <cfvo type="num" val="2"/>
        <color rgb="FF638EC6"/>
      </dataBar>
      <extLst>
        <ext xmlns:x14="http://schemas.microsoft.com/office/spreadsheetml/2009/9/main" uri="{B025F937-C7B1-47D3-B67F-A62EFF666E3E}">
          <x14:id>{C123D519-79B2-46F3-AFA1-1AB83908373D}</x14:id>
        </ext>
      </extLst>
    </cfRule>
  </conditionalFormatting>
  <conditionalFormatting sqref="E20:E22">
    <cfRule type="dataBar" priority="30">
      <dataBar>
        <cfvo type="num" val="0"/>
        <cfvo type="num" val="2"/>
        <color rgb="FF638EC6"/>
      </dataBar>
      <extLst>
        <ext xmlns:x14="http://schemas.microsoft.com/office/spreadsheetml/2009/9/main" uri="{B025F937-C7B1-47D3-B67F-A62EFF666E3E}">
          <x14:id>{878B35AB-C598-4AC3-80C1-2998DAFA0966}</x14:id>
        </ext>
      </extLst>
    </cfRule>
  </conditionalFormatting>
  <conditionalFormatting sqref="E21:E22">
    <cfRule type="expression" dxfId="12" priority="25">
      <formula>NOT(EXACT(INDIRECT("Z"&amp;ROW()-1&amp;"S1",FALSE()), INDIRECT("Z"&amp;ROW()&amp;"S1",FALSE())))</formula>
    </cfRule>
  </conditionalFormatting>
  <conditionalFormatting sqref="E23:E24">
    <cfRule type="dataBar" priority="29">
      <dataBar>
        <cfvo type="num" val="0"/>
        <cfvo type="num" val="2"/>
        <color rgb="FF638EC6"/>
      </dataBar>
      <extLst>
        <ext xmlns:x14="http://schemas.microsoft.com/office/spreadsheetml/2009/9/main" uri="{B025F937-C7B1-47D3-B67F-A62EFF666E3E}">
          <x14:id>{F7C209D6-0C82-4660-B886-B0CDAEE88CE1}</x14:id>
        </ext>
      </extLst>
    </cfRule>
  </conditionalFormatting>
  <conditionalFormatting sqref="E24:E34">
    <cfRule type="expression" dxfId="11" priority="19">
      <formula>NOT(EXACT(INDIRECT("Z"&amp;ROW()-1&amp;"S1",FALSE()), INDIRECT("Z"&amp;ROW()&amp;"S1",FALSE())))</formula>
    </cfRule>
  </conditionalFormatting>
  <conditionalFormatting sqref="E25:E26">
    <cfRule type="dataBar" priority="24">
      <dataBar>
        <cfvo type="num" val="0"/>
        <cfvo type="num" val="2"/>
        <color rgb="FF638EC6"/>
      </dataBar>
      <extLst>
        <ext xmlns:x14="http://schemas.microsoft.com/office/spreadsheetml/2009/9/main" uri="{B025F937-C7B1-47D3-B67F-A62EFF666E3E}">
          <x14:id>{91FEBC90-7383-4D27-A4DA-79ED53AD5F2F}</x14:id>
        </ext>
      </extLst>
    </cfRule>
  </conditionalFormatting>
  <conditionalFormatting sqref="E27">
    <cfRule type="dataBar" priority="28">
      <dataBar>
        <cfvo type="num" val="0"/>
        <cfvo type="num" val="2"/>
        <color rgb="FF638EC6"/>
      </dataBar>
      <extLst>
        <ext xmlns:x14="http://schemas.microsoft.com/office/spreadsheetml/2009/9/main" uri="{B025F937-C7B1-47D3-B67F-A62EFF666E3E}">
          <x14:id>{A9BDBE42-1EF5-41A4-9F5E-98D4B4D3399B}</x14:id>
        </ext>
      </extLst>
    </cfRule>
  </conditionalFormatting>
  <conditionalFormatting sqref="E28">
    <cfRule type="dataBar" priority="23">
      <dataBar>
        <cfvo type="num" val="0"/>
        <cfvo type="num" val="2"/>
        <color rgb="FF638EC6"/>
      </dataBar>
      <extLst>
        <ext xmlns:x14="http://schemas.microsoft.com/office/spreadsheetml/2009/9/main" uri="{B025F937-C7B1-47D3-B67F-A62EFF666E3E}">
          <x14:id>{2C2BEBC0-C98F-476A-A2E9-0800064C64EF}</x14:id>
        </ext>
      </extLst>
    </cfRule>
  </conditionalFormatting>
  <conditionalFormatting sqref="B28:C28">
    <cfRule type="expression" dxfId="10" priority="22">
      <formula>NOT(EXACT(INDIRECT("Z"&amp;ROW()-1&amp;"S1",FALSE()), INDIRECT("Z"&amp;ROW()&amp;"S1",FALSE())))</formula>
    </cfRule>
  </conditionalFormatting>
  <conditionalFormatting sqref="A2:A4">
    <cfRule type="expression" dxfId="9" priority="18">
      <formula>NOT(EXACT(INDIRECT("Z"&amp;ROW()-1&amp;"S1",FALSE()), INDIRECT("Z"&amp;ROW()&amp;"S1",FALSE())))</formula>
    </cfRule>
  </conditionalFormatting>
  <conditionalFormatting sqref="A29:A31">
    <cfRule type="expression" dxfId="8" priority="17">
      <formula>NOT(EXACT(INDIRECT("Z"&amp;ROW()-1&amp;"S1",FALSE()), INDIRECT("Z"&amp;ROW()&amp;"S1",FALSE())))</formula>
    </cfRule>
  </conditionalFormatting>
  <conditionalFormatting sqref="A32:A34">
    <cfRule type="expression" dxfId="7" priority="16">
      <formula>NOT(EXACT(INDIRECT("Z"&amp;ROW()-1&amp;"S1",FALSE()), INDIRECT("Z"&amp;ROW()&amp;"S1",FALSE())))</formula>
    </cfRule>
  </conditionalFormatting>
  <conditionalFormatting sqref="C29 B30:C30">
    <cfRule type="expression" dxfId="6" priority="14">
      <formula>NOT(EXACT(INDIRECT("Z"&amp;ROW()-1&amp;"S1",FALSE()), INDIRECT("Z"&amp;ROW()&amp;"S1",FALSE())))</formula>
    </cfRule>
  </conditionalFormatting>
  <conditionalFormatting sqref="E29">
    <cfRule type="dataBar" priority="13">
      <dataBar>
        <cfvo type="num" val="0"/>
        <cfvo type="num" val="2"/>
        <color rgb="FF638EC6"/>
      </dataBar>
      <extLst>
        <ext xmlns:x14="http://schemas.microsoft.com/office/spreadsheetml/2009/9/main" uri="{B025F937-C7B1-47D3-B67F-A62EFF666E3E}">
          <x14:id>{C83B3B9F-BF52-43DD-9851-2DC7BA822C13}</x14:id>
        </ext>
      </extLst>
    </cfRule>
  </conditionalFormatting>
  <conditionalFormatting sqref="E30">
    <cfRule type="dataBar" priority="15">
      <dataBar>
        <cfvo type="num" val="0"/>
        <cfvo type="num" val="2"/>
        <color rgb="FF638EC6"/>
      </dataBar>
      <extLst>
        <ext xmlns:x14="http://schemas.microsoft.com/office/spreadsheetml/2009/9/main" uri="{B025F937-C7B1-47D3-B67F-A62EFF666E3E}">
          <x14:id>{F5F65B0B-9207-44E6-AA58-200C1901CAE9}</x14:id>
        </ext>
      </extLst>
    </cfRule>
  </conditionalFormatting>
  <conditionalFormatting sqref="E31">
    <cfRule type="dataBar" priority="12">
      <dataBar>
        <cfvo type="num" val="0"/>
        <cfvo type="num" val="2"/>
        <color rgb="FF638EC6"/>
      </dataBar>
      <extLst>
        <ext xmlns:x14="http://schemas.microsoft.com/office/spreadsheetml/2009/9/main" uri="{B025F937-C7B1-47D3-B67F-A62EFF666E3E}">
          <x14:id>{5984F068-2EAC-46C7-AAD6-1C09D21A1B89}</x14:id>
        </ext>
      </extLst>
    </cfRule>
  </conditionalFormatting>
  <conditionalFormatting sqref="B31:C31">
    <cfRule type="expression" dxfId="5" priority="11">
      <formula>NOT(EXACT(INDIRECT("Z"&amp;ROW()-1&amp;"S1",FALSE()), INDIRECT("Z"&amp;ROW()&amp;"S1",FALSE())))</formula>
    </cfRule>
  </conditionalFormatting>
  <conditionalFormatting sqref="C32 B33:C33">
    <cfRule type="expression" dxfId="4" priority="9">
      <formula>NOT(EXACT(INDIRECT("Z"&amp;ROW()-1&amp;"S1",FALSE()), INDIRECT("Z"&amp;ROW()&amp;"S1",FALSE())))</formula>
    </cfRule>
  </conditionalFormatting>
  <conditionalFormatting sqref="E32">
    <cfRule type="dataBar" priority="8">
      <dataBar>
        <cfvo type="num" val="0"/>
        <cfvo type="num" val="2"/>
        <color rgb="FF638EC6"/>
      </dataBar>
      <extLst>
        <ext xmlns:x14="http://schemas.microsoft.com/office/spreadsheetml/2009/9/main" uri="{B025F937-C7B1-47D3-B67F-A62EFF666E3E}">
          <x14:id>{A8A71648-1B42-4DB7-A520-387CBA2399F6}</x14:id>
        </ext>
      </extLst>
    </cfRule>
  </conditionalFormatting>
  <conditionalFormatting sqref="E33">
    <cfRule type="dataBar" priority="10">
      <dataBar>
        <cfvo type="num" val="0"/>
        <cfvo type="num" val="2"/>
        <color rgb="FF638EC6"/>
      </dataBar>
      <extLst>
        <ext xmlns:x14="http://schemas.microsoft.com/office/spreadsheetml/2009/9/main" uri="{B025F937-C7B1-47D3-B67F-A62EFF666E3E}">
          <x14:id>{25A928E2-1CFA-43D1-8629-48E2F26333C7}</x14:id>
        </ext>
      </extLst>
    </cfRule>
  </conditionalFormatting>
  <conditionalFormatting sqref="E34">
    <cfRule type="dataBar" priority="7">
      <dataBar>
        <cfvo type="num" val="0"/>
        <cfvo type="num" val="2"/>
        <color rgb="FF638EC6"/>
      </dataBar>
      <extLst>
        <ext xmlns:x14="http://schemas.microsoft.com/office/spreadsheetml/2009/9/main" uri="{B025F937-C7B1-47D3-B67F-A62EFF666E3E}">
          <x14:id>{0D3E6BF7-B186-47AB-82CD-CAAF273D20A9}</x14:id>
        </ext>
      </extLst>
    </cfRule>
  </conditionalFormatting>
  <conditionalFormatting sqref="B34:C34">
    <cfRule type="expression" dxfId="3" priority="6">
      <formula>NOT(EXACT(INDIRECT("Z"&amp;ROW()-1&amp;"S1",FALSE()), INDIRECT("Z"&amp;ROW()&amp;"S1",FALSE())))</formula>
    </cfRule>
  </conditionalFormatting>
  <conditionalFormatting sqref="A20:A22">
    <cfRule type="expression" dxfId="2" priority="5">
      <formula>NOT(EXACT(INDIRECT("Z"&amp;ROW()-1&amp;"S1",FALSE()), INDIRECT("Z"&amp;ROW()&amp;"S1",FALSE())))</formula>
    </cfRule>
  </conditionalFormatting>
  <conditionalFormatting sqref="A23:A25">
    <cfRule type="expression" dxfId="1" priority="4">
      <formula>NOT(EXACT(INDIRECT("Z"&amp;ROW()-1&amp;"S1",FALSE()), INDIRECT("Z"&amp;ROW()&amp;"S1",FALSE())))</formula>
    </cfRule>
  </conditionalFormatting>
  <conditionalFormatting sqref="D20:D34">
    <cfRule type="expression" dxfId="0" priority="2">
      <formula>NOT(EXACT(INDIRECT("Z"&amp;ROW()-1&amp;"S1",FALSE()), INDIRECT("Z"&amp;ROW()&amp;"S1",FALSE())))</formula>
    </cfRule>
  </conditionalFormatting>
  <conditionalFormatting sqref="D20:D34">
    <cfRule type="dataBar" priority="1">
      <dataBar>
        <cfvo type="num" val="0"/>
        <cfvo type="num" val="2"/>
        <color rgb="FF638EC6"/>
      </dataBar>
      <extLst>
        <ext xmlns:x14="http://schemas.microsoft.com/office/spreadsheetml/2009/9/main" uri="{B025F937-C7B1-47D3-B67F-A62EFF666E3E}">
          <x14:id>{8CF5E516-205C-4163-82E4-123749C1E872}</x14:id>
        </ext>
      </extLst>
    </cfRule>
  </conditionalFormatting>
  <conditionalFormatting sqref="D20:D34">
    <cfRule type="dataBar" priority="3">
      <dataBar>
        <cfvo type="num" val="0"/>
        <cfvo type="num" val="2"/>
        <color rgb="FF638EC6"/>
      </dataBar>
      <extLst>
        <ext xmlns:x14="http://schemas.microsoft.com/office/spreadsheetml/2009/9/main" uri="{B025F937-C7B1-47D3-B67F-A62EFF666E3E}">
          <x14:id>{2838DEB3-BD0F-4443-9A94-EF4DAC17DB05}</x14:id>
        </ext>
      </extLst>
    </cfRule>
  </conditionalFormatting>
  <dataValidations count="2">
    <dataValidation allowBlank="1" showInputMessage="1" showErrorMessage="1" promptTitle="Ratio (1)" prompt="Input/output quantities, relative to process throughput" sqref="D1" xr:uid="{2F5E76C2-9C54-44B4-A413-2568442B8F27}"/>
    <dataValidation allowBlank="1" showInputMessage="1" showErrorMessage="1" promptTitle="Ratio at minimum operation point" prompt="Input/Output ratio at point of minimum operation (min-fract in 'Process' sheet)._x000a__x000a_All values have to be larger/equal to ratio!" sqref="E1" xr:uid="{EF3E3879-A3B7-4BCA-9C77-CA00EF460F34}"/>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67FD1E1-571F-43F1-8487-0B1C393A0A58}">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6D832CE4-EB24-429E-8471-379B387ADE59}">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2E53EC0F-6980-42BD-8032-B3A41E92C883}">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44672803-4751-4CBC-8992-B1D97305965C}">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6CED7C2E-82F0-4608-B40B-E739FA9655EC}">
            <x14:dataBar minLength="0" maxLength="100" gradient="0">
              <x14:cfvo type="num">
                <xm:f>0</xm:f>
              </x14:cfvo>
              <x14:cfvo type="num">
                <xm:f>2</xm:f>
              </x14:cfvo>
              <x14:negativeFillColor rgb="FFFF0000"/>
              <x14:axisColor rgb="FF000000"/>
            </x14:dataBar>
          </x14:cfRule>
          <xm:sqref>D2:E2 D3:D19</xm:sqref>
        </x14:conditionalFormatting>
        <x14:conditionalFormatting xmlns:xm="http://schemas.microsoft.com/office/excel/2006/main">
          <x14:cfRule type="dataBar" id="{E43F7E03-4343-4842-8CC4-CDFD5DDF91CA}">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3C2635E6-CEE1-49B5-9F52-4C2E5919B1E9}">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12170572-4555-47D5-BD45-5CA79F2D1B2A}">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A59F917B-4EB1-43C4-B605-F63FCEE2264A}">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1AB67519-4914-45CF-9D0C-9AF67E3CD240}">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C123D519-79B2-46F3-AFA1-1AB83908373D}">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878B35AB-C598-4AC3-80C1-2998DAFA0966}">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F7C209D6-0C82-4660-B886-B0CDAEE88CE1}">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91FEBC90-7383-4D27-A4DA-79ED53AD5F2F}">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A9BDBE42-1EF5-41A4-9F5E-98D4B4D3399B}">
            <x14:dataBar minLength="0" maxLength="100" gradient="0">
              <x14:cfvo type="num">
                <xm:f>0</xm:f>
              </x14:cfvo>
              <x14:cfvo type="num">
                <xm:f>2</xm:f>
              </x14:cfvo>
              <x14:negativeFillColor rgb="FFFF0000"/>
              <x14:axisColor rgb="FF000000"/>
            </x14:dataBar>
          </x14:cfRule>
          <xm:sqref>E27</xm:sqref>
        </x14:conditionalFormatting>
        <x14:conditionalFormatting xmlns:xm="http://schemas.microsoft.com/office/excel/2006/main">
          <x14:cfRule type="dataBar" id="{2C2BEBC0-C98F-476A-A2E9-0800064C64EF}">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C83B3B9F-BF52-43DD-9851-2DC7BA822C13}">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F5F65B0B-9207-44E6-AA58-200C1901CAE9}">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5984F068-2EAC-46C7-AAD6-1C09D21A1B89}">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A8A71648-1B42-4DB7-A520-387CBA2399F6}">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25A928E2-1CFA-43D1-8629-48E2F26333C7}">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0D3E6BF7-B186-47AB-82CD-CAAF273D20A9}">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8CF5E516-205C-4163-82E4-123749C1E872}">
            <x14:dataBar minLength="0" maxLength="100" gradient="0">
              <x14:cfvo type="num">
                <xm:f>0</xm:f>
              </x14:cfvo>
              <x14:cfvo type="num">
                <xm:f>2</xm:f>
              </x14:cfvo>
              <x14:negativeFillColor rgb="FFFF0000"/>
              <x14:axisColor rgb="FF000000"/>
            </x14:dataBar>
          </x14:cfRule>
          <xm:sqref>D20:D34</xm:sqref>
        </x14:conditionalFormatting>
        <x14:conditionalFormatting xmlns:xm="http://schemas.microsoft.com/office/excel/2006/main">
          <x14:cfRule type="dataBar" id="{2838DEB3-BD0F-4443-9A94-EF4DAC17DB05}">
            <x14:dataBar minLength="0" maxLength="100" gradient="0">
              <x14:cfvo type="num">
                <xm:f>0</xm:f>
              </x14:cfvo>
              <x14:cfvo type="num">
                <xm:f>2</xm:f>
              </x14:cfvo>
              <x14:negativeFillColor rgb="FFFF0000"/>
              <x14:axisColor rgb="FF000000"/>
            </x14:dataBar>
          </x14:cfRule>
          <xm:sqref>D20:D34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D12" sqref="D12"/>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v>270187500</v>
      </c>
    </row>
    <row r="4" spans="1:2" x14ac:dyDescent="0.3">
      <c r="A4">
        <v>2</v>
      </c>
      <c r="B4">
        <v>270187500</v>
      </c>
    </row>
    <row r="5" spans="1:2" x14ac:dyDescent="0.3">
      <c r="A5">
        <v>3</v>
      </c>
      <c r="B5">
        <v>270187500</v>
      </c>
    </row>
    <row r="6" spans="1:2" x14ac:dyDescent="0.3">
      <c r="A6">
        <v>4</v>
      </c>
      <c r="B6">
        <v>270187500</v>
      </c>
    </row>
    <row r="7" spans="1:2" x14ac:dyDescent="0.3">
      <c r="A7">
        <v>5</v>
      </c>
      <c r="B7">
        <v>270187500</v>
      </c>
    </row>
    <row r="8" spans="1:2" x14ac:dyDescent="0.3">
      <c r="A8">
        <v>6</v>
      </c>
      <c r="B8">
        <v>270187500</v>
      </c>
    </row>
    <row r="9" spans="1:2" x14ac:dyDescent="0.3">
      <c r="A9">
        <v>7</v>
      </c>
      <c r="B9">
        <v>270187500</v>
      </c>
    </row>
    <row r="10" spans="1:2" x14ac:dyDescent="0.3">
      <c r="A10">
        <v>8</v>
      </c>
      <c r="B10">
        <v>270187500</v>
      </c>
    </row>
    <row r="11" spans="1:2" x14ac:dyDescent="0.3">
      <c r="A11">
        <v>9</v>
      </c>
      <c r="B11">
        <v>270187500</v>
      </c>
    </row>
    <row r="12" spans="1:2" x14ac:dyDescent="0.3">
      <c r="A12">
        <v>10</v>
      </c>
      <c r="B12">
        <v>270187500</v>
      </c>
    </row>
    <row r="13" spans="1:2" x14ac:dyDescent="0.3">
      <c r="A13">
        <v>11</v>
      </c>
      <c r="B13">
        <v>270187500</v>
      </c>
    </row>
    <row r="14" spans="1:2" x14ac:dyDescent="0.3">
      <c r="A14">
        <v>12</v>
      </c>
      <c r="B14">
        <v>270187500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2024-11-06T10:08:19Z</dcterms:created>
  <dcterms:modified xsi:type="dcterms:W3CDTF">2025-09-16T09:02:45Z</dcterms:modified>
</cp:coreProperties>
</file>