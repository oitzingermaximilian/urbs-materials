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549264BC-CA2F-4F8A-BC26-3E42E5E2FC56}" xr6:coauthVersionLast="47" xr6:coauthVersionMax="47" xr10:uidLastSave="{00000000-0000-0000-0000-000000000000}"/>
  <bookViews>
    <workbookView xWindow="28680" yWindow="-5445" windowWidth="38640" windowHeight="21120" firstSheet="1"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2" i="5"/>
  <c r="E31" i="5"/>
  <c r="E30" i="5"/>
  <c r="E28" i="5"/>
  <c r="E27" i="5"/>
  <c r="E29" i="5" s="1"/>
  <c r="E25" i="5"/>
  <c r="E24" i="5"/>
  <c r="E20" i="5"/>
  <c r="E22" i="5" s="1"/>
  <c r="E19" i="5"/>
  <c r="E18" i="5"/>
  <c r="E21" i="5" s="1"/>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<sst xmlns="http://schemas.openxmlformats.org/spreadsheetml/2006/main" count="282" uniqueCount="97">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</sst>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0" borderId="0" xfId="0" applyNumberFormat="1" applyAlignment="1">
      <alignment horizontal="right"/>
    </xf>
    <xf numFmtId="0" fontId="0" fillId="0" borderId="0" xfId="0" applyAlignment="1">
      <alignment horizontal="right"/>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G17" sqref="G17"/>
    </sheetView>
  </sheetViews>
  <sheetFormatPr baseColWidth="10" defaultColWidth="9.109375" defaultRowHeight="14.4" x14ac:dyDescent="0.3"/>
  <sheetData>
    <row r="1" spans="1:3" x14ac:dyDescent="0.3">
      <c r="A1" s="1" t="s">
        <v>0</v>
      </c>
      <c r="B1" s="1" t="s">
        <v>1</v>
      </c>
      <c r="C1" s="1" t="s">
        <v>2</v>
      </c>
    </row>
    <row r="2" spans="1:3" x14ac:dyDescent="0.3">
      <c r="A2" t="s">
        <v>3</v>
      </c>
      <c r="B2">
        <v>2044</v>
      </c>
      <c r="C2" t="s">
        <v>4</v>
      </c>
    </row>
    <row r="3" spans="1:3" x14ac:dyDescent="0.3">
      <c r="A3" t="s">
        <v>5</v>
      </c>
      <c r="B3" s="8">
        <v>10200000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30" customWidth="1"/>
    <col min="6" max="6" width="13.88671875" style="31"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89</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90</v>
      </c>
      <c r="C10" s="11" t="s">
        <v>21</v>
      </c>
      <c r="D10">
        <v>32.04</v>
      </c>
      <c r="E10" s="25" t="s">
        <v>22</v>
      </c>
      <c r="F10" s="26" t="s">
        <v>22</v>
      </c>
    </row>
    <row r="11" spans="1:6" x14ac:dyDescent="0.3">
      <c r="A11" s="11" t="s">
        <v>9</v>
      </c>
      <c r="B11" s="11" t="s">
        <v>91</v>
      </c>
      <c r="C11" s="11" t="s">
        <v>21</v>
      </c>
      <c r="D11">
        <v>32.04</v>
      </c>
      <c r="E11" s="25" t="s">
        <v>22</v>
      </c>
      <c r="F11" s="26" t="s">
        <v>22</v>
      </c>
    </row>
  </sheetData>
  <conditionalFormatting sqref="B8:B11">
    <cfRule type="expression" dxfId="50" priority="1">
      <formula>NOT(EXACT(INDIRECT("Z"&amp;ROW()-1&amp;"S1",FALSE()), INDIRECT("Z"&amp;ROW()&amp;"S1",FALSE())))</formula>
    </cfRule>
  </conditionalFormatting>
  <conditionalFormatting sqref="B2:B11">
    <cfRule type="duplicateValues" dxfId="49"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90A9ECA7-322C-4FE3-BA26-E5BD7EDED57C}"/>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16722265-CCFD-4BD8-B221-92442BBB03D6}"/>
    <dataValidation allowBlank="1" showInputMessage="1" showErrorMessage="1" promptTitle="Maximum commodity use per hour" prompt="For stock commodities, this value limits the energy use per hour (MW)._x000a_" sqref="F1" xr:uid="{C9B3F4C8-DA4D-4E85-BA4D-3B8C0B4D4ADC}"/>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92</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94</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95</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96</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48" priority="14">
      <formula>NOT(EXACT(INDIRECT("Z"&amp;ROW()-1&amp;"S1",FALSE()), INDIRECT("Z"&amp;ROW()&amp;"S1",FALSE())))</formula>
    </cfRule>
  </conditionalFormatting>
  <conditionalFormatting sqref="A1:XFD1 A14:F15 J14:XFD15 A16:XFD1048576 N13:XFD13">
    <cfRule type="expression" dxfId="47" priority="16">
      <formula>NOT(EXACT(INDIRECT("Z"&amp;ROW()-1&amp;"S1",FALSE()), INDIRECT("Z"&amp;ROW()&amp;"S1",FALSE())))</formula>
    </cfRule>
  </conditionalFormatting>
  <conditionalFormatting sqref="N12:XFD12">
    <cfRule type="expression" dxfId="46" priority="15">
      <formula>NOT(EXACT(INDIRECT("Z"&amp;ROW()-1&amp;"S1",FALSE()), INDIRECT("Z"&amp;ROW()&amp;"S1",FALSE())))</formula>
    </cfRule>
  </conditionalFormatting>
  <conditionalFormatting sqref="C2:D13 F9:F13 F4:F6">
    <cfRule type="expression" dxfId="45" priority="13">
      <formula>NOT(EXACT(INDIRECT("Z"&amp;ROW()-1&amp;"S1",FALSE()), INDIRECT("Z"&amp;ROW()&amp;"S1",FALSE())))</formula>
    </cfRule>
  </conditionalFormatting>
  <conditionalFormatting sqref="E2:E4 E12:E13">
    <cfRule type="expression" dxfId="44" priority="12">
      <formula>NOT(EXACT(INDIRECT("Z"&amp;ROW()-1&amp;"S1",FALSE()), INDIRECT("Z"&amp;ROW()&amp;"S1",FALSE())))</formula>
    </cfRule>
  </conditionalFormatting>
  <conditionalFormatting sqref="F2">
    <cfRule type="expression" dxfId="43" priority="11">
      <formula>NOT(EXACT(INDIRECT("Z"&amp;ROW()-1&amp;"S1",FALSE()), INDIRECT("Z"&amp;ROW()&amp;"S1",FALSE())))</formula>
    </cfRule>
  </conditionalFormatting>
  <conditionalFormatting sqref="F7">
    <cfRule type="expression" dxfId="42" priority="10">
      <formula>NOT(EXACT(INDIRECT("Z"&amp;ROW()-1&amp;"S1",FALSE()), INDIRECT("Z"&amp;ROW()&amp;"S1",FALSE())))</formula>
    </cfRule>
  </conditionalFormatting>
  <conditionalFormatting sqref="B2:B9">
    <cfRule type="expression" dxfId="41" priority="9">
      <formula>NOT(EXACT(INDIRECT("Z"&amp;ROW()-1&amp;"S1",FALSE()), INDIRECT("Z"&amp;ROW()&amp;"S1",FALSE())))</formula>
    </cfRule>
  </conditionalFormatting>
  <conditionalFormatting sqref="A2:A4">
    <cfRule type="expression" dxfId="40" priority="8">
      <formula>NOT(EXACT(INDIRECT("Z"&amp;ROW()-1&amp;"S1",FALSE()), INDIRECT("Z"&amp;ROW()&amp;"S1",FALSE())))</formula>
    </cfRule>
  </conditionalFormatting>
  <conditionalFormatting sqref="A2:A13">
    <cfRule type="expression" dxfId="39" priority="7">
      <formula>NOT(EXACT(INDIRECT("Z"&amp;ROW()-1&amp;"S1",FALSE()), INDIRECT("Z"&amp;ROW()&amp;"S1",FALSE())))</formula>
    </cfRule>
  </conditionalFormatting>
  <conditionalFormatting sqref="B10">
    <cfRule type="expression" dxfId="38" priority="6">
      <formula>NOT(EXACT(INDIRECT("Z"&amp;ROW()-1&amp;"S1",FALSE()), INDIRECT("Z"&amp;ROW()&amp;"S1",FALSE())))</formula>
    </cfRule>
  </conditionalFormatting>
  <conditionalFormatting sqref="B11:B12">
    <cfRule type="expression" dxfId="37" priority="5">
      <formula>NOT(EXACT(INDIRECT("Z"&amp;ROW()-1&amp;"S1",FALSE()), INDIRECT("Z"&amp;ROW()&amp;"S1",FALSE())))</formula>
    </cfRule>
  </conditionalFormatting>
  <conditionalFormatting sqref="B11:B12">
    <cfRule type="expression" dxfId="36" priority="4">
      <formula>NOT(EXACT(INDIRECT("Z"&amp;ROW()-1&amp;"S1",FALSE()), INDIRECT("Z"&amp;ROW()&amp;"S1",FALSE())))</formula>
    </cfRule>
  </conditionalFormatting>
  <conditionalFormatting sqref="B13">
    <cfRule type="expression" dxfId="35" priority="3">
      <formula>NOT(EXACT(INDIRECT("Z"&amp;ROW()-1&amp;"S1",FALSE()), INDIRECT("Z"&amp;ROW()&amp;"S1",FALSE())))</formula>
    </cfRule>
  </conditionalFormatting>
  <conditionalFormatting sqref="M2">
    <cfRule type="expression" dxfId="34" priority="2">
      <formula>NOT(EXACT(INDIRECT("Z"&amp;ROW()-1&amp;"S1",FALSE()), INDIRECT("Z"&amp;ROW()&amp;"S1",FALSE())))</formula>
    </cfRule>
  </conditionalFormatting>
  <conditionalFormatting sqref="G11:I11">
    <cfRule type="expression" dxfId="33"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D11E50F8-FF14-4C5A-9E9D-EFE037C52E48}"/>
    <dataValidation allowBlank="1" showInputMessage="1" showErrorMessage="1" promptTitle="Weighted average cost of capital" prompt="Percentage (%) of costs for capital after taxes. Used to calculate annuity factor for investment costs." sqref="K1" xr:uid="{D59FC6D3-AEB2-4233-B7B5-E465DE9E1BF2}"/>
    <dataValidation allowBlank="1" showInputMessage="1" showErrorMessage="1" promptTitle="Area use per capacity (m^2/MW) " prompt="If a process requires area set value here. If no area use is to be considered set NV(). " sqref="M1" xr:uid="{A8702AE4-94BA-4D0C-BD8D-15725B4723D5}"/>
    <dataValidation allowBlank="1" showInputMessage="1" showErrorMessage="1" promptTitle="Minimum load fraction" prompt="This value sets the minimum possible fraction of the process capacity which the process can run at." sqref="F1" xr:uid="{B4EBB752-C933-41EB-B1FF-914FE30713AE}"/>
    <dataValidation allowBlank="1" showInputMessage="1" showErrorMessage="1" promptTitle="Maximal power gradient (1/h)" prompt="Maximum allowed power gradient relative to power throughput capacity. Set value to inf or greater than 1/dt to disable it." sqref="E1" xr:uid="{72834280-DA36-49E9-ABF1-018E6451A518}"/>
    <dataValidation allowBlank="1" showInputMessage="1" showErrorMessage="1" promptTitle="Depreciation period (a)" prompt="Economic lifetime (more conservative than technical lifetime) of a process investment in years (a). Used to calculate annuity factor for investment costs." sqref="L1" xr:uid="{B5552F2D-CB27-40A6-976F-69A50DB273DD}"/>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C5869810-556F-459A-8111-A705EF4C6B5D}"/>
    <dataValidation allowBlank="1" showInputMessage="1" showErrorMessage="1" promptTitle="Annual fix cost (€/MW/a)" prompt="Operation independent costs for existing and new capacities per MW throughput power." sqref="H1" xr:uid="{6E58F3FD-458A-48F1-B444-F678286DF8A1}"/>
    <dataValidation allowBlank="1" showInputMessage="1" showErrorMessage="1" promptTitle="Investment cost (€/MW)" prompt="Total investement cost for adding capacity. Is annualized in the model using the annuity factor derived from 'wacc' and 'depreciation'." sqref="G1" xr:uid="{887317F9-9FAD-48E6-AC39-690A1EB69A6A}"/>
    <dataValidation allowBlank="1" showInputMessage="1" showErrorMessage="1" promptTitle="Maximum capacity (MW)" prompt="Maximum allowed power throughput capacity per process. Must be bigger than or equal to max('cap-lo', 'inst-cap')." sqref="D1" xr:uid="{B13479F8-50A9-403D-85AB-AF76EA0B8776}"/>
    <dataValidation allowBlank="1" showInputMessage="1" showErrorMessage="1" promptTitle="Minimum capacity (MW)" prompt="Minimum required power throughput capacity that is allowed per process. Must be smaller or equal to 'cap-up', but can be bigger than 'inst-cap' to force investment." sqref="C1" xr:uid="{34D5E1DB-CDC0-42C6-8CBD-3E6B3F1DA47B}"/>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K24" sqref="K24"/>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44" customWidth="1"/>
    <col min="5" max="5" width="18.5546875" style="44" customWidth="1"/>
    <col min="6" max="16384" width="11.44140625" style="13"/>
  </cols>
  <sheetData>
    <row r="1" spans="1:5" x14ac:dyDescent="0.3">
      <c r="A1" t="s">
        <v>28</v>
      </c>
      <c r="B1" t="s">
        <v>11</v>
      </c>
      <c r="C1" t="s">
        <v>46</v>
      </c>
      <c r="D1" s="43" t="s">
        <v>47</v>
      </c>
      <c r="E1" s="43" t="s">
        <v>48</v>
      </c>
    </row>
    <row r="2" spans="1:5" x14ac:dyDescent="0.3">
      <c r="A2" s="13" t="s">
        <v>92</v>
      </c>
      <c r="B2" s="11" t="s">
        <v>20</v>
      </c>
      <c r="C2" s="11" t="s">
        <v>49</v>
      </c>
      <c r="D2" s="12">
        <v>1</v>
      </c>
      <c r="E2" s="12">
        <v>2</v>
      </c>
    </row>
    <row r="3" spans="1:5" x14ac:dyDescent="0.3">
      <c r="A3" s="13" t="s">
        <v>92</v>
      </c>
      <c r="B3" s="11" t="s">
        <v>18</v>
      </c>
      <c r="C3" s="11" t="s">
        <v>50</v>
      </c>
      <c r="D3" s="27">
        <v>0.43</v>
      </c>
      <c r="E3" s="12" t="e">
        <f>NA()</f>
        <v>#N/A</v>
      </c>
    </row>
    <row r="4" spans="1:5" x14ac:dyDescent="0.3">
      <c r="A4" s="13" t="s">
        <v>92</v>
      </c>
      <c r="B4" s="11" t="s">
        <v>23</v>
      </c>
      <c r="C4" s="11" t="s">
        <v>50</v>
      </c>
      <c r="D4" s="12">
        <v>0.36299999999999999</v>
      </c>
      <c r="E4" s="12">
        <v>0.8</v>
      </c>
    </row>
    <row r="5" spans="1:5" x14ac:dyDescent="0.3">
      <c r="A5" s="10" t="s">
        <v>43</v>
      </c>
      <c r="B5" s="11" t="s">
        <v>89</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95</v>
      </c>
      <c r="B20" s="11" t="s">
        <v>27</v>
      </c>
      <c r="C20" s="11" t="s">
        <v>49</v>
      </c>
      <c r="D20" s="12">
        <v>1</v>
      </c>
      <c r="E20" s="12" t="e">
        <f>NA()</f>
        <v>#N/A</v>
      </c>
    </row>
    <row r="21" spans="1:5" x14ac:dyDescent="0.3">
      <c r="A21" s="13" t="s">
        <v>95</v>
      </c>
      <c r="B21" s="11" t="s">
        <v>18</v>
      </c>
      <c r="C21" s="11" t="s">
        <v>50</v>
      </c>
      <c r="D21" s="12">
        <v>0.34</v>
      </c>
      <c r="E21" s="12" t="e">
        <f>D21*E18</f>
        <v>#N/A</v>
      </c>
    </row>
    <row r="22" spans="1:5" x14ac:dyDescent="0.3">
      <c r="A22" s="13" t="s">
        <v>95</v>
      </c>
      <c r="B22" s="11" t="s">
        <v>23</v>
      </c>
      <c r="C22" s="11" t="s">
        <v>50</v>
      </c>
      <c r="D22" s="12">
        <v>3.6299999999999999E-2</v>
      </c>
      <c r="E22" s="12" t="e">
        <f>D22*E20</f>
        <v>#N/A</v>
      </c>
    </row>
    <row r="23" spans="1:5" x14ac:dyDescent="0.3">
      <c r="A23" s="13" t="s">
        <v>96</v>
      </c>
      <c r="B23" s="11" t="s">
        <v>27</v>
      </c>
      <c r="C23" s="11" t="s">
        <v>49</v>
      </c>
      <c r="D23" s="12">
        <v>1</v>
      </c>
      <c r="E23" s="12">
        <v>1.2</v>
      </c>
    </row>
    <row r="24" spans="1:5" x14ac:dyDescent="0.3">
      <c r="A24" s="13" t="s">
        <v>96</v>
      </c>
      <c r="B24" s="11" t="s">
        <v>18</v>
      </c>
      <c r="C24" s="11" t="s">
        <v>50</v>
      </c>
      <c r="D24" s="12">
        <v>0.49</v>
      </c>
      <c r="E24" s="12" t="e">
        <f>NA()</f>
        <v>#N/A</v>
      </c>
    </row>
    <row r="25" spans="1:5" x14ac:dyDescent="0.3">
      <c r="A25" s="13" t="s">
        <v>96</v>
      </c>
      <c r="B25" s="11" t="s">
        <v>23</v>
      </c>
      <c r="C25" s="11" t="s">
        <v>50</v>
      </c>
      <c r="D25" s="12">
        <v>1.2500000000000001E-2</v>
      </c>
      <c r="E25" s="12" t="e">
        <f>NA()</f>
        <v>#N/A</v>
      </c>
    </row>
    <row r="26" spans="1:5" x14ac:dyDescent="0.3">
      <c r="A26" s="10" t="s">
        <v>88</v>
      </c>
      <c r="B26" s="11" t="s">
        <v>89</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91</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94</v>
      </c>
      <c r="B32" s="11" t="s">
        <v>90</v>
      </c>
      <c r="C32" s="11" t="s">
        <v>49</v>
      </c>
      <c r="D32" s="12">
        <v>1</v>
      </c>
      <c r="E32" s="12" t="e">
        <f>D32*E30</f>
        <v>#N/A</v>
      </c>
    </row>
    <row r="33" spans="1:5" x14ac:dyDescent="0.3">
      <c r="A33" s="13" t="s">
        <v>94</v>
      </c>
      <c r="B33" s="11" t="s">
        <v>18</v>
      </c>
      <c r="C33" s="11" t="s">
        <v>50</v>
      </c>
      <c r="D33" s="12">
        <v>0.4</v>
      </c>
      <c r="E33" s="12" t="e">
        <f>NA()</f>
        <v>#N/A</v>
      </c>
    </row>
    <row r="34" spans="1:5" x14ac:dyDescent="0.3">
      <c r="A34" s="13" t="s">
        <v>94</v>
      </c>
      <c r="B34" s="11" t="s">
        <v>23</v>
      </c>
      <c r="C34" s="11" t="s">
        <v>50</v>
      </c>
      <c r="D34" s="12">
        <v>0.26700000000000002</v>
      </c>
      <c r="E34" s="12" t="e">
        <f>NA()</f>
        <v>#N/A</v>
      </c>
    </row>
  </sheetData>
  <conditionalFormatting sqref="A2:C4 E2:XFD19 A30:C31 E30:E31">
    <cfRule type="expression" dxfId="32" priority="61">
      <formula>NOT(EXACT(INDIRECT("Z"&amp;ROW()-1&amp;"S1",FALSE()), INDIRECT("Z"&amp;ROW()&amp;"S1",FALSE())))</formula>
    </cfRule>
  </conditionalFormatting>
  <conditionalFormatting sqref="A29:E29">
    <cfRule type="expression" dxfId="31" priority="58">
      <formula>NOT(EXACT(INDIRECT("Z"&amp;ROW()-1&amp;"S1",FALSE()), INDIRECT("Z"&amp;ROW()&amp;"S1",FALSE())))</formula>
    </cfRule>
  </conditionalFormatting>
  <conditionalFormatting sqref="A1:XFD1 A5 C5 A6:C19">
    <cfRule type="expression" dxfId="30" priority="73">
      <formula>NOT(EXACT(INDIRECT("Z"&amp;ROW()-1&amp;"S1",FALSE()), INDIRECT("Z"&amp;ROW()&amp;"S1",FALSE())))</formula>
    </cfRule>
  </conditionalFormatting>
  <conditionalFormatting sqref="A20:XFD25 A26 C26:XFD26 A27:XFD28 F29:XFD31 A32:XFD33 A35:XFD1048576 F34:XFD34">
    <cfRule type="expression" dxfId="29" priority="62">
      <formula>NOT(EXACT(INDIRECT("Z"&amp;ROW()-1&amp;"S1",FALSE()), INDIRECT("Z"&amp;ROW()&amp;"S1",FALSE())))</formula>
    </cfRule>
  </conditionalFormatting>
  <conditionalFormatting sqref="D2 D4:D5 D8:D13 D15:D19">
    <cfRule type="expression" dxfId="28"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{92E46D14-52FE-4FE6-A1DC-02AFD710DF05}</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{74B58111-CA60-4455-9094-51022DAE4CAA}</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27"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26" priority="54">
      <formula>NOT(EXACT(INDIRECT("Z"&amp;ROW()-1&amp;"S1",FALSE()), INDIRECT("Z"&amp;ROW()&amp;"S1",FALSE())))</formula>
    </cfRule>
  </conditionalFormatting>
  <conditionalFormatting sqref="A20:C25 A27:C28 A32:E32">
    <cfRule type="expression" dxfId="25"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4" priority="47">
      <formula>NOT(EXACT(INDIRECT("Z"&amp;ROW()-1&amp;"S1",FALSE()), INDIRECT("Z"&amp;ROW()&amp;"S1",FALSE())))</formula>
    </cfRule>
  </conditionalFormatting>
  <conditionalFormatting sqref="B21:C25 C26 B27:C27">
    <cfRule type="expression" dxfId="23" priority="44">
      <formula>NOT(EXACT(INDIRECT("Z"&amp;ROW()-1&amp;"S1",FALSE()), INDIRECT("Z"&amp;ROW()&amp;"S1",FALSE())))</formula>
    </cfRule>
  </conditionalFormatting>
  <conditionalFormatting sqref="B20:C20 A26:A28">
    <cfRule type="expression" dxfId="22" priority="45">
      <formula>NOT(EXACT(INDIRECT("Z"&amp;ROW()-1&amp;"S1",FALSE()), INDIRECT("Z"&amp;ROW()&amp;"S1",FALSE())))</formula>
    </cfRule>
  </conditionalFormatting>
  <conditionalFormatting sqref="C5">
    <cfRule type="expression" dxfId="21"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{691730A1-A9AF-4D1D-9120-53D41C2447BC}</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{F729E702-09E8-45B0-A6EC-805715B17EBD}</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{989B7C7E-9898-4B29-8E1C-6740BF247DFA}</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{556DC771-E1C4-4256-B70B-A2E453F2AABE}</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{75F26B87-D442-4DEE-8FAD-D31BCB250B02}</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{8C578334-CD72-4591-B8B7-C4510471E620}</x14:id>
        </ext>
      </extLst>
    </cfRule>
  </conditionalFormatting>
  <conditionalFormatting sqref="E29:E34">
    <cfRule type="expression" dxfId="20" priority="41">
      <formula>NOT(EXACT(INDIRECT("Z"&amp;ROW()-1&amp;"S1",FALSE()), INDIRECT("Z"&amp;ROW()&amp;"S1",FALSE())))</formula>
    </cfRule>
  </conditionalFormatting>
  <conditionalFormatting sqref="B28:C28">
    <cfRule type="expression" dxfId="19" priority="43">
      <formula>NOT(EXACT(INDIRECT("Z"&amp;ROW()-1&amp;"S1",FALSE()), INDIRECT("Z"&amp;ROW()&amp;"S1",FALSE())))</formula>
    </cfRule>
  </conditionalFormatting>
  <conditionalFormatting sqref="A2:A4">
    <cfRule type="expression" dxfId="18" priority="40">
      <formula>NOT(EXACT(INDIRECT("Z"&amp;ROW()-1&amp;"S1",FALSE()), INDIRECT("Z"&amp;ROW()&amp;"S1",FALSE())))</formula>
    </cfRule>
  </conditionalFormatting>
  <conditionalFormatting sqref="A29:A31">
    <cfRule type="expression" dxfId="17" priority="39">
      <formula>NOT(EXACT(INDIRECT("Z"&amp;ROW()-1&amp;"S1",FALSE()), INDIRECT("Z"&amp;ROW()&amp;"S1",FALSE())))</formula>
    </cfRule>
  </conditionalFormatting>
  <conditionalFormatting sqref="A32:A34">
    <cfRule type="expression" dxfId="16" priority="38">
      <formula>NOT(EXACT(INDIRECT("Z"&amp;ROW()-1&amp;"S1",FALSE()), INDIRECT("Z"&amp;ROW()&amp;"S1",FALSE())))</formula>
    </cfRule>
  </conditionalFormatting>
  <conditionalFormatting sqref="C29 B30:C30">
    <cfRule type="expression" dxfId="15"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{505D5977-E0B0-422D-AE71-C431324B2381}</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{258C4A4D-6A3F-4372-AFFE-9B15620F0B85}</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{C348D2EF-CA75-49E1-B7C4-19D31D9209FC}</x14:id>
        </ext>
      </extLst>
    </cfRule>
  </conditionalFormatting>
  <conditionalFormatting sqref="B31:C31">
    <cfRule type="expression" dxfId="14" priority="33">
      <formula>NOT(EXACT(INDIRECT("Z"&amp;ROW()-1&amp;"S1",FALSE()), INDIRECT("Z"&amp;ROW()&amp;"S1",FALSE())))</formula>
    </cfRule>
  </conditionalFormatting>
  <conditionalFormatting sqref="C32 B33:C33">
    <cfRule type="expression" dxfId="13"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{D68E8689-3128-47D7-B229-A96EDC074EA8}</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{26117D74-0216-41C6-840F-165475A62060}</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{325B2A84-3E4B-4F77-B298-B2C5B06BBBBC}</x14:id>
        </ext>
      </extLst>
    </cfRule>
  </conditionalFormatting>
  <conditionalFormatting sqref="B34:C34">
    <cfRule type="expression" dxfId="12" priority="28">
      <formula>NOT(EXACT(INDIRECT("Z"&amp;ROW()-1&amp;"S1",FALSE()), INDIRECT("Z"&amp;ROW()&amp;"S1",FALSE())))</formula>
    </cfRule>
  </conditionalFormatting>
  <conditionalFormatting sqref="A20:A22">
    <cfRule type="expression" dxfId="11" priority="27">
      <formula>NOT(EXACT(INDIRECT("Z"&amp;ROW()-1&amp;"S1",FALSE()), INDIRECT("Z"&amp;ROW()&amp;"S1",FALSE())))</formula>
    </cfRule>
  </conditionalFormatting>
  <conditionalFormatting sqref="A23:A25">
    <cfRule type="expression" dxfId="10" priority="26">
      <formula>NOT(EXACT(INDIRECT("Z"&amp;ROW()-1&amp;"S1",FALSE()), INDIRECT("Z"&amp;ROW()&amp;"S1",FALSE())))</formula>
    </cfRule>
  </conditionalFormatting>
  <conditionalFormatting sqref="D29:D34">
    <cfRule type="expression" dxfId="9"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{78574D11-0C28-4C00-BB85-25C0FC70ACD4}</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{53332C54-95DD-4FC3-9B15-1FB1A3540644}</x14:id>
        </ext>
      </extLst>
    </cfRule>
  </conditionalFormatting>
  <conditionalFormatting sqref="E27:E28">
    <cfRule type="expression" dxfId="8" priority="19">
      <formula>NOT(EXACT(INDIRECT("Z"&amp;ROW()-1&amp;"S1",FALSE()), INDIRECT("Z"&amp;ROW()&amp;"S1",FALSE())))</formula>
    </cfRule>
  </conditionalFormatting>
  <conditionalFormatting sqref="D26:E26">
    <cfRule type="expression" dxfId="7" priority="16">
      <formula>NOT(EXACT(INDIRECT("Z"&amp;ROW()-1&amp;"S1",FALSE()), INDIRECT("Z"&amp;ROW()&amp;"S1",FALSE())))</formula>
    </cfRule>
  </conditionalFormatting>
  <conditionalFormatting sqref="D20:E25">
    <cfRule type="expression" dxfId="6"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{87C49EC7-DEDE-42AC-B608-145E93B0A736}</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{04F6408D-5278-410D-A840-BA112431A793}</x14:id>
        </ext>
      </extLst>
    </cfRule>
  </conditionalFormatting>
  <conditionalFormatting sqref="E2:E4">
    <cfRule type="expression" dxfId="5" priority="11">
      <formula>NOT(EXACT(INDIRECT("Z"&amp;ROW()-1&amp;"S1",FALSE()), INDIRECT("Z"&amp;ROW()&amp;"S1",FALSE())))</formula>
    </cfRule>
  </conditionalFormatting>
  <conditionalFormatting sqref="D2 D4">
    <cfRule type="expression" dxfId="4"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3" priority="7">
      <formula>NOT(EXACT(INDIRECT("Z"&amp;ROW()-1&amp;"S1",FALSE()), INDIRECT("Z"&amp;ROW()&amp;"S1",FALSE())))</formula>
    </cfRule>
  </conditionalFormatting>
  <conditionalFormatting sqref="D5">
    <cfRule type="expression" dxfId="2"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 priority="1">
      <formula>NOT(EXACT(INDIRECT("Z"&amp;ROW()-1&amp;"S1",FALSE()), INDIRECT("Z"&amp;ROW()&amp;"S1",FALSE())))</formula>
    </cfRule>
  </conditionalFormatting>
  <conditionalFormatting sqref="D13 D15">
    <cfRule type="expression" dxfId="0"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2A4B29A4-835E-41A4-98DC-40F21E081DC1}"/>
    <dataValidation allowBlank="1" showInputMessage="1" showErrorMessage="1" promptTitle="Ratio at minimum operation point" prompt="Input/Output ratio at point of minimum operation (min-fract in 'Process' sheet)._x000a__x000a_All values have to be larger/equal to ratio!" sqref="E1" xr:uid="{A1AA5B39-E106-4C8C-BD88-4A438CA5B7ED}"/>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2E46D14-52FE-4FE6-A1DC-02AFD710DF05}">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74B58111-CA60-4455-9094-51022DAE4CAA}">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691730A1-A9AF-4D1D-9120-53D41C2447BC}">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F729E702-09E8-45B0-A6EC-805715B17EBD}">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989B7C7E-9898-4B29-8E1C-6740BF247DFA}">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556DC771-E1C4-4256-B70B-A2E453F2AABE}">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75F26B87-D442-4DEE-8FAD-D31BCB250B02}">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8C578334-CD72-4591-B8B7-C4510471E620}">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505D5977-E0B0-422D-AE71-C431324B2381}">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258C4A4D-6A3F-4372-AFFE-9B15620F0B85}">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C348D2EF-CA75-49E1-B7C4-19D31D9209FC}">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D68E8689-3128-47D7-B229-A96EDC074EA8}">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26117D74-0216-41C6-840F-165475A62060}">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325B2A84-3E4B-4F77-B298-B2C5B06BBBBC}">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78574D11-0C28-4C00-BB85-25C0FC70ACD4}">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53332C54-95DD-4FC3-9B15-1FB1A3540644}">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87C49EC7-DEDE-42AC-B608-145E93B0A736}">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04F6408D-5278-410D-A840-BA112431A793}">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F14" sqref="F14"/>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497416667</v>
      </c>
    </row>
    <row r="4" spans="1:2" x14ac:dyDescent="0.3">
      <c r="A4">
        <v>2</v>
      </c>
      <c r="B4" s="9">
        <v>497416667</v>
      </c>
    </row>
    <row r="5" spans="1:2" x14ac:dyDescent="0.3">
      <c r="A5">
        <v>3</v>
      </c>
      <c r="B5" s="9">
        <v>497416667</v>
      </c>
    </row>
    <row r="6" spans="1:2" x14ac:dyDescent="0.3">
      <c r="A6">
        <v>4</v>
      </c>
      <c r="B6" s="9">
        <v>497416667</v>
      </c>
    </row>
    <row r="7" spans="1:2" x14ac:dyDescent="0.3">
      <c r="A7">
        <v>5</v>
      </c>
      <c r="B7" s="9">
        <v>497416667</v>
      </c>
    </row>
    <row r="8" spans="1:2" x14ac:dyDescent="0.3">
      <c r="A8">
        <v>6</v>
      </c>
      <c r="B8" s="9">
        <v>497416667</v>
      </c>
    </row>
    <row r="9" spans="1:2" x14ac:dyDescent="0.3">
      <c r="A9">
        <v>7</v>
      </c>
      <c r="B9" s="9">
        <v>497416667</v>
      </c>
    </row>
    <row r="10" spans="1:2" x14ac:dyDescent="0.3">
      <c r="A10">
        <v>8</v>
      </c>
      <c r="B10" s="9">
        <v>497416667</v>
      </c>
    </row>
    <row r="11" spans="1:2" x14ac:dyDescent="0.3">
      <c r="A11">
        <v>9</v>
      </c>
      <c r="B11" s="9">
        <v>497416667</v>
      </c>
    </row>
    <row r="12" spans="1:2" x14ac:dyDescent="0.3">
      <c r="A12">
        <v>10</v>
      </c>
      <c r="B12" s="9">
        <v>497416667</v>
      </c>
    </row>
    <row r="13" spans="1:2" x14ac:dyDescent="0.3">
      <c r="A13">
        <v>11</v>
      </c>
      <c r="B13" s="9">
        <v>497416667</v>
      </c>
    </row>
    <row r="14" spans="1:2" x14ac:dyDescent="0.3">
      <c r="A14">
        <v>12</v>
      </c>
      <c r="B14" s="9">
        <v>497416667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2"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2024-11-06T10:11:35Z</dcterms:created>
  <dcterms:modified xsi:type="dcterms:W3CDTF">2025-09-16T09:22:01Z</dcterms:modified>
</cp:coreProperties>
</file>