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C:\Users\maxoi\GitHub\urbs-extension\Input\urbs_intertemporal_2050\"/>
    </mc:Choice>
  </mc:AlternateContent>
  <xr:revisionPtr revIDLastSave="0" documentId="13_ncr:1_{EF398475-A92D-4AD5-B9E2-5CEA38E0E4F0}" xr6:coauthVersionLast="47" xr6:coauthVersionMax="47" xr10:uidLastSave="{00000000-0000-0000-0000-000000000000}"/>
  <bookViews>
    <workbookView xWindow="28680" yWindow="-5445" windowWidth="38640" windowHeight="21120" activeTab="4" xr2:uid="{00000000-000D-0000-FFFF-FFFF00000000}"/>
  </bookViews>
  <sheets>
    <sheet name="Global" sheetId="1" r:id="rId1"/>
    <sheet name="Site" sheetId="2" r:id="rId2"/>
    <sheet name="Commodity" sheetId="3" r:id="rId3"/>
    <sheet name="Process" sheetId="4" r:id="rId4"/>
    <sheet name="Process-Commodity" sheetId="5" r:id="rId5"/>
    <sheet name="Transmission" sheetId="6" r:id="rId6"/>
    <sheet name="Storage" sheetId="7" r:id="rId7"/>
    <sheet name="DSM" sheetId="8" r:id="rId8"/>
    <sheet name="Demand" sheetId="9" r:id="rId9"/>
    <sheet name="SupIm" sheetId="10" r:id="rId10"/>
    <sheet name="Buy-Sell-Price" sheetId="11" r:id="rId11"/>
    <sheet name="TimeVarEff" sheetId="12"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4" i="5" l="1"/>
  <c r="E33" i="5"/>
  <c r="E31" i="5"/>
  <c r="E30" i="5"/>
  <c r="E32" i="5" s="1"/>
  <c r="E29" i="5"/>
  <c r="E28" i="5"/>
  <c r="E27" i="5"/>
  <c r="E23" i="5"/>
  <c r="E25" i="5" s="1"/>
  <c r="E20" i="5"/>
  <c r="E22" i="5" s="1"/>
  <c r="E19" i="5"/>
  <c r="E21" i="5" s="1"/>
  <c r="E24" i="5" s="1"/>
  <c r="E18" i="5"/>
  <c r="E17" i="5"/>
  <c r="E16" i="5"/>
  <c r="E15" i="5"/>
  <c r="E14" i="5"/>
  <c r="E12" i="5"/>
  <c r="E11" i="5"/>
  <c r="E10" i="5"/>
  <c r="E9" i="5"/>
  <c r="E8" i="5"/>
  <c r="E7" i="5"/>
  <c r="E6" i="5"/>
  <c r="E3" i="5"/>
  <c r="F3" i="3"/>
  <c r="E3" i="3"/>
  <c r="D3" i="3"/>
  <c r="F2" i="3"/>
  <c r="E2" i="3"/>
  <c r="D2" i="3"/>
</calcChain>
</file>

<file path=xl/sharedStrings.xml><?xml version="1.0" encoding="utf-8"?>
<sst xmlns="http://schemas.openxmlformats.org/spreadsheetml/2006/main" count="282" uniqueCount="97">
  <si>
    <t>Property</t>
  </si>
  <si>
    <t>value</t>
  </si>
  <si>
    <t>description</t>
  </si>
  <si>
    <t>Support timeframe</t>
  </si>
  <si>
    <t>Modelled year for intertemporal planning</t>
  </si>
  <si>
    <t>CO2 limit</t>
  </si>
  <si>
    <t>Limits the sum of all created (as calculated by commodity_balance) CO2 in all sites; Only relevant if not minimized</t>
  </si>
  <si>
    <t>Name</t>
  </si>
  <si>
    <t>area</t>
  </si>
  <si>
    <t>EU27</t>
  </si>
  <si>
    <t>Site</t>
  </si>
  <si>
    <t>Commodity</t>
  </si>
  <si>
    <t>Type</t>
  </si>
  <si>
    <t>price</t>
  </si>
  <si>
    <t>max</t>
  </si>
  <si>
    <t>maxperhour</t>
  </si>
  <si>
    <t>SupIm</t>
  </si>
  <si>
    <t>Hydro</t>
  </si>
  <si>
    <t>Elec</t>
  </si>
  <si>
    <t>Demand</t>
  </si>
  <si>
    <t>Lignite</t>
  </si>
  <si>
    <t>Stock</t>
  </si>
  <si>
    <t>inf</t>
  </si>
  <si>
    <t>CO2</t>
  </si>
  <si>
    <t>Env</t>
  </si>
  <si>
    <t>Biomass</t>
  </si>
  <si>
    <t>Nuclear Fuel</t>
  </si>
  <si>
    <t>Coal</t>
  </si>
  <si>
    <t>Process</t>
  </si>
  <si>
    <t>cap-lo</t>
  </si>
  <si>
    <t>cap-up</t>
  </si>
  <si>
    <t>max-grad</t>
  </si>
  <si>
    <t>min-fraction</t>
  </si>
  <si>
    <t>inv-cost</t>
  </si>
  <si>
    <t>fix-cost</t>
  </si>
  <si>
    <t>var-cost</t>
  </si>
  <si>
    <t>startup-cost</t>
  </si>
  <si>
    <t>wacc</t>
  </si>
  <si>
    <t>depreciation</t>
  </si>
  <si>
    <t>area-per-cap</t>
  </si>
  <si>
    <t>Hydro (run-of-river)</t>
  </si>
  <si>
    <t>Hydro (reservoir)</t>
  </si>
  <si>
    <t>Coal Plant</t>
  </si>
  <si>
    <t>Gas Plant (CCGT)</t>
  </si>
  <si>
    <t>Nuclear Plant</t>
  </si>
  <si>
    <t>Biomass Plant</t>
  </si>
  <si>
    <t>Direction</t>
  </si>
  <si>
    <t>ratio</t>
  </si>
  <si>
    <t>ratio-min</t>
  </si>
  <si>
    <t>In</t>
  </si>
  <si>
    <t>Out</t>
  </si>
  <si>
    <t>Site In</t>
  </si>
  <si>
    <t>Site Out</t>
  </si>
  <si>
    <t>Transmission</t>
  </si>
  <si>
    <t>eff</t>
  </si>
  <si>
    <t>reactance</t>
  </si>
  <si>
    <t>difflimit</t>
  </si>
  <si>
    <t>base_voltage</t>
  </si>
  <si>
    <t>Storage</t>
  </si>
  <si>
    <t>cap-lo-c</t>
  </si>
  <si>
    <t>cap-up-c</t>
  </si>
  <si>
    <t>cap-lo-p</t>
  </si>
  <si>
    <t>cap-up-p</t>
  </si>
  <si>
    <t>eff-in</t>
  </si>
  <si>
    <t>eff-out</t>
  </si>
  <si>
    <t>inv-cost-p</t>
  </si>
  <si>
    <t>inv-cost-c</t>
  </si>
  <si>
    <t>fix-cost-p</t>
  </si>
  <si>
    <t>fix-cost-c</t>
  </si>
  <si>
    <t>var-cost-p</t>
  </si>
  <si>
    <t>var-cost-c</t>
  </si>
  <si>
    <t>init</t>
  </si>
  <si>
    <t>discharge</t>
  </si>
  <si>
    <t>ep-ratio</t>
  </si>
  <si>
    <t>Hydrogen</t>
  </si>
  <si>
    <t>Pump storage</t>
  </si>
  <si>
    <t>Li-ion battery</t>
  </si>
  <si>
    <t>delay</t>
  </si>
  <si>
    <t>recov</t>
  </si>
  <si>
    <t>cap-max-do</t>
  </si>
  <si>
    <t>cap-max-up</t>
  </si>
  <si>
    <t>t</t>
  </si>
  <si>
    <t>EU27.Elec</t>
  </si>
  <si>
    <t>EU27.Hydro</t>
  </si>
  <si>
    <t>Elec buy</t>
  </si>
  <si>
    <t>Elec sell</t>
  </si>
  <si>
    <t>EU27.Lignite plant</t>
  </si>
  <si>
    <t>EU27.Gas plant</t>
  </si>
  <si>
    <t>Gas Plant (CCGT) CCUS</t>
  </si>
  <si>
    <t>Gas</t>
  </si>
  <si>
    <t>Oil</t>
  </si>
  <si>
    <t>Slack</t>
  </si>
  <si>
    <t>Lignite Plant</t>
  </si>
  <si>
    <t>Other non-res</t>
  </si>
  <si>
    <t>Oil Plant</t>
  </si>
  <si>
    <t>Coal Plant CCUS</t>
  </si>
  <si>
    <t>Lignite Plant CCUS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</si>
</sst>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6" formatCode="0.0"/>
  </numFmts>
  <fonts count="4" x14ac:knownFonts="1">
    <font>
      <sz val="11"/>
      <color theme="1"/>
      <name val="Calibri"/>
      <family val="2"/>
      <scheme val="minor"/>
    </font>
    <font>
      <b/>
      <sz val="11"/>
      <color theme="1"/>
      <name val="Calibri"/>
      <family val="2"/>
      <scheme val="minor"/>
    </font>
    <font>
      <sz val="11"/>
      <name val="Calibri"/>
      <family val="2"/>
      <scheme val="minor"/>
    </font>
    <font>
      <sz val="11"/>
      <color theme="0" tint="-0.249977111117893"/>
      <name val="Calibri"/>
      <family val="2"/>
      <scheme val="minor"/>
    </font>
  </fonts>
  <fills count="13">
    <fill>
      <patternFill patternType="none"/>
    </fill>
    <fill>
      <patternFill patternType="gray125"/>
    </fill>
    <fill>
      <patternFill patternType="solid">
        <fgColor theme="6" tint="0.59999389629810485"/>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92D050"/>
        <bgColor indexed="64"/>
      </patternFill>
    </fill>
    <fill>
      <patternFill patternType="solid">
        <fgColor theme="8" tint="0.79998168889431442"/>
        <bgColor indexed="64"/>
      </patternFill>
    </fill>
    <fill>
      <patternFill patternType="solid">
        <fgColor theme="4" tint="0.39997558519241921"/>
        <bgColor indexed="64"/>
      </patternFill>
    </fill>
    <fill>
      <patternFill patternType="solid">
        <fgColor theme="9" tint="0.79998168889431442"/>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59999389629810485"/>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thin">
        <color indexed="64"/>
      </bottom>
      <diagonal/>
    </border>
    <border>
      <left/>
      <right style="thin">
        <color indexed="64"/>
      </right>
      <top/>
      <bottom/>
      <diagonal/>
    </border>
  </borders>
  <cellStyleXfs count="1">
    <xf numFmtId="0" fontId="0" fillId="0" borderId="0"/>
  </cellStyleXfs>
  <cellXfs count="39">
    <xf numFmtId="0" fontId="0" fillId="0" borderId="0" xfId="0"/>
    <xf numFmtId="0" fontId="1" fillId="0" borderId="1" xfId="0" applyFont="1" applyBorder="1" applyAlignment="1">
      <alignment horizontal="center" vertical="top"/>
    </xf>
    <xf numFmtId="49" fontId="0" fillId="0" borderId="0" xfId="0" applyNumberFormat="1"/>
    <xf numFmtId="164" fontId="0" fillId="2" borderId="0" xfId="0" applyNumberFormat="1" applyFill="1"/>
    <xf numFmtId="49" fontId="0" fillId="3" borderId="0" xfId="0" applyNumberFormat="1" applyFill="1" applyAlignment="1">
      <alignment horizontal="left"/>
    </xf>
    <xf numFmtId="164" fontId="0" fillId="4" borderId="0" xfId="0" applyNumberFormat="1" applyFill="1" applyAlignment="1">
      <alignment horizontal="right"/>
    </xf>
    <xf numFmtId="0" fontId="0" fillId="0" borderId="2" xfId="0" applyBorder="1"/>
    <xf numFmtId="0" fontId="0" fillId="5" borderId="0" xfId="0" applyFill="1"/>
    <xf numFmtId="3" fontId="0" fillId="0" borderId="0" xfId="0" applyNumberFormat="1" applyAlignment="1">
      <alignment vertical="center" wrapText="1"/>
    </xf>
    <xf numFmtId="0" fontId="0" fillId="4" borderId="0" xfId="0" applyFill="1" applyAlignment="1">
      <alignment horizontal="left"/>
    </xf>
    <xf numFmtId="0" fontId="0" fillId="2" borderId="0" xfId="0" applyFill="1" applyAlignment="1">
      <alignment horizontal="left"/>
    </xf>
    <xf numFmtId="2" fontId="0" fillId="4" borderId="0" xfId="0" applyNumberFormat="1" applyFill="1" applyAlignment="1">
      <alignment horizontal="right" indent="2"/>
    </xf>
    <xf numFmtId="0" fontId="0" fillId="0" borderId="0" xfId="0" applyAlignment="1">
      <alignment horizontal="left"/>
    </xf>
    <xf numFmtId="0" fontId="0" fillId="2" borderId="3" xfId="0" applyFill="1" applyBorder="1" applyAlignment="1">
      <alignment horizontal="left"/>
    </xf>
    <xf numFmtId="0" fontId="0" fillId="6" borderId="0" xfId="0" applyFill="1" applyAlignment="1">
      <alignment horizontal="right"/>
    </xf>
    <xf numFmtId="0" fontId="0" fillId="6" borderId="0" xfId="0" applyFill="1"/>
    <xf numFmtId="0" fontId="0" fillId="7" borderId="0" xfId="0" applyFill="1"/>
    <xf numFmtId="3" fontId="0" fillId="7" borderId="0" xfId="0" applyNumberFormat="1" applyFill="1"/>
    <xf numFmtId="0" fontId="2" fillId="8" borderId="0" xfId="0" applyFont="1" applyFill="1"/>
    <xf numFmtId="3" fontId="3" fillId="4" borderId="0" xfId="0" applyNumberFormat="1" applyFont="1" applyFill="1" applyAlignment="1">
      <alignment horizontal="right"/>
    </xf>
    <xf numFmtId="3" fontId="0" fillId="0" borderId="0" xfId="0" applyNumberFormat="1" applyAlignment="1">
      <alignment horizontal="right" indent="2"/>
    </xf>
    <xf numFmtId="3" fontId="0" fillId="9" borderId="0" xfId="0" applyNumberFormat="1" applyFill="1"/>
    <xf numFmtId="0" fontId="0" fillId="9" borderId="0" xfId="0" applyFill="1"/>
    <xf numFmtId="3" fontId="0" fillId="10" borderId="0" xfId="0" applyNumberFormat="1" applyFill="1" applyAlignment="1">
      <alignment horizontal="right"/>
    </xf>
    <xf numFmtId="0" fontId="0" fillId="10" borderId="0" xfId="0" applyFill="1" applyAlignment="1">
      <alignment horizontal="right"/>
    </xf>
    <xf numFmtId="0" fontId="0" fillId="11" borderId="0" xfId="0" applyFill="1"/>
    <xf numFmtId="166" fontId="0" fillId="7" borderId="0" xfId="0" applyNumberFormat="1" applyFill="1"/>
    <xf numFmtId="0" fontId="0" fillId="8" borderId="0" xfId="0" applyFill="1"/>
    <xf numFmtId="3" fontId="0" fillId="9" borderId="0" xfId="0" applyNumberFormat="1" applyFill="1" applyAlignment="1">
      <alignment horizontal="right" indent="2"/>
    </xf>
    <xf numFmtId="0" fontId="0" fillId="9" borderId="0" xfId="0" applyFill="1" applyAlignment="1">
      <alignment horizontal="center"/>
    </xf>
    <xf numFmtId="166" fontId="0" fillId="9" borderId="0" xfId="0" applyNumberFormat="1" applyFill="1" applyAlignment="1">
      <alignment horizontal="right" indent="2"/>
    </xf>
    <xf numFmtId="0" fontId="0" fillId="9" borderId="0" xfId="0" applyFill="1" applyAlignment="1">
      <alignment horizontal="right" indent="2"/>
    </xf>
    <xf numFmtId="3" fontId="0" fillId="7" borderId="0" xfId="0" applyNumberFormat="1" applyFill="1" applyAlignment="1">
      <alignment horizontal="right"/>
    </xf>
    <xf numFmtId="166" fontId="0" fillId="0" borderId="0" xfId="0" applyNumberFormat="1"/>
    <xf numFmtId="0" fontId="0" fillId="12" borderId="0" xfId="0" applyFill="1"/>
    <xf numFmtId="166" fontId="0" fillId="0" borderId="0" xfId="0" applyNumberFormat="1" applyAlignment="1">
      <alignment horizontal="right" indent="2"/>
    </xf>
    <xf numFmtId="0" fontId="0" fillId="0" borderId="0" xfId="0" applyAlignment="1">
      <alignment horizontal="right" indent="2"/>
    </xf>
    <xf numFmtId="2" fontId="0" fillId="9" borderId="0" xfId="0" applyNumberFormat="1" applyFill="1" applyAlignment="1">
      <alignment horizontal="right" indent="2"/>
    </xf>
    <xf numFmtId="2" fontId="0" fillId="0" borderId="0" xfId="0" applyNumberFormat="1" applyAlignment="1">
      <alignment horizontal="right" indent="2"/>
    </xf>
  </cellXfs>
  <cellStyles count="1">
    <cellStyle name="Standard" xfId="0" builtinId="0"/>
  </cellStyles>
  <dxfs count="50">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font>
        <color rgb="FF9C0006"/>
      </font>
      <fill>
        <patternFill>
          <bgColor rgb="FFFFC7CE"/>
        </patternFill>
      </fill>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
  <sheetViews>
    <sheetView workbookViewId="0">
      <selection activeCell="E13" sqref="E13"/>
    </sheetView>
  </sheetViews>
  <sheetFormatPr baseColWidth="10" defaultColWidth="9.109375" defaultRowHeight="14.4" x14ac:dyDescent="0.3"/>
  <sheetData>
    <row r="1" spans="1:3" x14ac:dyDescent="0.3">
      <c r="A1" s="1" t="s">
        <v>0</v>
      </c>
      <c r="B1" s="1" t="s">
        <v>1</v>
      </c>
      <c r="C1" s="1" t="s">
        <v>2</v>
      </c>
    </row>
    <row r="2" spans="1:3" x14ac:dyDescent="0.3">
      <c r="A2" t="s">
        <v>3</v>
      </c>
      <c r="B2">
        <v>2031</v>
      </c>
      <c r="C2" t="s">
        <v>4</v>
      </c>
    </row>
    <row r="3" spans="1:3" x14ac:dyDescent="0.3">
      <c r="A3" t="s">
        <v>5</v>
      </c>
      <c r="B3" s="8">
        <v>285440000</v>
      </c>
      <c r="C3" t="s">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
  <sheetViews>
    <sheetView workbookViewId="0"/>
  </sheetViews>
  <sheetFormatPr baseColWidth="10" defaultColWidth="9.109375" defaultRowHeight="14.4" x14ac:dyDescent="0.3"/>
  <sheetData>
    <row r="1" spans="1:2" x14ac:dyDescent="0.3">
      <c r="A1" s="1" t="s">
        <v>7</v>
      </c>
      <c r="B1" s="1" t="s">
        <v>8</v>
      </c>
    </row>
    <row r="2" spans="1:2" x14ac:dyDescent="0.3">
      <c r="A2" t="s">
        <v>9</v>
      </c>
      <c r="B2">
        <v>280000000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1"/>
  <sheetViews>
    <sheetView workbookViewId="0">
      <selection activeCell="A2" sqref="A2:F11"/>
    </sheetView>
  </sheetViews>
  <sheetFormatPr baseColWidth="10" defaultColWidth="9.109375" defaultRowHeight="14.4" x14ac:dyDescent="0.3"/>
  <sheetData>
    <row r="1" spans="1:6" x14ac:dyDescent="0.3">
      <c r="A1" t="s">
        <v>10</v>
      </c>
      <c r="B1" t="s">
        <v>11</v>
      </c>
      <c r="C1" t="s">
        <v>12</v>
      </c>
      <c r="D1" s="21" t="s">
        <v>13</v>
      </c>
      <c r="E1" s="21" t="s">
        <v>14</v>
      </c>
      <c r="F1" s="22" t="s">
        <v>15</v>
      </c>
    </row>
    <row r="2" spans="1:6" x14ac:dyDescent="0.3">
      <c r="A2" s="10" t="s">
        <v>9</v>
      </c>
      <c r="B2" s="10" t="s">
        <v>17</v>
      </c>
      <c r="C2" s="10" t="s">
        <v>16</v>
      </c>
      <c r="D2" s="19" t="e">
        <f>NA()</f>
        <v>#N/A</v>
      </c>
      <c r="E2" s="19" t="e">
        <f>NA()</f>
        <v>#N/A</v>
      </c>
      <c r="F2" s="19" t="e">
        <f>NA()</f>
        <v>#N/A</v>
      </c>
    </row>
    <row r="3" spans="1:6" x14ac:dyDescent="0.3">
      <c r="A3" s="10" t="s">
        <v>9</v>
      </c>
      <c r="B3" s="10" t="s">
        <v>18</v>
      </c>
      <c r="C3" s="10" t="s">
        <v>19</v>
      </c>
      <c r="D3" s="19" t="e">
        <f>NA()</f>
        <v>#N/A</v>
      </c>
      <c r="E3" s="19" t="e">
        <f>NA()</f>
        <v>#N/A</v>
      </c>
      <c r="F3" s="19" t="e">
        <f>NA()</f>
        <v>#N/A</v>
      </c>
    </row>
    <row r="4" spans="1:6" x14ac:dyDescent="0.3">
      <c r="A4" s="10" t="s">
        <v>9</v>
      </c>
      <c r="B4" s="10" t="s">
        <v>20</v>
      </c>
      <c r="C4" s="10" t="s">
        <v>21</v>
      </c>
      <c r="D4">
        <v>8.64</v>
      </c>
      <c r="E4" s="23" t="s">
        <v>22</v>
      </c>
      <c r="F4" s="24" t="s">
        <v>22</v>
      </c>
    </row>
    <row r="5" spans="1:6" x14ac:dyDescent="0.3">
      <c r="A5" s="10" t="s">
        <v>9</v>
      </c>
      <c r="B5" s="10" t="s">
        <v>89</v>
      </c>
      <c r="C5" s="10" t="s">
        <v>21</v>
      </c>
      <c r="D5">
        <v>22.68</v>
      </c>
      <c r="E5" s="23" t="s">
        <v>22</v>
      </c>
      <c r="F5" s="24" t="s">
        <v>22</v>
      </c>
    </row>
    <row r="6" spans="1:6" x14ac:dyDescent="0.3">
      <c r="A6" s="10" t="s">
        <v>9</v>
      </c>
      <c r="B6" s="10" t="s">
        <v>23</v>
      </c>
      <c r="C6" s="10" t="s">
        <v>24</v>
      </c>
      <c r="D6">
        <v>113.4</v>
      </c>
      <c r="E6" s="23" t="s">
        <v>22</v>
      </c>
      <c r="F6" s="23" t="s">
        <v>22</v>
      </c>
    </row>
    <row r="7" spans="1:6" x14ac:dyDescent="0.3">
      <c r="A7" s="10" t="s">
        <v>9</v>
      </c>
      <c r="B7" s="10" t="s">
        <v>25</v>
      </c>
      <c r="C7" s="10" t="s">
        <v>21</v>
      </c>
      <c r="D7">
        <v>67.680000000000007</v>
      </c>
      <c r="E7" s="23" t="s">
        <v>22</v>
      </c>
      <c r="F7" s="24" t="s">
        <v>22</v>
      </c>
    </row>
    <row r="8" spans="1:6" x14ac:dyDescent="0.3">
      <c r="A8" s="10" t="s">
        <v>9</v>
      </c>
      <c r="B8" s="10" t="s">
        <v>26</v>
      </c>
      <c r="C8" s="10" t="s">
        <v>21</v>
      </c>
      <c r="D8">
        <v>6.12</v>
      </c>
      <c r="E8" s="23" t="s">
        <v>22</v>
      </c>
      <c r="F8" s="24" t="s">
        <v>22</v>
      </c>
    </row>
    <row r="9" spans="1:6" x14ac:dyDescent="0.3">
      <c r="A9" s="10" t="s">
        <v>9</v>
      </c>
      <c r="B9" s="10" t="s">
        <v>27</v>
      </c>
      <c r="C9" s="10" t="s">
        <v>21</v>
      </c>
      <c r="D9">
        <v>6.48</v>
      </c>
      <c r="E9" s="23" t="s">
        <v>22</v>
      </c>
      <c r="F9" s="24" t="s">
        <v>22</v>
      </c>
    </row>
    <row r="10" spans="1:6" x14ac:dyDescent="0.3">
      <c r="A10" s="10" t="s">
        <v>9</v>
      </c>
      <c r="B10" s="10" t="s">
        <v>90</v>
      </c>
      <c r="C10" s="10" t="s">
        <v>21</v>
      </c>
      <c r="D10">
        <v>32.04</v>
      </c>
      <c r="E10" s="23" t="s">
        <v>22</v>
      </c>
      <c r="F10" s="24" t="s">
        <v>22</v>
      </c>
    </row>
    <row r="11" spans="1:6" x14ac:dyDescent="0.3">
      <c r="A11" s="10" t="s">
        <v>9</v>
      </c>
      <c r="B11" s="10" t="s">
        <v>91</v>
      </c>
      <c r="C11" s="10" t="s">
        <v>21</v>
      </c>
      <c r="D11">
        <v>32.04</v>
      </c>
      <c r="E11" s="23" t="s">
        <v>22</v>
      </c>
      <c r="F11" s="24" t="s">
        <v>22</v>
      </c>
    </row>
  </sheetData>
  <conditionalFormatting sqref="B8:B11">
    <cfRule type="expression" dxfId="44" priority="1">
      <formula>NOT(EXACT(INDIRECT("Z"&amp;ROW()-1&amp;"S1",FALSE()), INDIRECT("Z"&amp;ROW()&amp;"S1",FALSE())))</formula>
    </cfRule>
  </conditionalFormatting>
  <conditionalFormatting sqref="B2:B11">
    <cfRule type="duplicateValues" dxfId="43" priority="2"/>
  </conditionalFormatting>
  <dataValidations count="3">
    <dataValidation allowBlank="1" showInputMessage="1" showErrorMessage="1" promptTitle="Commodity price (€/MWh)" prompt="Cost for purchasing one unit (MWh) of a stock or buy commodity. Revenue for selling one unit (MWh) of a sell commodity. Cost for creating one unit of environmental commodity._x000a__x000a_Multiplier for sheet &quot;Buy-Sell-Price&quot; for commodity types &quot;Buy&quot; and &quot;Sell&quot;._x000a_" sqref="D1" xr:uid="{7BE41E0F-599C-4EAC-952D-6587BCE8085E}"/>
    <dataValidation allowBlank="1" showInputMessage="1" showErrorMessage="1" promptTitle="Maximum commodity use" prompt="For stock commodities, this value limits annual use (MWh) of this commodity. For CO2, this value limits the amount of emissions (t_CO2). If simulation timespan does not cover a full year, the sums are multiplied accordingly before (cf. 'weight' in urbs)." sqref="E1" xr:uid="{5248C94F-FF7F-4074-BA44-BF07728B96CD}"/>
    <dataValidation allowBlank="1" showInputMessage="1" showErrorMessage="1" promptTitle="Maximum commodity use per hour" prompt="For stock commodities, this value limits the energy use per hour (MW)._x000a_" sqref="F1" xr:uid="{F0AD70A4-D37B-46D3-BF87-038CB7861BC0}"/>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3"/>
  <sheetViews>
    <sheetView workbookViewId="0">
      <selection activeCell="E58" sqref="E58"/>
    </sheetView>
  </sheetViews>
  <sheetFormatPr baseColWidth="10" defaultColWidth="11.44140625" defaultRowHeight="14.4" x14ac:dyDescent="0.3"/>
  <cols>
    <col min="1" max="1" width="10.6640625" style="12" customWidth="1"/>
    <col min="2" max="2" width="16.33203125" style="12" bestFit="1" customWidth="1"/>
    <col min="3" max="3" width="10.6640625" style="20" customWidth="1"/>
    <col min="4" max="4" width="19.5546875" style="20" customWidth="1"/>
    <col min="5" max="5" width="15.109375" style="20" customWidth="1"/>
    <col min="6" max="6" width="10.6640625" style="12" customWidth="1"/>
    <col min="7" max="7" width="24" style="20" customWidth="1"/>
    <col min="8" max="8" width="10.6640625" style="20" customWidth="1"/>
    <col min="9" max="9" width="10.6640625" style="35" customWidth="1"/>
    <col min="10" max="10" width="16.109375" style="12" bestFit="1" customWidth="1"/>
    <col min="11" max="11" width="10.5546875" style="12" customWidth="1"/>
    <col min="12" max="12" width="14.88671875" style="36" bestFit="1" customWidth="1"/>
    <col min="13" max="13" width="14.88671875" style="12" bestFit="1" customWidth="1"/>
    <col min="14" max="16384" width="11.44140625" style="12"/>
  </cols>
  <sheetData>
    <row r="1" spans="1:13" x14ac:dyDescent="0.3">
      <c r="A1" t="s">
        <v>10</v>
      </c>
      <c r="B1" t="s">
        <v>28</v>
      </c>
      <c r="C1" s="28" t="s">
        <v>29</v>
      </c>
      <c r="D1" s="28" t="s">
        <v>30</v>
      </c>
      <c r="E1" s="28" t="s">
        <v>31</v>
      </c>
      <c r="F1" s="29" t="s">
        <v>32</v>
      </c>
      <c r="G1" s="28" t="s">
        <v>33</v>
      </c>
      <c r="H1" s="28" t="s">
        <v>34</v>
      </c>
      <c r="I1" s="30" t="s">
        <v>35</v>
      </c>
      <c r="J1" s="29" t="s">
        <v>36</v>
      </c>
      <c r="K1" s="31" t="s">
        <v>37</v>
      </c>
      <c r="L1" s="31" t="s">
        <v>38</v>
      </c>
      <c r="M1" s="31" t="s">
        <v>39</v>
      </c>
    </row>
    <row r="2" spans="1:13" x14ac:dyDescent="0.3">
      <c r="A2" s="12" t="s">
        <v>9</v>
      </c>
      <c r="B2" s="12" t="s">
        <v>42</v>
      </c>
      <c r="C2" s="20">
        <v>0</v>
      </c>
      <c r="D2" s="20">
        <v>56122</v>
      </c>
      <c r="E2" s="14" t="s">
        <v>22</v>
      </c>
      <c r="F2" s="15">
        <v>0.5</v>
      </c>
      <c r="G2" s="17">
        <v>1784013.3448000001</v>
      </c>
      <c r="H2" s="32">
        <v>28544.213516799999</v>
      </c>
      <c r="I2" s="26">
        <v>2.7</v>
      </c>
      <c r="J2" s="16">
        <v>0</v>
      </c>
      <c r="K2" s="27">
        <v>7.2999999999999995E-2</v>
      </c>
      <c r="L2" s="16">
        <v>40</v>
      </c>
      <c r="M2" s="19" t="e">
        <v>#N/A</v>
      </c>
    </row>
    <row r="3" spans="1:13" x14ac:dyDescent="0.3">
      <c r="A3" s="12" t="s">
        <v>9</v>
      </c>
      <c r="B3" s="12" t="s">
        <v>92</v>
      </c>
      <c r="C3" s="20">
        <v>0</v>
      </c>
      <c r="D3" s="20">
        <v>43599</v>
      </c>
      <c r="E3" s="14" t="s">
        <v>22</v>
      </c>
      <c r="F3" s="15">
        <v>0.65</v>
      </c>
      <c r="G3" s="26">
        <v>2230016.6809999999</v>
      </c>
      <c r="H3" s="26">
        <v>47276.353627999997</v>
      </c>
      <c r="I3" s="16">
        <v>4.5</v>
      </c>
      <c r="J3" s="16">
        <v>0</v>
      </c>
      <c r="K3" s="27">
        <v>7.2999999999999995E-2</v>
      </c>
      <c r="L3" s="16">
        <v>40</v>
      </c>
      <c r="M3" s="19" t="e">
        <v>#N/A</v>
      </c>
    </row>
    <row r="4" spans="1:13" x14ac:dyDescent="0.3">
      <c r="A4" s="12" t="s">
        <v>9</v>
      </c>
      <c r="B4" s="12" t="s">
        <v>43</v>
      </c>
      <c r="C4" s="20">
        <v>0</v>
      </c>
      <c r="D4" s="20">
        <v>999999</v>
      </c>
      <c r="E4" s="14" t="s">
        <v>22</v>
      </c>
      <c r="F4" s="12">
        <v>0</v>
      </c>
      <c r="G4" s="26">
        <v>769358.55599999998</v>
      </c>
      <c r="H4" s="26">
        <v>16725.186000000002</v>
      </c>
      <c r="I4" s="16">
        <v>2.6</v>
      </c>
      <c r="J4" s="17">
        <v>0</v>
      </c>
      <c r="K4" s="27">
        <v>7.2999999999999995E-2</v>
      </c>
      <c r="L4" s="16">
        <v>25</v>
      </c>
      <c r="M4" s="19" t="e">
        <v>#N/A</v>
      </c>
    </row>
    <row r="5" spans="1:13" x14ac:dyDescent="0.3">
      <c r="A5" s="12" t="s">
        <v>9</v>
      </c>
      <c r="B5" s="12" t="s">
        <v>93</v>
      </c>
      <c r="C5" s="20">
        <v>0</v>
      </c>
      <c r="D5" s="20">
        <v>13483</v>
      </c>
      <c r="E5" s="14" t="s">
        <v>22</v>
      </c>
      <c r="F5" s="12">
        <v>0</v>
      </c>
      <c r="G5">
        <v>5648000</v>
      </c>
      <c r="H5" s="33">
        <v>16725.186000000002</v>
      </c>
      <c r="I5">
        <v>2.6</v>
      </c>
      <c r="J5" s="17">
        <v>0</v>
      </c>
      <c r="K5" s="18">
        <v>7.0999999999999994E-2</v>
      </c>
      <c r="L5" s="16">
        <v>25</v>
      </c>
      <c r="M5" s="19" t="e">
        <v>#N/A</v>
      </c>
    </row>
    <row r="6" spans="1:13" x14ac:dyDescent="0.3">
      <c r="A6" s="12" t="s">
        <v>9</v>
      </c>
      <c r="B6" s="12" t="s">
        <v>94</v>
      </c>
      <c r="C6" s="20">
        <v>0</v>
      </c>
      <c r="D6" s="20">
        <v>14578</v>
      </c>
      <c r="E6" s="14" t="s">
        <v>22</v>
      </c>
      <c r="F6" s="12">
        <v>0</v>
      </c>
      <c r="G6">
        <v>5648000</v>
      </c>
      <c r="H6" s="33">
        <v>16725.186000000002</v>
      </c>
      <c r="I6">
        <v>2.6</v>
      </c>
      <c r="J6" s="17">
        <v>0</v>
      </c>
      <c r="K6" s="18">
        <v>7.0999999999999994E-2</v>
      </c>
      <c r="L6" s="16">
        <v>25</v>
      </c>
      <c r="M6" s="19" t="e">
        <v>#N/A</v>
      </c>
    </row>
    <row r="7" spans="1:13" x14ac:dyDescent="0.3">
      <c r="A7" s="12" t="s">
        <v>9</v>
      </c>
      <c r="B7" s="12" t="s">
        <v>95</v>
      </c>
      <c r="C7" s="20">
        <v>0</v>
      </c>
      <c r="D7" s="20">
        <v>100000</v>
      </c>
      <c r="E7" s="14" t="s">
        <v>22</v>
      </c>
      <c r="F7" s="15">
        <v>0.5</v>
      </c>
      <c r="G7" s="16">
        <v>3512276.2719999999</v>
      </c>
      <c r="H7" s="16">
        <v>72141.039619999996</v>
      </c>
      <c r="I7" s="16">
        <v>6.5</v>
      </c>
      <c r="J7" s="17">
        <v>0</v>
      </c>
      <c r="K7" s="18">
        <v>7.0999999999999994E-2</v>
      </c>
      <c r="L7" s="16">
        <v>40</v>
      </c>
      <c r="M7" s="19" t="e">
        <v>#N/A</v>
      </c>
    </row>
    <row r="8" spans="1:13" x14ac:dyDescent="0.3">
      <c r="A8" s="12" t="s">
        <v>9</v>
      </c>
      <c r="B8" s="12" t="s">
        <v>96</v>
      </c>
      <c r="C8" s="20">
        <v>0</v>
      </c>
      <c r="D8" s="20">
        <v>100000</v>
      </c>
      <c r="E8" s="14" t="s">
        <v>22</v>
      </c>
      <c r="F8" s="15">
        <v>0.65</v>
      </c>
      <c r="G8" s="16">
        <v>3813328.52428</v>
      </c>
      <c r="H8" s="16">
        <v>72475.542125599997</v>
      </c>
      <c r="I8" s="16">
        <v>6.7</v>
      </c>
      <c r="J8" s="17">
        <v>0</v>
      </c>
      <c r="K8" s="18">
        <v>7.0999999999999994E-2</v>
      </c>
      <c r="L8" s="16">
        <v>40</v>
      </c>
      <c r="M8" s="19" t="e">
        <v>#N/A</v>
      </c>
    </row>
    <row r="9" spans="1:13" x14ac:dyDescent="0.3">
      <c r="A9" s="12" t="s">
        <v>9</v>
      </c>
      <c r="B9" s="12" t="s">
        <v>88</v>
      </c>
      <c r="C9" s="20">
        <v>0</v>
      </c>
      <c r="D9" s="20">
        <v>100000</v>
      </c>
      <c r="E9" s="14" t="s">
        <v>22</v>
      </c>
      <c r="F9" s="12">
        <v>0</v>
      </c>
      <c r="G9" s="16">
        <v>1811895.1500000001</v>
      </c>
      <c r="H9" s="16">
        <v>42593.5</v>
      </c>
      <c r="I9" s="16">
        <v>3.33</v>
      </c>
      <c r="J9" s="17">
        <v>0</v>
      </c>
      <c r="K9" s="18">
        <v>7.0999999999999994E-2</v>
      </c>
      <c r="L9" s="16">
        <v>25</v>
      </c>
      <c r="M9" s="19" t="e">
        <v>#N/A</v>
      </c>
    </row>
    <row r="10" spans="1:13" x14ac:dyDescent="0.3">
      <c r="A10" s="12" t="s">
        <v>9</v>
      </c>
      <c r="B10" s="13" t="s">
        <v>44</v>
      </c>
      <c r="C10" s="20">
        <v>0</v>
      </c>
      <c r="D10" s="20">
        <v>94198</v>
      </c>
      <c r="E10" s="14" t="s">
        <v>22</v>
      </c>
      <c r="F10" s="12">
        <v>0</v>
      </c>
      <c r="G10" s="26">
        <v>5630812.6200000001</v>
      </c>
      <c r="H10" s="32">
        <v>128226.42600000001</v>
      </c>
      <c r="I10" s="26">
        <v>8.3000000000000007</v>
      </c>
      <c r="J10" s="16">
        <v>0</v>
      </c>
      <c r="K10" s="27">
        <v>7.2999999999999995E-2</v>
      </c>
      <c r="L10" s="16">
        <v>60</v>
      </c>
      <c r="M10" s="19" t="e">
        <v>#N/A</v>
      </c>
    </row>
    <row r="11" spans="1:13" x14ac:dyDescent="0.3">
      <c r="A11" s="12" t="s">
        <v>9</v>
      </c>
      <c r="B11" s="13" t="s">
        <v>40</v>
      </c>
      <c r="C11" s="20">
        <v>0</v>
      </c>
      <c r="D11" s="20">
        <v>46703</v>
      </c>
      <c r="E11" s="14" t="s">
        <v>22</v>
      </c>
      <c r="F11" s="12">
        <v>0</v>
      </c>
      <c r="G11" s="26">
        <v>2676029.7599999998</v>
      </c>
      <c r="H11" s="26">
        <v>9143.1016799999998</v>
      </c>
      <c r="I11" s="26">
        <v>0</v>
      </c>
      <c r="J11" s="16">
        <v>0</v>
      </c>
      <c r="K11" s="27">
        <v>7.2999999999999995E-2</v>
      </c>
      <c r="L11" s="16">
        <v>60</v>
      </c>
      <c r="M11" s="19" t="e">
        <v>#N/A</v>
      </c>
    </row>
    <row r="12" spans="1:13" x14ac:dyDescent="0.3">
      <c r="A12" s="12" t="s">
        <v>9</v>
      </c>
      <c r="B12" s="13" t="s">
        <v>41</v>
      </c>
      <c r="C12" s="20">
        <v>0</v>
      </c>
      <c r="D12" s="20">
        <v>61218</v>
      </c>
      <c r="E12" s="14" t="s">
        <v>22</v>
      </c>
      <c r="F12" s="12">
        <v>0</v>
      </c>
      <c r="G12" s="16">
        <v>3345037.2</v>
      </c>
      <c r="H12" s="16">
        <v>28432.799999999999</v>
      </c>
      <c r="I12" s="16">
        <v>0.35699999999999998</v>
      </c>
      <c r="J12" s="16">
        <v>0</v>
      </c>
      <c r="K12" s="27">
        <v>7.2999999999999995E-2</v>
      </c>
      <c r="L12" s="16">
        <v>50</v>
      </c>
      <c r="M12" s="19" t="e">
        <v>#N/A</v>
      </c>
    </row>
    <row r="13" spans="1:13" x14ac:dyDescent="0.3">
      <c r="A13" s="12" t="s">
        <v>9</v>
      </c>
      <c r="B13" s="13" t="s">
        <v>45</v>
      </c>
      <c r="C13" s="20">
        <v>0</v>
      </c>
      <c r="D13" s="20">
        <v>999999</v>
      </c>
      <c r="E13" s="14" t="s">
        <v>22</v>
      </c>
      <c r="F13" s="12">
        <v>0</v>
      </c>
      <c r="G13" s="34">
        <v>5648000</v>
      </c>
      <c r="H13" s="34">
        <v>0</v>
      </c>
      <c r="I13" s="34">
        <v>53.2</v>
      </c>
      <c r="J13" s="16">
        <v>0</v>
      </c>
      <c r="K13" s="18">
        <v>7.0999999999999994E-2</v>
      </c>
      <c r="L13" s="16">
        <v>25</v>
      </c>
      <c r="M13" s="19" t="e">
        <v>#N/A</v>
      </c>
    </row>
  </sheetData>
  <conditionalFormatting sqref="P2:XFD4">
    <cfRule type="expression" dxfId="42" priority="15">
      <formula>NOT(EXACT(INDIRECT("Z"&amp;ROW()-1&amp;"S1",FALSE()), INDIRECT("Z"&amp;ROW()&amp;"S1",FALSE())))</formula>
    </cfRule>
  </conditionalFormatting>
  <conditionalFormatting sqref="A1:XFD1 A14:F14 L14:XFD14 A15:XFD1048576 N13:XFD13">
    <cfRule type="expression" dxfId="41" priority="17">
      <formula>NOT(EXACT(INDIRECT("Z"&amp;ROW()-1&amp;"S1",FALSE()), INDIRECT("Z"&amp;ROW()&amp;"S1",FALSE())))</formula>
    </cfRule>
  </conditionalFormatting>
  <conditionalFormatting sqref="N12:XFD12">
    <cfRule type="expression" dxfId="40" priority="16">
      <formula>NOT(EXACT(INDIRECT("Z"&amp;ROW()-1&amp;"S1",FALSE()), INDIRECT("Z"&amp;ROW()&amp;"S1",FALSE())))</formula>
    </cfRule>
  </conditionalFormatting>
  <conditionalFormatting sqref="C2:D13 F9:F13 F4:F6">
    <cfRule type="expression" dxfId="39" priority="14">
      <formula>NOT(EXACT(INDIRECT("Z"&amp;ROW()-1&amp;"S1",FALSE()), INDIRECT("Z"&amp;ROW()&amp;"S1",FALSE())))</formula>
    </cfRule>
  </conditionalFormatting>
  <conditionalFormatting sqref="E2:E4 E12:E13">
    <cfRule type="expression" dxfId="38" priority="13">
      <formula>NOT(EXACT(INDIRECT("Z"&amp;ROW()-1&amp;"S1",FALSE()), INDIRECT("Z"&amp;ROW()&amp;"S1",FALSE())))</formula>
    </cfRule>
  </conditionalFormatting>
  <conditionalFormatting sqref="F2">
    <cfRule type="expression" dxfId="37" priority="12">
      <formula>NOT(EXACT(INDIRECT("Z"&amp;ROW()-1&amp;"S1",FALSE()), INDIRECT("Z"&amp;ROW()&amp;"S1",FALSE())))</formula>
    </cfRule>
  </conditionalFormatting>
  <conditionalFormatting sqref="F7">
    <cfRule type="expression" dxfId="36" priority="11">
      <formula>NOT(EXACT(INDIRECT("Z"&amp;ROW()-1&amp;"S1",FALSE()), INDIRECT("Z"&amp;ROW()&amp;"S1",FALSE())))</formula>
    </cfRule>
  </conditionalFormatting>
  <conditionalFormatting sqref="B2:B9">
    <cfRule type="expression" dxfId="35" priority="10">
      <formula>NOT(EXACT(INDIRECT("Z"&amp;ROW()-1&amp;"S1",FALSE()), INDIRECT("Z"&amp;ROW()&amp;"S1",FALSE())))</formula>
    </cfRule>
  </conditionalFormatting>
  <conditionalFormatting sqref="A2:A4">
    <cfRule type="expression" dxfId="34" priority="9">
      <formula>NOT(EXACT(INDIRECT("Z"&amp;ROW()-1&amp;"S1",FALSE()), INDIRECT("Z"&amp;ROW()&amp;"S1",FALSE())))</formula>
    </cfRule>
  </conditionalFormatting>
  <conditionalFormatting sqref="A2:A13">
    <cfRule type="expression" dxfId="33" priority="8">
      <formula>NOT(EXACT(INDIRECT("Z"&amp;ROW()-1&amp;"S1",FALSE()), INDIRECT("Z"&amp;ROW()&amp;"S1",FALSE())))</formula>
    </cfRule>
  </conditionalFormatting>
  <conditionalFormatting sqref="B10">
    <cfRule type="expression" dxfId="32" priority="7">
      <formula>NOT(EXACT(INDIRECT("Z"&amp;ROW()-1&amp;"S1",FALSE()), INDIRECT("Z"&amp;ROW()&amp;"S1",FALSE())))</formula>
    </cfRule>
  </conditionalFormatting>
  <conditionalFormatting sqref="B11:B12">
    <cfRule type="expression" dxfId="31" priority="6">
      <formula>NOT(EXACT(INDIRECT("Z"&amp;ROW()-1&amp;"S1",FALSE()), INDIRECT("Z"&amp;ROW()&amp;"S1",FALSE())))</formula>
    </cfRule>
  </conditionalFormatting>
  <conditionalFormatting sqref="B11:B12">
    <cfRule type="expression" dxfId="30" priority="5">
      <formula>NOT(EXACT(INDIRECT("Z"&amp;ROW()-1&amp;"S1",FALSE()), INDIRECT("Z"&amp;ROW()&amp;"S1",FALSE())))</formula>
    </cfRule>
  </conditionalFormatting>
  <conditionalFormatting sqref="B13">
    <cfRule type="expression" dxfId="29" priority="4">
      <formula>NOT(EXACT(INDIRECT("Z"&amp;ROW()-1&amp;"S1",FALSE()), INDIRECT("Z"&amp;ROW()&amp;"S1",FALSE())))</formula>
    </cfRule>
  </conditionalFormatting>
  <conditionalFormatting sqref="M2">
    <cfRule type="expression" dxfId="28" priority="3">
      <formula>NOT(EXACT(INDIRECT("Z"&amp;ROW()-1&amp;"S1",FALSE()), INDIRECT("Z"&amp;ROW()&amp;"S1",FALSE())))</formula>
    </cfRule>
  </conditionalFormatting>
  <conditionalFormatting sqref="M11:M12">
    <cfRule type="expression" dxfId="27" priority="1">
      <formula>NOT(EXACT(INDIRECT("Z"&amp;ROW()-1&amp;"S1",FALSE()), INDIRECT("Z"&amp;ROW()&amp;"S1",FALSE())))</formula>
    </cfRule>
  </conditionalFormatting>
  <conditionalFormatting sqref="G11:I11">
    <cfRule type="expression" dxfId="26" priority="2">
      <formula>NOT(EXACT(INDIRECT("Z"&amp;ROW()-1&amp;"S1",FALSE()), INDIRECT("Z"&amp;ROW()&amp;"S1",FALSE())))</formula>
    </cfRule>
  </conditionalFormatting>
  <dataValidations count="11">
    <dataValidation allowBlank="1" showInputMessage="1" showErrorMessage="1" promptTitle="Startup Cost (€)" prompt="The process cost which is incurred when the process is switched on from off condition at a timestep." sqref="J1" xr:uid="{A631D7A7-C85D-4798-B496-7CD1F6B9514A}"/>
    <dataValidation allowBlank="1" showInputMessage="1" showErrorMessage="1" promptTitle="Weighted average cost of capital" prompt="Percentage (%) of costs for capital after taxes. Used to calculate annuity factor for investment costs." sqref="K1" xr:uid="{01DF4140-EF48-4C1A-BFDB-D6C7224DA8B6}"/>
    <dataValidation allowBlank="1" showInputMessage="1" showErrorMessage="1" promptTitle="Area use per capacity (m^2/MW) " prompt="If a process requires area set value here. If no area use is to be considered set NV(). " sqref="M1" xr:uid="{652516D9-2F87-4A98-8C53-ADC2E1DC6292}"/>
    <dataValidation allowBlank="1" showInputMessage="1" showErrorMessage="1" promptTitle="Minimum load fraction" prompt="This value sets the minimum possible fraction of the process capacity which the process can run at." sqref="F1" xr:uid="{8A073FEE-E055-413B-AE42-E977436F6D9C}"/>
    <dataValidation allowBlank="1" showInputMessage="1" showErrorMessage="1" promptTitle="Maximal power gradient (1/h)" prompt="Maximum allowed power gradient relative to power throughput capacity. Set value to inf or greater than 1/dt to disable it." sqref="E1" xr:uid="{2A6CA08A-E06C-4832-95FC-C2756E68058C}"/>
    <dataValidation allowBlank="1" showInputMessage="1" showErrorMessage="1" promptTitle="Depreciation period (a)" prompt="Economic lifetime (more conservative than technical lifetime) of a process investment in years (a). Used to calculate annuity factor for investment costs." sqref="L1" xr:uid="{3E6541C1-DA0C-4F7F-B9E2-0E69B1BF0AFA}"/>
    <dataValidation allowBlank="1" showInputMessage="1" showErrorMessage="1" promptTitle="Variable costs (€/MWh)" prompt="Variable costs per throughput energy unit (MWh) produced. This includes wear and tear of moving parts, operation liquids, but excluding fuel costs, as they are included in table Commodity, column 'price'." sqref="I1" xr:uid="{B20DF5B0-C26E-46C9-A4D3-F61B5DEF8CCB}"/>
    <dataValidation allowBlank="1" showInputMessage="1" showErrorMessage="1" promptTitle="Annual fix cost (€/MW/a)" prompt="Operation independent costs for existing and new capacities per MW throughput power." sqref="H1" xr:uid="{354770A3-6D19-44DA-B7DB-305AB48DECDA}"/>
    <dataValidation allowBlank="1" showInputMessage="1" showErrorMessage="1" promptTitle="Investment cost (€/MW)" prompt="Total investement cost for adding capacity. Is annualized in the model using the annuity factor derived from 'wacc' and 'depreciation'." sqref="G1" xr:uid="{571A948D-21B4-4B45-80B0-92A8C3F34D36}"/>
    <dataValidation allowBlank="1" showInputMessage="1" showErrorMessage="1" promptTitle="Maximum capacity (MW)" prompt="Maximum allowed power throughput capacity per process. Must be bigger than or equal to max('cap-lo', 'inst-cap')." sqref="D1" xr:uid="{E45E670C-4B3A-4191-810D-B1A704D92831}"/>
    <dataValidation allowBlank="1" showInputMessage="1" showErrorMessage="1" promptTitle="Minimum capacity (MW)" prompt="Minimum required power throughput capacity that is allowed per process. Must be smaller or equal to 'cap-up', but can be bigger than 'inst-cap' to force investment." sqref="C1" xr:uid="{7DEA819C-D6A3-4F87-844A-76D784C8E63F}"/>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4"/>
  <sheetViews>
    <sheetView tabSelected="1" workbookViewId="0">
      <selection activeCell="H19" sqref="H19"/>
    </sheetView>
  </sheetViews>
  <sheetFormatPr baseColWidth="10" defaultColWidth="11.44140625" defaultRowHeight="14.4" x14ac:dyDescent="0.3"/>
  <cols>
    <col min="1" max="1" width="16.33203125" style="12" bestFit="1" customWidth="1"/>
    <col min="2" max="2" width="13.5546875" style="12" bestFit="1" customWidth="1"/>
    <col min="3" max="3" width="11.44140625" style="12" bestFit="1"/>
    <col min="4" max="4" width="20.6640625" style="38" customWidth="1"/>
    <col min="5" max="5" width="18.5546875" style="38" customWidth="1"/>
    <col min="6" max="16384" width="11.44140625" style="12"/>
  </cols>
  <sheetData>
    <row r="1" spans="1:5" x14ac:dyDescent="0.3">
      <c r="A1" t="s">
        <v>28</v>
      </c>
      <c r="B1" t="s">
        <v>11</v>
      </c>
      <c r="C1" t="s">
        <v>46</v>
      </c>
      <c r="D1" s="37" t="s">
        <v>47</v>
      </c>
      <c r="E1" s="37" t="s">
        <v>48</v>
      </c>
    </row>
    <row r="2" spans="1:5" x14ac:dyDescent="0.3">
      <c r="A2" s="12" t="s">
        <v>92</v>
      </c>
      <c r="B2" s="10" t="s">
        <v>20</v>
      </c>
      <c r="C2" s="10" t="s">
        <v>49</v>
      </c>
      <c r="D2" s="11">
        <v>1</v>
      </c>
      <c r="E2" s="11">
        <v>2</v>
      </c>
    </row>
    <row r="3" spans="1:5" x14ac:dyDescent="0.3">
      <c r="A3" s="12" t="s">
        <v>92</v>
      </c>
      <c r="B3" s="10" t="s">
        <v>18</v>
      </c>
      <c r="C3" s="10" t="s">
        <v>50</v>
      </c>
      <c r="D3" s="25">
        <v>0.42</v>
      </c>
      <c r="E3" s="11" t="e">
        <f>NA()</f>
        <v>#N/A</v>
      </c>
    </row>
    <row r="4" spans="1:5" x14ac:dyDescent="0.3">
      <c r="A4" s="12" t="s">
        <v>92</v>
      </c>
      <c r="B4" s="10" t="s">
        <v>23</v>
      </c>
      <c r="C4" s="10" t="s">
        <v>50</v>
      </c>
      <c r="D4" s="11">
        <v>0.36299999999999999</v>
      </c>
      <c r="E4" s="11">
        <v>0.8</v>
      </c>
    </row>
    <row r="5" spans="1:5" x14ac:dyDescent="0.3">
      <c r="A5" s="9" t="s">
        <v>43</v>
      </c>
      <c r="B5" s="10" t="s">
        <v>89</v>
      </c>
      <c r="C5" s="10" t="s">
        <v>49</v>
      </c>
      <c r="D5" s="11">
        <v>1</v>
      </c>
      <c r="E5" s="11">
        <v>1.2</v>
      </c>
    </row>
    <row r="6" spans="1:5" x14ac:dyDescent="0.3">
      <c r="A6" s="9" t="s">
        <v>43</v>
      </c>
      <c r="B6" s="10" t="s">
        <v>18</v>
      </c>
      <c r="C6" s="10" t="s">
        <v>50</v>
      </c>
      <c r="D6" s="25">
        <v>0.61</v>
      </c>
      <c r="E6" s="11" t="e">
        <f>NA()</f>
        <v>#N/A</v>
      </c>
    </row>
    <row r="7" spans="1:5" x14ac:dyDescent="0.3">
      <c r="A7" s="9" t="s">
        <v>43</v>
      </c>
      <c r="B7" s="10" t="s">
        <v>23</v>
      </c>
      <c r="C7" s="10" t="s">
        <v>50</v>
      </c>
      <c r="D7" s="7">
        <v>0.1855</v>
      </c>
      <c r="E7" s="11">
        <f>D7*E5</f>
        <v>0.22259999999999999</v>
      </c>
    </row>
    <row r="8" spans="1:5" x14ac:dyDescent="0.3">
      <c r="A8" s="9" t="s">
        <v>45</v>
      </c>
      <c r="B8" s="10" t="s">
        <v>25</v>
      </c>
      <c r="C8" s="10" t="s">
        <v>49</v>
      </c>
      <c r="D8" s="11">
        <v>1</v>
      </c>
      <c r="E8" s="11" t="e">
        <f>NA()</f>
        <v>#N/A</v>
      </c>
    </row>
    <row r="9" spans="1:5" x14ac:dyDescent="0.3">
      <c r="A9" s="9" t="s">
        <v>45</v>
      </c>
      <c r="B9" s="10" t="s">
        <v>18</v>
      </c>
      <c r="C9" s="10" t="s">
        <v>50</v>
      </c>
      <c r="D9" s="11">
        <v>0.35</v>
      </c>
      <c r="E9" s="11" t="e">
        <f>NA()</f>
        <v>#N/A</v>
      </c>
    </row>
    <row r="10" spans="1:5" x14ac:dyDescent="0.3">
      <c r="A10" s="9" t="s">
        <v>45</v>
      </c>
      <c r="B10" s="10" t="s">
        <v>23</v>
      </c>
      <c r="C10" s="10" t="s">
        <v>50</v>
      </c>
      <c r="D10" s="11">
        <v>0</v>
      </c>
      <c r="E10" s="11" t="e">
        <f>NA()</f>
        <v>#N/A</v>
      </c>
    </row>
    <row r="11" spans="1:5" x14ac:dyDescent="0.3">
      <c r="A11" s="9" t="s">
        <v>44</v>
      </c>
      <c r="B11" s="10" t="s">
        <v>26</v>
      </c>
      <c r="C11" s="10" t="s">
        <v>49</v>
      </c>
      <c r="D11" s="11">
        <v>1</v>
      </c>
      <c r="E11" s="11" t="e">
        <f>NA()</f>
        <v>#N/A</v>
      </c>
    </row>
    <row r="12" spans="1:5" x14ac:dyDescent="0.3">
      <c r="A12" s="9" t="s">
        <v>44</v>
      </c>
      <c r="B12" s="10" t="s">
        <v>18</v>
      </c>
      <c r="C12" s="10" t="s">
        <v>50</v>
      </c>
      <c r="D12" s="11">
        <v>0.38</v>
      </c>
      <c r="E12" s="11" t="e">
        <f>NA()</f>
        <v>#N/A</v>
      </c>
    </row>
    <row r="13" spans="1:5" x14ac:dyDescent="0.3">
      <c r="A13" s="9" t="s">
        <v>42</v>
      </c>
      <c r="B13" s="10" t="s">
        <v>27</v>
      </c>
      <c r="C13" s="10" t="s">
        <v>49</v>
      </c>
      <c r="D13" s="11">
        <v>1</v>
      </c>
      <c r="E13" s="11">
        <v>1.4</v>
      </c>
    </row>
    <row r="14" spans="1:5" x14ac:dyDescent="0.3">
      <c r="A14" s="9" t="s">
        <v>42</v>
      </c>
      <c r="B14" s="10" t="s">
        <v>18</v>
      </c>
      <c r="C14" s="10" t="s">
        <v>50</v>
      </c>
      <c r="D14" s="25">
        <v>0.46</v>
      </c>
      <c r="E14" s="11" t="e">
        <f>NA()</f>
        <v>#N/A</v>
      </c>
    </row>
    <row r="15" spans="1:5" x14ac:dyDescent="0.3">
      <c r="A15" s="9" t="s">
        <v>42</v>
      </c>
      <c r="B15" s="10" t="s">
        <v>23</v>
      </c>
      <c r="C15" s="10" t="s">
        <v>50</v>
      </c>
      <c r="D15" s="11">
        <v>0.34179999999999999</v>
      </c>
      <c r="E15" s="11">
        <f>D15*E13</f>
        <v>0.47851999999999995</v>
      </c>
    </row>
    <row r="16" spans="1:5" x14ac:dyDescent="0.3">
      <c r="A16" s="9" t="s">
        <v>40</v>
      </c>
      <c r="B16" s="10" t="s">
        <v>17</v>
      </c>
      <c r="C16" s="10" t="s">
        <v>49</v>
      </c>
      <c r="D16" s="11">
        <v>1</v>
      </c>
      <c r="E16" s="11" t="e">
        <f>NA()</f>
        <v>#N/A</v>
      </c>
    </row>
    <row r="17" spans="1:5" x14ac:dyDescent="0.3">
      <c r="A17" s="9" t="s">
        <v>40</v>
      </c>
      <c r="B17" s="10" t="s">
        <v>18</v>
      </c>
      <c r="C17" s="10" t="s">
        <v>50</v>
      </c>
      <c r="D17" s="11">
        <v>1</v>
      </c>
      <c r="E17" s="11" t="e">
        <f>NA()</f>
        <v>#N/A</v>
      </c>
    </row>
    <row r="18" spans="1:5" x14ac:dyDescent="0.3">
      <c r="A18" s="9" t="s">
        <v>41</v>
      </c>
      <c r="B18" s="10" t="s">
        <v>17</v>
      </c>
      <c r="C18" s="10" t="s">
        <v>49</v>
      </c>
      <c r="D18" s="11">
        <v>1</v>
      </c>
      <c r="E18" s="11" t="e">
        <f>NA()</f>
        <v>#N/A</v>
      </c>
    </row>
    <row r="19" spans="1:5" x14ac:dyDescent="0.3">
      <c r="A19" s="9" t="s">
        <v>41</v>
      </c>
      <c r="B19" s="10" t="s">
        <v>18</v>
      </c>
      <c r="C19" s="10" t="s">
        <v>50</v>
      </c>
      <c r="D19" s="11">
        <v>1</v>
      </c>
      <c r="E19" s="11" t="e">
        <f>NA()</f>
        <v>#N/A</v>
      </c>
    </row>
    <row r="20" spans="1:5" x14ac:dyDescent="0.3">
      <c r="A20" s="12" t="s">
        <v>95</v>
      </c>
      <c r="B20" s="10" t="s">
        <v>27</v>
      </c>
      <c r="C20" s="10" t="s">
        <v>49</v>
      </c>
      <c r="D20" s="11">
        <v>1</v>
      </c>
      <c r="E20" s="11" t="e">
        <f>NA()</f>
        <v>#N/A</v>
      </c>
    </row>
    <row r="21" spans="1:5" x14ac:dyDescent="0.3">
      <c r="A21" s="12" t="s">
        <v>95</v>
      </c>
      <c r="B21" s="10" t="s">
        <v>18</v>
      </c>
      <c r="C21" s="10" t="s">
        <v>50</v>
      </c>
      <c r="D21" s="11">
        <v>3.6999999999999998E-2</v>
      </c>
      <c r="E21" s="11" t="e">
        <f>D21*E19</f>
        <v>#N/A</v>
      </c>
    </row>
    <row r="22" spans="1:5" x14ac:dyDescent="0.3">
      <c r="A22" s="12" t="s">
        <v>95</v>
      </c>
      <c r="B22" s="10" t="s">
        <v>23</v>
      </c>
      <c r="C22" s="10" t="s">
        <v>50</v>
      </c>
      <c r="D22" s="11">
        <v>3.4180000000000002E-2</v>
      </c>
      <c r="E22" s="11" t="e">
        <f>D22*E20</f>
        <v>#N/A</v>
      </c>
    </row>
    <row r="23" spans="1:5" x14ac:dyDescent="0.3">
      <c r="A23" s="12" t="s">
        <v>96</v>
      </c>
      <c r="B23" s="10" t="s">
        <v>27</v>
      </c>
      <c r="C23" s="10" t="s">
        <v>49</v>
      </c>
      <c r="D23" s="11">
        <v>1</v>
      </c>
      <c r="E23" s="11" t="e">
        <f>NA()</f>
        <v>#N/A</v>
      </c>
    </row>
    <row r="24" spans="1:5" x14ac:dyDescent="0.3">
      <c r="A24" s="12" t="s">
        <v>96</v>
      </c>
      <c r="B24" s="10" t="s">
        <v>18</v>
      </c>
      <c r="C24" s="10" t="s">
        <v>50</v>
      </c>
      <c r="D24" s="11">
        <v>0.33</v>
      </c>
      <c r="E24" s="11" t="e">
        <f>D24*E21</f>
        <v>#N/A</v>
      </c>
    </row>
    <row r="25" spans="1:5" x14ac:dyDescent="0.3">
      <c r="A25" s="12" t="s">
        <v>96</v>
      </c>
      <c r="B25" s="10" t="s">
        <v>23</v>
      </c>
      <c r="C25" s="10" t="s">
        <v>50</v>
      </c>
      <c r="D25" s="11">
        <v>3.6299999999999999E-2</v>
      </c>
      <c r="E25" s="11" t="e">
        <f>D25*E23</f>
        <v>#N/A</v>
      </c>
    </row>
    <row r="26" spans="1:5" x14ac:dyDescent="0.3">
      <c r="A26" s="9" t="s">
        <v>88</v>
      </c>
      <c r="B26" s="10" t="s">
        <v>89</v>
      </c>
      <c r="C26" s="10" t="s">
        <v>49</v>
      </c>
      <c r="D26" s="11">
        <v>1</v>
      </c>
      <c r="E26" s="11">
        <v>1.2</v>
      </c>
    </row>
    <row r="27" spans="1:5" x14ac:dyDescent="0.3">
      <c r="A27" s="9" t="s">
        <v>88</v>
      </c>
      <c r="B27" s="10" t="s">
        <v>18</v>
      </c>
      <c r="C27" s="10" t="s">
        <v>50</v>
      </c>
      <c r="D27" s="11">
        <v>0.46</v>
      </c>
      <c r="E27" s="11" t="e">
        <f>NA()</f>
        <v>#N/A</v>
      </c>
    </row>
    <row r="28" spans="1:5" x14ac:dyDescent="0.3">
      <c r="A28" s="9" t="s">
        <v>88</v>
      </c>
      <c r="B28" s="10" t="s">
        <v>23</v>
      </c>
      <c r="C28" s="10" t="s">
        <v>50</v>
      </c>
      <c r="D28" s="11">
        <v>1.8550000000000001E-2</v>
      </c>
      <c r="E28" s="11" t="e">
        <f>NA()</f>
        <v>#N/A</v>
      </c>
    </row>
    <row r="29" spans="1:5" x14ac:dyDescent="0.3">
      <c r="A29" s="12" t="s">
        <v>93</v>
      </c>
      <c r="B29" s="10" t="s">
        <v>91</v>
      </c>
      <c r="C29" s="10" t="s">
        <v>49</v>
      </c>
      <c r="D29" s="11">
        <v>1</v>
      </c>
      <c r="E29" s="11" t="e">
        <f>D29*E27</f>
        <v>#N/A</v>
      </c>
    </row>
    <row r="30" spans="1:5" x14ac:dyDescent="0.3">
      <c r="A30" s="12" t="s">
        <v>93</v>
      </c>
      <c r="B30" s="10" t="s">
        <v>18</v>
      </c>
      <c r="C30" s="10" t="s">
        <v>50</v>
      </c>
      <c r="D30" s="11">
        <v>0.4</v>
      </c>
      <c r="E30" s="11" t="e">
        <f>NA()</f>
        <v>#N/A</v>
      </c>
    </row>
    <row r="31" spans="1:5" x14ac:dyDescent="0.3">
      <c r="A31" s="12" t="s">
        <v>93</v>
      </c>
      <c r="B31" s="10" t="s">
        <v>23</v>
      </c>
      <c r="C31" s="10" t="s">
        <v>50</v>
      </c>
      <c r="D31" s="11">
        <v>0.26700000000000002</v>
      </c>
      <c r="E31" s="11" t="e">
        <f>NA()</f>
        <v>#N/A</v>
      </c>
    </row>
    <row r="32" spans="1:5" x14ac:dyDescent="0.3">
      <c r="A32" s="12" t="s">
        <v>94</v>
      </c>
      <c r="B32" s="10" t="s">
        <v>90</v>
      </c>
      <c r="C32" s="10" t="s">
        <v>49</v>
      </c>
      <c r="D32" s="11">
        <v>1</v>
      </c>
      <c r="E32" s="11" t="e">
        <f>D32*E30</f>
        <v>#N/A</v>
      </c>
    </row>
    <row r="33" spans="1:5" x14ac:dyDescent="0.3">
      <c r="A33" s="12" t="s">
        <v>94</v>
      </c>
      <c r="B33" s="10" t="s">
        <v>18</v>
      </c>
      <c r="C33" s="10" t="s">
        <v>50</v>
      </c>
      <c r="D33" s="11">
        <v>0.4</v>
      </c>
      <c r="E33" s="11" t="e">
        <f>NA()</f>
        <v>#N/A</v>
      </c>
    </row>
    <row r="34" spans="1:5" x14ac:dyDescent="0.3">
      <c r="A34" s="12" t="s">
        <v>94</v>
      </c>
      <c r="B34" s="10" t="s">
        <v>23</v>
      </c>
      <c r="C34" s="10" t="s">
        <v>50</v>
      </c>
      <c r="D34" s="11">
        <v>0.26700000000000002</v>
      </c>
      <c r="E34" s="11" t="e">
        <f>NA()</f>
        <v>#N/A</v>
      </c>
    </row>
  </sheetData>
  <conditionalFormatting sqref="F2:XFD19">
    <cfRule type="expression" dxfId="25" priority="49">
      <formula>NOT(EXACT(INDIRECT("Z"&amp;ROW()-1&amp;"S1",FALSE()), INDIRECT("Z"&amp;ROW()&amp;"S1",FALSE())))</formula>
    </cfRule>
  </conditionalFormatting>
  <conditionalFormatting sqref="A1:XFD1">
    <cfRule type="expression" dxfId="24" priority="51">
      <formula>NOT(EXACT(INDIRECT("Z"&amp;ROW()-1&amp;"S1",FALSE()), INDIRECT("Z"&amp;ROW()&amp;"S1",FALSE())))</formula>
    </cfRule>
  </conditionalFormatting>
  <conditionalFormatting sqref="A20:XFD25 F26:XFD26 A27:XFD28 F29:XFD31 A32:XFD32 A66:XFD1048576 F33:XFD65">
    <cfRule type="expression" dxfId="23" priority="50">
      <formula>NOT(EXACT(INDIRECT("Z"&amp;ROW()-1&amp;"S1",FALSE()), INDIRECT("Z"&amp;ROW()&amp;"S1",FALSE())))</formula>
    </cfRule>
  </conditionalFormatting>
  <conditionalFormatting sqref="D1:E1">
    <cfRule type="dataBar" priority="52">
      <dataBar>
        <cfvo type="num" val="0"/>
        <cfvo type="num" val="2"/>
        <color rgb="FF638EC6"/>
      </dataBar>
    </cfRule>
  </conditionalFormatting>
  <conditionalFormatting sqref="D66:E1048576">
    <cfRule type="dataBar" priority="53">
      <dataBar>
        <cfvo type="num" val="0"/>
        <cfvo type="num" val="2"/>
        <color rgb="FF638EC6"/>
      </dataBar>
    </cfRule>
  </conditionalFormatting>
  <conditionalFormatting sqref="A5 A6:C19 D8:E12 B2:C4 D16:E19">
    <cfRule type="expression" dxfId="22" priority="43">
      <formula>NOT(EXACT(INDIRECT("Z"&amp;ROW()-1&amp;"S1",FALSE()), INDIRECT("Z"&amp;ROW()&amp;"S1",FALSE())))</formula>
    </cfRule>
  </conditionalFormatting>
  <conditionalFormatting sqref="B21:C25 C26 B27:C27">
    <cfRule type="expression" dxfId="21" priority="40">
      <formula>NOT(EXACT(INDIRECT("Z"&amp;ROW()-1&amp;"S1",FALSE()), INDIRECT("Z"&amp;ROW()&amp;"S1",FALSE())))</formula>
    </cfRule>
  </conditionalFormatting>
  <conditionalFormatting sqref="B20:C20 A26:A28">
    <cfRule type="expression" dxfId="20" priority="41">
      <formula>NOT(EXACT(INDIRECT("Z"&amp;ROW()-1&amp;"S1",FALSE()), INDIRECT("Z"&amp;ROW()&amp;"S1",FALSE())))</formula>
    </cfRule>
  </conditionalFormatting>
  <conditionalFormatting sqref="C5">
    <cfRule type="expression" dxfId="19" priority="38">
      <formula>NOT(EXACT(INDIRECT("Z"&amp;ROW()-1&amp;"S1",FALSE()), INDIRECT("Z"&amp;ROW()&amp;"S1",FALSE())))</formula>
    </cfRule>
  </conditionalFormatting>
  <conditionalFormatting sqref="D8:D10">
    <cfRule type="dataBar" priority="47">
      <dataBar>
        <cfvo type="num" val="0"/>
        <cfvo type="num" val="2"/>
        <color rgb="FF638EC6"/>
      </dataBar>
      <extLst>
        <ext xmlns:x14="http://schemas.microsoft.com/office/spreadsheetml/2009/9/main" uri="{B025F937-C7B1-47D3-B67F-A62EFF666E3E}">
          <x14:id>{C1B7A055-8455-4421-A269-925F500CE823}</x14:id>
        </ext>
      </extLst>
    </cfRule>
  </conditionalFormatting>
  <conditionalFormatting sqref="D8:D12 D16:D19">
    <cfRule type="dataBar" priority="42">
      <dataBar>
        <cfvo type="num" val="0"/>
        <cfvo type="num" val="2"/>
        <color rgb="FF638EC6"/>
      </dataBar>
      <extLst>
        <ext xmlns:x14="http://schemas.microsoft.com/office/spreadsheetml/2009/9/main" uri="{B025F937-C7B1-47D3-B67F-A62EFF666E3E}">
          <x14:id>{FDEF547F-62C1-4219-A550-D833B9728C6E}</x14:id>
        </ext>
      </extLst>
    </cfRule>
  </conditionalFormatting>
  <conditionalFormatting sqref="D11:E12">
    <cfRule type="dataBar" priority="48">
      <dataBar>
        <cfvo type="num" val="0"/>
        <cfvo type="num" val="2"/>
        <color rgb="FF638EC6"/>
      </dataBar>
      <extLst>
        <ext xmlns:x14="http://schemas.microsoft.com/office/spreadsheetml/2009/9/main" uri="{B025F937-C7B1-47D3-B67F-A62EFF666E3E}">
          <x14:id>{04C3042B-4FE0-42DF-9AE4-1CE576B82057}</x14:id>
        </ext>
      </extLst>
    </cfRule>
  </conditionalFormatting>
  <conditionalFormatting sqref="D16:E17">
    <cfRule type="dataBar" priority="45">
      <dataBar>
        <cfvo type="num" val="0"/>
        <cfvo type="num" val="2"/>
        <color rgb="FF638EC6"/>
      </dataBar>
      <extLst>
        <ext xmlns:x14="http://schemas.microsoft.com/office/spreadsheetml/2009/9/main" uri="{B025F937-C7B1-47D3-B67F-A62EFF666E3E}">
          <x14:id>{E315655C-F891-45ED-8503-38A51750BC0D}</x14:id>
        </ext>
      </extLst>
    </cfRule>
  </conditionalFormatting>
  <conditionalFormatting sqref="D18:E19">
    <cfRule type="dataBar" priority="44">
      <dataBar>
        <cfvo type="num" val="0"/>
        <cfvo type="num" val="2"/>
        <color rgb="FF638EC6"/>
      </dataBar>
      <extLst>
        <ext xmlns:x14="http://schemas.microsoft.com/office/spreadsheetml/2009/9/main" uri="{B025F937-C7B1-47D3-B67F-A62EFF666E3E}">
          <x14:id>{D0EB6AA5-B161-4CEE-B188-8A0814EA75BE}</x14:id>
        </ext>
      </extLst>
    </cfRule>
  </conditionalFormatting>
  <conditionalFormatting sqref="E8:E10">
    <cfRule type="dataBar" priority="46">
      <dataBar>
        <cfvo type="num" val="0"/>
        <cfvo type="num" val="2"/>
        <color rgb="FF638EC6"/>
      </dataBar>
      <extLst>
        <ext xmlns:x14="http://schemas.microsoft.com/office/spreadsheetml/2009/9/main" uri="{B025F937-C7B1-47D3-B67F-A62EFF666E3E}">
          <x14:id>{49391140-E792-40A2-8DC4-5075124C464E}</x14:id>
        </ext>
      </extLst>
    </cfRule>
  </conditionalFormatting>
  <conditionalFormatting sqref="E29:E34">
    <cfRule type="expression" dxfId="18" priority="37">
      <formula>NOT(EXACT(INDIRECT("Z"&amp;ROW()-1&amp;"S1",FALSE()), INDIRECT("Z"&amp;ROW()&amp;"S1",FALSE())))</formula>
    </cfRule>
  </conditionalFormatting>
  <conditionalFormatting sqref="B28:C28">
    <cfRule type="expression" dxfId="17" priority="39">
      <formula>NOT(EXACT(INDIRECT("Z"&amp;ROW()-1&amp;"S1",FALSE()), INDIRECT("Z"&amp;ROW()&amp;"S1",FALSE())))</formula>
    </cfRule>
  </conditionalFormatting>
  <conditionalFormatting sqref="A2:A4">
    <cfRule type="expression" dxfId="16" priority="36">
      <formula>NOT(EXACT(INDIRECT("Z"&amp;ROW()-1&amp;"S1",FALSE()), INDIRECT("Z"&amp;ROW()&amp;"S1",FALSE())))</formula>
    </cfRule>
  </conditionalFormatting>
  <conditionalFormatting sqref="A29:A31">
    <cfRule type="expression" dxfId="15" priority="35">
      <formula>NOT(EXACT(INDIRECT("Z"&amp;ROW()-1&amp;"S1",FALSE()), INDIRECT("Z"&amp;ROW()&amp;"S1",FALSE())))</formula>
    </cfRule>
  </conditionalFormatting>
  <conditionalFormatting sqref="A32:A34">
    <cfRule type="expression" dxfId="14" priority="34">
      <formula>NOT(EXACT(INDIRECT("Z"&amp;ROW()-1&amp;"S1",FALSE()), INDIRECT("Z"&amp;ROW()&amp;"S1",FALSE())))</formula>
    </cfRule>
  </conditionalFormatting>
  <conditionalFormatting sqref="C29 B30:C30">
    <cfRule type="expression" dxfId="13" priority="32">
      <formula>NOT(EXACT(INDIRECT("Z"&amp;ROW()-1&amp;"S1",FALSE()), INDIRECT("Z"&amp;ROW()&amp;"S1",FALSE())))</formula>
    </cfRule>
  </conditionalFormatting>
  <conditionalFormatting sqref="E29">
    <cfRule type="dataBar" priority="31">
      <dataBar>
        <cfvo type="num" val="0"/>
        <cfvo type="num" val="2"/>
        <color rgb="FF638EC6"/>
      </dataBar>
      <extLst>
        <ext xmlns:x14="http://schemas.microsoft.com/office/spreadsheetml/2009/9/main" uri="{B025F937-C7B1-47D3-B67F-A62EFF666E3E}">
          <x14:id>{15952D5C-7D71-4C55-A781-50F7446A7D8A}</x14:id>
        </ext>
      </extLst>
    </cfRule>
  </conditionalFormatting>
  <conditionalFormatting sqref="E30">
    <cfRule type="dataBar" priority="33">
      <dataBar>
        <cfvo type="num" val="0"/>
        <cfvo type="num" val="2"/>
        <color rgb="FF638EC6"/>
      </dataBar>
      <extLst>
        <ext xmlns:x14="http://schemas.microsoft.com/office/spreadsheetml/2009/9/main" uri="{B025F937-C7B1-47D3-B67F-A62EFF666E3E}">
          <x14:id>{6371259A-9A06-46EE-AA43-8C1D2AF70F9A}</x14:id>
        </ext>
      </extLst>
    </cfRule>
  </conditionalFormatting>
  <conditionalFormatting sqref="E31">
    <cfRule type="dataBar" priority="30">
      <dataBar>
        <cfvo type="num" val="0"/>
        <cfvo type="num" val="2"/>
        <color rgb="FF638EC6"/>
      </dataBar>
      <extLst>
        <ext xmlns:x14="http://schemas.microsoft.com/office/spreadsheetml/2009/9/main" uri="{B025F937-C7B1-47D3-B67F-A62EFF666E3E}">
          <x14:id>{68591727-EA4E-4969-BEEC-FFAAE6632C13}</x14:id>
        </ext>
      </extLst>
    </cfRule>
  </conditionalFormatting>
  <conditionalFormatting sqref="B31:C31">
    <cfRule type="expression" dxfId="12" priority="29">
      <formula>NOT(EXACT(INDIRECT("Z"&amp;ROW()-1&amp;"S1",FALSE()), INDIRECT("Z"&amp;ROW()&amp;"S1",FALSE())))</formula>
    </cfRule>
  </conditionalFormatting>
  <conditionalFormatting sqref="C32 B33:C33">
    <cfRule type="expression" dxfId="11" priority="27">
      <formula>NOT(EXACT(INDIRECT("Z"&amp;ROW()-1&amp;"S1",FALSE()), INDIRECT("Z"&amp;ROW()&amp;"S1",FALSE())))</formula>
    </cfRule>
  </conditionalFormatting>
  <conditionalFormatting sqref="E32">
    <cfRule type="dataBar" priority="26">
      <dataBar>
        <cfvo type="num" val="0"/>
        <cfvo type="num" val="2"/>
        <color rgb="FF638EC6"/>
      </dataBar>
      <extLst>
        <ext xmlns:x14="http://schemas.microsoft.com/office/spreadsheetml/2009/9/main" uri="{B025F937-C7B1-47D3-B67F-A62EFF666E3E}">
          <x14:id>{0309C086-9E03-48C8-819D-6F15CBB9A4ED}</x14:id>
        </ext>
      </extLst>
    </cfRule>
  </conditionalFormatting>
  <conditionalFormatting sqref="E33">
    <cfRule type="dataBar" priority="28">
      <dataBar>
        <cfvo type="num" val="0"/>
        <cfvo type="num" val="2"/>
        <color rgb="FF638EC6"/>
      </dataBar>
      <extLst>
        <ext xmlns:x14="http://schemas.microsoft.com/office/spreadsheetml/2009/9/main" uri="{B025F937-C7B1-47D3-B67F-A62EFF666E3E}">
          <x14:id>{64281581-14BD-4576-8D18-D46486EF2C9D}</x14:id>
        </ext>
      </extLst>
    </cfRule>
  </conditionalFormatting>
  <conditionalFormatting sqref="E34">
    <cfRule type="dataBar" priority="25">
      <dataBar>
        <cfvo type="num" val="0"/>
        <cfvo type="num" val="2"/>
        <color rgb="FF638EC6"/>
      </dataBar>
      <extLst>
        <ext xmlns:x14="http://schemas.microsoft.com/office/spreadsheetml/2009/9/main" uri="{B025F937-C7B1-47D3-B67F-A62EFF666E3E}">
          <x14:id>{E871B79F-8414-45E8-9C41-CA3E780244F6}</x14:id>
        </ext>
      </extLst>
    </cfRule>
  </conditionalFormatting>
  <conditionalFormatting sqref="B34:C34">
    <cfRule type="expression" dxfId="10" priority="24">
      <formula>NOT(EXACT(INDIRECT("Z"&amp;ROW()-1&amp;"S1",FALSE()), INDIRECT("Z"&amp;ROW()&amp;"S1",FALSE())))</formula>
    </cfRule>
  </conditionalFormatting>
  <conditionalFormatting sqref="A20:A22">
    <cfRule type="expression" dxfId="9" priority="23">
      <formula>NOT(EXACT(INDIRECT("Z"&amp;ROW()-1&amp;"S1",FALSE()), INDIRECT("Z"&amp;ROW()&amp;"S1",FALSE())))</formula>
    </cfRule>
  </conditionalFormatting>
  <conditionalFormatting sqref="A23:A25">
    <cfRule type="expression" dxfId="8" priority="22">
      <formula>NOT(EXACT(INDIRECT("Z"&amp;ROW()-1&amp;"S1",FALSE()), INDIRECT("Z"&amp;ROW()&amp;"S1",FALSE())))</formula>
    </cfRule>
  </conditionalFormatting>
  <conditionalFormatting sqref="D29:D34">
    <cfRule type="expression" dxfId="7" priority="20">
      <formula>NOT(EXACT(INDIRECT("Z"&amp;ROW()-1&amp;"S1",FALSE()), INDIRECT("Z"&amp;ROW()&amp;"S1",FALSE())))</formula>
    </cfRule>
  </conditionalFormatting>
  <conditionalFormatting sqref="D29:D34">
    <cfRule type="dataBar" priority="19">
      <dataBar>
        <cfvo type="num" val="0"/>
        <cfvo type="num" val="2"/>
        <color rgb="FF638EC6"/>
      </dataBar>
      <extLst>
        <ext xmlns:x14="http://schemas.microsoft.com/office/spreadsheetml/2009/9/main" uri="{B025F937-C7B1-47D3-B67F-A62EFF666E3E}">
          <x14:id>{276F7C6B-9CC6-4A40-95CD-DB50F69B9CCF}</x14:id>
        </ext>
      </extLst>
    </cfRule>
  </conditionalFormatting>
  <conditionalFormatting sqref="D29:D34">
    <cfRule type="dataBar" priority="21">
      <dataBar>
        <cfvo type="num" val="0"/>
        <cfvo type="num" val="2"/>
        <color rgb="FF638EC6"/>
      </dataBar>
      <extLst>
        <ext xmlns:x14="http://schemas.microsoft.com/office/spreadsheetml/2009/9/main" uri="{B025F937-C7B1-47D3-B67F-A62EFF666E3E}">
          <x14:id>{04FD959B-7B6A-46E9-9CF0-3204EACBBDEA}</x14:id>
        </ext>
      </extLst>
    </cfRule>
  </conditionalFormatting>
  <conditionalFormatting sqref="E2:E4">
    <cfRule type="expression" dxfId="6" priority="14">
      <formula>NOT(EXACT(INDIRECT("Z"&amp;ROW()-1&amp;"S1",FALSE()), INDIRECT("Z"&amp;ROW()&amp;"S1",FALSE())))</formula>
    </cfRule>
  </conditionalFormatting>
  <conditionalFormatting sqref="D2 D4">
    <cfRule type="expression" dxfId="5" priority="15">
      <formula>NOT(EXACT(INDIRECT("Z"&amp;ROW()-1&amp;"S1",FALSE()), INDIRECT("Z"&amp;ROW()&amp;"S1",FALSE())))</formula>
    </cfRule>
  </conditionalFormatting>
  <conditionalFormatting sqref="D4">
    <cfRule type="dataBar" priority="16">
      <dataBar>
        <cfvo type="num" val="0"/>
        <cfvo type="num" val="2"/>
        <color rgb="FF638EC6"/>
      </dataBar>
    </cfRule>
  </conditionalFormatting>
  <conditionalFormatting sqref="D4 D2">
    <cfRule type="dataBar" priority="18">
      <dataBar>
        <cfvo type="num" val="0"/>
        <cfvo type="num" val="2"/>
        <color rgb="FF638EC6"/>
      </dataBar>
    </cfRule>
  </conditionalFormatting>
  <conditionalFormatting sqref="E2:E4 D2">
    <cfRule type="dataBar" priority="17">
      <dataBar>
        <cfvo type="num" val="0"/>
        <cfvo type="num" val="2"/>
        <color rgb="FF638EC6"/>
      </dataBar>
    </cfRule>
  </conditionalFormatting>
  <conditionalFormatting sqref="E5:E7">
    <cfRule type="expression" dxfId="4" priority="10">
      <formula>NOT(EXACT(INDIRECT("Z"&amp;ROW()-1&amp;"S1",FALSE()), INDIRECT("Z"&amp;ROW()&amp;"S1",FALSE())))</formula>
    </cfRule>
  </conditionalFormatting>
  <conditionalFormatting sqref="D5">
    <cfRule type="expression" dxfId="3" priority="11">
      <formula>NOT(EXACT(INDIRECT("Z"&amp;ROW()-1&amp;"S1",FALSE()), INDIRECT("Z"&amp;ROW()&amp;"S1",FALSE())))</formula>
    </cfRule>
  </conditionalFormatting>
  <conditionalFormatting sqref="D5">
    <cfRule type="dataBar" priority="13">
      <dataBar>
        <cfvo type="num" val="0"/>
        <cfvo type="num" val="2"/>
        <color rgb="FF638EC6"/>
      </dataBar>
    </cfRule>
  </conditionalFormatting>
  <conditionalFormatting sqref="E5:E7 D5">
    <cfRule type="dataBar" priority="12">
      <dataBar>
        <cfvo type="num" val="0"/>
        <cfvo type="num" val="2"/>
        <color rgb="FF638EC6"/>
      </dataBar>
    </cfRule>
  </conditionalFormatting>
  <conditionalFormatting sqref="E13:E15">
    <cfRule type="expression" dxfId="2" priority="4">
      <formula>NOT(EXACT(INDIRECT("Z"&amp;ROW()-1&amp;"S1",FALSE()), INDIRECT("Z"&amp;ROW()&amp;"S1",FALSE())))</formula>
    </cfRule>
  </conditionalFormatting>
  <conditionalFormatting sqref="D13 D15">
    <cfRule type="expression" dxfId="1" priority="6">
      <formula>NOT(EXACT(INDIRECT("Z"&amp;ROW()-1&amp;"S1",FALSE()), INDIRECT("Z"&amp;ROW()&amp;"S1",FALSE())))</formula>
    </cfRule>
  </conditionalFormatting>
  <conditionalFormatting sqref="D15 D13">
    <cfRule type="dataBar" priority="8">
      <dataBar>
        <cfvo type="num" val="0"/>
        <cfvo type="num" val="2"/>
        <color rgb="FF638EC6"/>
      </dataBar>
    </cfRule>
  </conditionalFormatting>
  <conditionalFormatting sqref="D15 D13">
    <cfRule type="dataBar" priority="7">
      <dataBar>
        <cfvo type="num" val="0"/>
        <cfvo type="num" val="2"/>
        <color rgb="FF638EC6"/>
      </dataBar>
    </cfRule>
  </conditionalFormatting>
  <conditionalFormatting sqref="D15">
    <cfRule type="dataBar" priority="5">
      <dataBar>
        <cfvo type="num" val="0"/>
        <cfvo type="num" val="2"/>
        <color rgb="FF638EC6"/>
      </dataBar>
    </cfRule>
  </conditionalFormatting>
  <conditionalFormatting sqref="E13:E15">
    <cfRule type="dataBar" priority="9">
      <dataBar>
        <cfvo type="num" val="0"/>
        <cfvo type="num" val="2"/>
        <color rgb="FF638EC6"/>
      </dataBar>
    </cfRule>
  </conditionalFormatting>
  <conditionalFormatting sqref="D20:E28">
    <cfRule type="expression" dxfId="0" priority="1">
      <formula>NOT(EXACT(INDIRECT("Z"&amp;ROW()-1&amp;"S1",FALSE()), INDIRECT("Z"&amp;ROW()&amp;"S1",FALSE())))</formula>
    </cfRule>
  </conditionalFormatting>
  <conditionalFormatting sqref="D20:E28">
    <cfRule type="dataBar" priority="2">
      <dataBar>
        <cfvo type="num" val="0"/>
        <cfvo type="num" val="2"/>
        <color rgb="FF638EC6"/>
      </dataBar>
    </cfRule>
    <cfRule type="dataBar" priority="3">
      <dataBar>
        <cfvo type="num" val="0"/>
        <cfvo type="num" val="2"/>
        <color rgb="FF638EC6"/>
      </dataBar>
    </cfRule>
  </conditionalFormatting>
  <dataValidations count="2">
    <dataValidation allowBlank="1" showInputMessage="1" showErrorMessage="1" promptTitle="Ratio (1)" prompt="Input/output quantities, relative to process throughput" sqref="D1" xr:uid="{A7430415-4AC9-4C86-937C-498C9EB04EEE}"/>
    <dataValidation allowBlank="1" showInputMessage="1" showErrorMessage="1" promptTitle="Ratio at minimum operation point" prompt="Input/Output ratio at point of minimum operation (min-fract in 'Process' sheet)._x000a__x000a_All values have to be larger/equal to ratio!" sqref="E1" xr:uid="{9CA5DD8B-190B-4388-B749-A145676F3412}"/>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C1B7A055-8455-4421-A269-925F500CE823}">
            <x14:dataBar minLength="0" maxLength="100" gradient="0">
              <x14:cfvo type="num">
                <xm:f>0</xm:f>
              </x14:cfvo>
              <x14:cfvo type="num">
                <xm:f>2</xm:f>
              </x14:cfvo>
              <x14:negativeFillColor rgb="FFFF0000"/>
              <x14:axisColor rgb="FF000000"/>
            </x14:dataBar>
          </x14:cfRule>
          <xm:sqref>D8:D10</xm:sqref>
        </x14:conditionalFormatting>
        <x14:conditionalFormatting xmlns:xm="http://schemas.microsoft.com/office/excel/2006/main">
          <x14:cfRule type="dataBar" id="{FDEF547F-62C1-4219-A550-D833B9728C6E}">
            <x14:dataBar minLength="0" maxLength="100" gradient="0">
              <x14:cfvo type="num">
                <xm:f>0</xm:f>
              </x14:cfvo>
              <x14:cfvo type="num">
                <xm:f>2</xm:f>
              </x14:cfvo>
              <x14:negativeFillColor rgb="FFFF0000"/>
              <x14:axisColor rgb="FF000000"/>
            </x14:dataBar>
          </x14:cfRule>
          <xm:sqref>D8:D12 D16:D19</xm:sqref>
        </x14:conditionalFormatting>
        <x14:conditionalFormatting xmlns:xm="http://schemas.microsoft.com/office/excel/2006/main">
          <x14:cfRule type="dataBar" id="{04C3042B-4FE0-42DF-9AE4-1CE576B82057}">
            <x14:dataBar minLength="0" maxLength="100" gradient="0">
              <x14:cfvo type="num">
                <xm:f>0</xm:f>
              </x14:cfvo>
              <x14:cfvo type="num">
                <xm:f>2</xm:f>
              </x14:cfvo>
              <x14:negativeFillColor rgb="FFFF0000"/>
              <x14:axisColor rgb="FF000000"/>
            </x14:dataBar>
          </x14:cfRule>
          <xm:sqref>D11:E12</xm:sqref>
        </x14:conditionalFormatting>
        <x14:conditionalFormatting xmlns:xm="http://schemas.microsoft.com/office/excel/2006/main">
          <x14:cfRule type="dataBar" id="{E315655C-F891-45ED-8503-38A51750BC0D}">
            <x14:dataBar minLength="0" maxLength="100" gradient="0">
              <x14:cfvo type="num">
                <xm:f>0</xm:f>
              </x14:cfvo>
              <x14:cfvo type="num">
                <xm:f>2</xm:f>
              </x14:cfvo>
              <x14:negativeFillColor rgb="FFFF0000"/>
              <x14:axisColor rgb="FF000000"/>
            </x14:dataBar>
          </x14:cfRule>
          <xm:sqref>D16:E17</xm:sqref>
        </x14:conditionalFormatting>
        <x14:conditionalFormatting xmlns:xm="http://schemas.microsoft.com/office/excel/2006/main">
          <x14:cfRule type="dataBar" id="{D0EB6AA5-B161-4CEE-B188-8A0814EA75BE}">
            <x14:dataBar minLength="0" maxLength="100" gradient="0">
              <x14:cfvo type="num">
                <xm:f>0</xm:f>
              </x14:cfvo>
              <x14:cfvo type="num">
                <xm:f>2</xm:f>
              </x14:cfvo>
              <x14:negativeFillColor rgb="FFFF0000"/>
              <x14:axisColor rgb="FF000000"/>
            </x14:dataBar>
          </x14:cfRule>
          <xm:sqref>D18:E19</xm:sqref>
        </x14:conditionalFormatting>
        <x14:conditionalFormatting xmlns:xm="http://schemas.microsoft.com/office/excel/2006/main">
          <x14:cfRule type="dataBar" id="{49391140-E792-40A2-8DC4-5075124C464E}">
            <x14:dataBar minLength="0" maxLength="100" gradient="0">
              <x14:cfvo type="num">
                <xm:f>0</xm:f>
              </x14:cfvo>
              <x14:cfvo type="num">
                <xm:f>2</xm:f>
              </x14:cfvo>
              <x14:negativeFillColor rgb="FFFF0000"/>
              <x14:axisColor rgb="FF000000"/>
            </x14:dataBar>
          </x14:cfRule>
          <xm:sqref>E8:E10</xm:sqref>
        </x14:conditionalFormatting>
        <x14:conditionalFormatting xmlns:xm="http://schemas.microsoft.com/office/excel/2006/main">
          <x14:cfRule type="dataBar" id="{15952D5C-7D71-4C55-A781-50F7446A7D8A}">
            <x14:dataBar minLength="0" maxLength="100" gradient="0">
              <x14:cfvo type="num">
                <xm:f>0</xm:f>
              </x14:cfvo>
              <x14:cfvo type="num">
                <xm:f>2</xm:f>
              </x14:cfvo>
              <x14:negativeFillColor rgb="FFFF0000"/>
              <x14:axisColor rgb="FF000000"/>
            </x14:dataBar>
          </x14:cfRule>
          <xm:sqref>E29</xm:sqref>
        </x14:conditionalFormatting>
        <x14:conditionalFormatting xmlns:xm="http://schemas.microsoft.com/office/excel/2006/main">
          <x14:cfRule type="dataBar" id="{6371259A-9A06-46EE-AA43-8C1D2AF70F9A}">
            <x14:dataBar minLength="0" maxLength="100" gradient="0">
              <x14:cfvo type="num">
                <xm:f>0</xm:f>
              </x14:cfvo>
              <x14:cfvo type="num">
                <xm:f>2</xm:f>
              </x14:cfvo>
              <x14:negativeFillColor rgb="FFFF0000"/>
              <x14:axisColor rgb="FF000000"/>
            </x14:dataBar>
          </x14:cfRule>
          <xm:sqref>E30</xm:sqref>
        </x14:conditionalFormatting>
        <x14:conditionalFormatting xmlns:xm="http://schemas.microsoft.com/office/excel/2006/main">
          <x14:cfRule type="dataBar" id="{68591727-EA4E-4969-BEEC-FFAAE6632C13}">
            <x14:dataBar minLength="0" maxLength="100" gradient="0">
              <x14:cfvo type="num">
                <xm:f>0</xm:f>
              </x14:cfvo>
              <x14:cfvo type="num">
                <xm:f>2</xm:f>
              </x14:cfvo>
              <x14:negativeFillColor rgb="FFFF0000"/>
              <x14:axisColor rgb="FF000000"/>
            </x14:dataBar>
          </x14:cfRule>
          <xm:sqref>E31</xm:sqref>
        </x14:conditionalFormatting>
        <x14:conditionalFormatting xmlns:xm="http://schemas.microsoft.com/office/excel/2006/main">
          <x14:cfRule type="dataBar" id="{0309C086-9E03-48C8-819D-6F15CBB9A4ED}">
            <x14:dataBar minLength="0" maxLength="100" gradient="0">
              <x14:cfvo type="num">
                <xm:f>0</xm:f>
              </x14:cfvo>
              <x14:cfvo type="num">
                <xm:f>2</xm:f>
              </x14:cfvo>
              <x14:negativeFillColor rgb="FFFF0000"/>
              <x14:axisColor rgb="FF000000"/>
            </x14:dataBar>
          </x14:cfRule>
          <xm:sqref>E32</xm:sqref>
        </x14:conditionalFormatting>
        <x14:conditionalFormatting xmlns:xm="http://schemas.microsoft.com/office/excel/2006/main">
          <x14:cfRule type="dataBar" id="{64281581-14BD-4576-8D18-D46486EF2C9D}">
            <x14:dataBar minLength="0" maxLength="100" gradient="0">
              <x14:cfvo type="num">
                <xm:f>0</xm:f>
              </x14:cfvo>
              <x14:cfvo type="num">
                <xm:f>2</xm:f>
              </x14:cfvo>
              <x14:negativeFillColor rgb="FFFF0000"/>
              <x14:axisColor rgb="FF000000"/>
            </x14:dataBar>
          </x14:cfRule>
          <xm:sqref>E33</xm:sqref>
        </x14:conditionalFormatting>
        <x14:conditionalFormatting xmlns:xm="http://schemas.microsoft.com/office/excel/2006/main">
          <x14:cfRule type="dataBar" id="{E871B79F-8414-45E8-9C41-CA3E780244F6}">
            <x14:dataBar minLength="0" maxLength="100" gradient="0">
              <x14:cfvo type="num">
                <xm:f>0</xm:f>
              </x14:cfvo>
              <x14:cfvo type="num">
                <xm:f>2</xm:f>
              </x14:cfvo>
              <x14:negativeFillColor rgb="FFFF0000"/>
              <x14:axisColor rgb="FF000000"/>
            </x14:dataBar>
          </x14:cfRule>
          <xm:sqref>E34</xm:sqref>
        </x14:conditionalFormatting>
        <x14:conditionalFormatting xmlns:xm="http://schemas.microsoft.com/office/excel/2006/main">
          <x14:cfRule type="dataBar" id="{276F7C6B-9CC6-4A40-95CD-DB50F69B9CCF}">
            <x14:dataBar minLength="0" maxLength="100" gradient="0">
              <x14:cfvo type="num">
                <xm:f>0</xm:f>
              </x14:cfvo>
              <x14:cfvo type="num">
                <xm:f>2</xm:f>
              </x14:cfvo>
              <x14:negativeFillColor rgb="FFFF0000"/>
              <x14:axisColor rgb="FF000000"/>
            </x14:dataBar>
          </x14:cfRule>
          <xm:sqref>D29:D34</xm:sqref>
        </x14:conditionalFormatting>
        <x14:conditionalFormatting xmlns:xm="http://schemas.microsoft.com/office/excel/2006/main">
          <x14:cfRule type="dataBar" id="{04FD959B-7B6A-46E9-9CF0-3204EACBBDEA}">
            <x14:dataBar minLength="0" maxLength="100" gradient="0">
              <x14:cfvo type="num">
                <xm:f>0</xm:f>
              </x14:cfvo>
              <x14:cfvo type="num">
                <xm:f>2</xm:f>
              </x14:cfvo>
              <x14:negativeFillColor rgb="FFFF0000"/>
              <x14:axisColor rgb="FF000000"/>
            </x14:dataBar>
          </x14:cfRule>
          <xm:sqref>D29:D34</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1"/>
  <sheetViews>
    <sheetView workbookViewId="0"/>
  </sheetViews>
  <sheetFormatPr baseColWidth="10" defaultColWidth="9.109375" defaultRowHeight="14.4" x14ac:dyDescent="0.3"/>
  <sheetData>
    <row r="1" spans="1:15" x14ac:dyDescent="0.3">
      <c r="A1" s="1" t="s">
        <v>51</v>
      </c>
      <c r="B1" s="1" t="s">
        <v>52</v>
      </c>
      <c r="C1" s="1" t="s">
        <v>53</v>
      </c>
      <c r="D1" s="1" t="s">
        <v>11</v>
      </c>
      <c r="E1" s="1" t="s">
        <v>54</v>
      </c>
      <c r="F1" s="1" t="s">
        <v>33</v>
      </c>
      <c r="G1" s="1" t="s">
        <v>34</v>
      </c>
      <c r="H1" s="1" t="s">
        <v>35</v>
      </c>
      <c r="I1" s="1" t="s">
        <v>29</v>
      </c>
      <c r="J1" s="1" t="s">
        <v>30</v>
      </c>
      <c r="K1" s="1" t="s">
        <v>37</v>
      </c>
      <c r="L1" s="1" t="s">
        <v>38</v>
      </c>
      <c r="M1" s="1" t="s">
        <v>55</v>
      </c>
      <c r="N1" s="1" t="s">
        <v>56</v>
      </c>
      <c r="O1" s="1" t="s">
        <v>57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4"/>
  <sheetViews>
    <sheetView workbookViewId="0"/>
  </sheetViews>
  <sheetFormatPr baseColWidth="10" defaultColWidth="9.109375" defaultRowHeight="14.4" x14ac:dyDescent="0.3"/>
  <sheetData>
    <row r="1" spans="1:20" x14ac:dyDescent="0.3">
      <c r="A1" s="1" t="s">
        <v>10</v>
      </c>
      <c r="B1" s="1" t="s">
        <v>58</v>
      </c>
      <c r="C1" s="1" t="s">
        <v>11</v>
      </c>
      <c r="D1" s="1" t="s">
        <v>59</v>
      </c>
      <c r="E1" s="1" t="s">
        <v>60</v>
      </c>
      <c r="F1" s="1" t="s">
        <v>61</v>
      </c>
      <c r="G1" s="1" t="s">
        <v>62</v>
      </c>
      <c r="H1" s="1" t="s">
        <v>63</v>
      </c>
      <c r="I1" s="1" t="s">
        <v>64</v>
      </c>
      <c r="J1" s="1" t="s">
        <v>65</v>
      </c>
      <c r="K1" s="1" t="s">
        <v>66</v>
      </c>
      <c r="L1" s="1" t="s">
        <v>67</v>
      </c>
      <c r="M1" s="1" t="s">
        <v>68</v>
      </c>
      <c r="N1" s="1" t="s">
        <v>69</v>
      </c>
      <c r="O1" s="1" t="s">
        <v>70</v>
      </c>
      <c r="P1" s="1" t="s">
        <v>37</v>
      </c>
      <c r="Q1" s="1" t="s">
        <v>38</v>
      </c>
      <c r="R1" s="1" t="s">
        <v>71</v>
      </c>
      <c r="S1" s="1" t="s">
        <v>72</v>
      </c>
      <c r="T1" s="1" t="s">
        <v>73</v>
      </c>
    </row>
    <row r="2" spans="1:20" x14ac:dyDescent="0.3">
      <c r="A2" t="s">
        <v>9</v>
      </c>
      <c r="B2" t="s">
        <v>74</v>
      </c>
      <c r="C2" t="s">
        <v>18</v>
      </c>
      <c r="D2">
        <v>0</v>
      </c>
      <c r="E2" t="s">
        <v>22</v>
      </c>
      <c r="F2">
        <v>0</v>
      </c>
      <c r="G2" t="s">
        <v>22</v>
      </c>
      <c r="H2">
        <v>0.69</v>
      </c>
      <c r="I2">
        <v>0.3</v>
      </c>
      <c r="J2">
        <v>366000</v>
      </c>
      <c r="K2">
        <v>0</v>
      </c>
      <c r="L2">
        <v>11000</v>
      </c>
      <c r="M2">
        <v>0</v>
      </c>
      <c r="N2">
        <v>0</v>
      </c>
      <c r="O2">
        <v>0</v>
      </c>
      <c r="P2">
        <v>7.2999999999999995E-2</v>
      </c>
      <c r="Q2">
        <v>25</v>
      </c>
      <c r="R2">
        <v>0.5</v>
      </c>
      <c r="S2">
        <v>3.4999999999999999E-6</v>
      </c>
    </row>
    <row r="3" spans="1:20" x14ac:dyDescent="0.3">
      <c r="A3" t="s">
        <v>9</v>
      </c>
      <c r="B3" t="s">
        <v>75</v>
      </c>
      <c r="C3" t="s">
        <v>18</v>
      </c>
      <c r="D3">
        <v>0</v>
      </c>
      <c r="E3" t="s">
        <v>22</v>
      </c>
      <c r="F3">
        <v>0</v>
      </c>
      <c r="G3" t="s">
        <v>22</v>
      </c>
      <c r="H3">
        <v>0.9</v>
      </c>
      <c r="I3">
        <v>0.9</v>
      </c>
      <c r="J3">
        <v>4412341</v>
      </c>
      <c r="K3">
        <v>0</v>
      </c>
      <c r="L3">
        <v>34383</v>
      </c>
      <c r="M3">
        <v>0</v>
      </c>
      <c r="N3">
        <v>8.1999999999999993</v>
      </c>
      <c r="O3">
        <v>0</v>
      </c>
      <c r="P3">
        <v>7.2999999999999995E-2</v>
      </c>
      <c r="Q3">
        <v>25</v>
      </c>
      <c r="R3">
        <v>0.5</v>
      </c>
      <c r="S3">
        <v>0</v>
      </c>
    </row>
    <row r="4" spans="1:20" x14ac:dyDescent="0.3">
      <c r="A4" t="s">
        <v>9</v>
      </c>
      <c r="B4" t="s">
        <v>76</v>
      </c>
      <c r="C4" t="s">
        <v>18</v>
      </c>
      <c r="D4">
        <v>0</v>
      </c>
      <c r="E4" t="s">
        <v>22</v>
      </c>
      <c r="F4">
        <v>0</v>
      </c>
      <c r="G4" t="s">
        <v>22</v>
      </c>
      <c r="H4">
        <v>0.86</v>
      </c>
      <c r="I4">
        <v>0.86</v>
      </c>
      <c r="J4">
        <v>0</v>
      </c>
      <c r="K4">
        <v>520000</v>
      </c>
      <c r="L4">
        <v>0</v>
      </c>
      <c r="M4">
        <v>5000</v>
      </c>
      <c r="N4">
        <v>0.4</v>
      </c>
      <c r="O4">
        <v>0</v>
      </c>
      <c r="P4">
        <v>7.2999999999999995E-2</v>
      </c>
      <c r="Q4">
        <v>25</v>
      </c>
      <c r="R4">
        <v>0.5</v>
      </c>
      <c r="S4">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
  <sheetViews>
    <sheetView workbookViewId="0"/>
  </sheetViews>
  <sheetFormatPr baseColWidth="10" defaultColWidth="9.109375" defaultRowHeight="14.4" x14ac:dyDescent="0.3"/>
  <sheetData>
    <row r="1" spans="1:7" x14ac:dyDescent="0.3">
      <c r="A1" s="1" t="s">
        <v>10</v>
      </c>
      <c r="B1" s="1" t="s">
        <v>11</v>
      </c>
      <c r="C1" s="1" t="s">
        <v>77</v>
      </c>
      <c r="D1" s="1" t="s">
        <v>54</v>
      </c>
      <c r="E1" s="1" t="s">
        <v>78</v>
      </c>
      <c r="F1" s="1" t="s">
        <v>79</v>
      </c>
      <c r="G1" s="1" t="s">
        <v>80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4"/>
  <sheetViews>
    <sheetView workbookViewId="0">
      <selection activeCell="D13" sqref="D13"/>
    </sheetView>
  </sheetViews>
  <sheetFormatPr baseColWidth="10" defaultColWidth="9.109375" defaultRowHeight="14.4" x14ac:dyDescent="0.3"/>
  <cols>
    <col min="2" max="2" width="10" bestFit="1" customWidth="1"/>
  </cols>
  <sheetData>
    <row r="1" spans="1:2" x14ac:dyDescent="0.3">
      <c r="A1" s="1" t="s">
        <v>81</v>
      </c>
      <c r="B1" s="1" t="s">
        <v>82</v>
      </c>
    </row>
    <row r="2" spans="1:2" x14ac:dyDescent="0.3">
      <c r="A2">
        <v>0</v>
      </c>
      <c r="B2">
        <v>0</v>
      </c>
    </row>
    <row r="3" spans="1:2" x14ac:dyDescent="0.3">
      <c r="A3">
        <v>1</v>
      </c>
      <c r="B3">
        <v>315578125</v>
      </c>
    </row>
    <row r="4" spans="1:2" x14ac:dyDescent="0.3">
      <c r="A4">
        <v>2</v>
      </c>
      <c r="B4">
        <v>315578125</v>
      </c>
    </row>
    <row r="5" spans="1:2" x14ac:dyDescent="0.3">
      <c r="A5">
        <v>3</v>
      </c>
      <c r="B5">
        <v>315578125</v>
      </c>
    </row>
    <row r="6" spans="1:2" x14ac:dyDescent="0.3">
      <c r="A6">
        <v>4</v>
      </c>
      <c r="B6">
        <v>315578125</v>
      </c>
    </row>
    <row r="7" spans="1:2" x14ac:dyDescent="0.3">
      <c r="A7">
        <v>5</v>
      </c>
      <c r="B7">
        <v>315578125</v>
      </c>
    </row>
    <row r="8" spans="1:2" x14ac:dyDescent="0.3">
      <c r="A8">
        <v>6</v>
      </c>
      <c r="B8">
        <v>315578125</v>
      </c>
    </row>
    <row r="9" spans="1:2" x14ac:dyDescent="0.3">
      <c r="A9">
        <v>7</v>
      </c>
      <c r="B9">
        <v>315578125</v>
      </c>
    </row>
    <row r="10" spans="1:2" x14ac:dyDescent="0.3">
      <c r="A10">
        <v>8</v>
      </c>
      <c r="B10">
        <v>315578125</v>
      </c>
    </row>
    <row r="11" spans="1:2" x14ac:dyDescent="0.3">
      <c r="A11">
        <v>9</v>
      </c>
      <c r="B11">
        <v>315578125</v>
      </c>
    </row>
    <row r="12" spans="1:2" x14ac:dyDescent="0.3">
      <c r="A12">
        <v>10</v>
      </c>
      <c r="B12">
        <v>315578125</v>
      </c>
    </row>
    <row r="13" spans="1:2" x14ac:dyDescent="0.3">
      <c r="A13">
        <v>11</v>
      </c>
      <c r="B13">
        <v>315578125</v>
      </c>
    </row>
    <row r="14" spans="1:2" x14ac:dyDescent="0.3">
      <c r="A14">
        <v>12</v>
      </c>
      <c r="B14">
        <v>315578125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4"/>
  <sheetViews>
    <sheetView workbookViewId="0">
      <selection activeCell="K10" sqref="K10"/>
    </sheetView>
  </sheetViews>
  <sheetFormatPr baseColWidth="10" defaultColWidth="9.109375" defaultRowHeight="14.4" x14ac:dyDescent="0.3"/>
  <sheetData>
    <row r="1" spans="1:2" x14ac:dyDescent="0.3">
      <c r="A1" s="2" t="s">
        <v>81</v>
      </c>
      <c r="B1" s="3" t="s">
        <v>83</v>
      </c>
    </row>
    <row r="2" spans="1:2" x14ac:dyDescent="0.3">
      <c r="A2" s="4">
        <v>0</v>
      </c>
      <c r="B2" s="5">
        <v>0</v>
      </c>
    </row>
    <row r="3" spans="1:2" x14ac:dyDescent="0.3">
      <c r="A3" s="4">
        <v>1</v>
      </c>
      <c r="B3" s="6">
        <v>0.20699999999999999</v>
      </c>
    </row>
    <row r="4" spans="1:2" x14ac:dyDescent="0.3">
      <c r="A4" s="4">
        <v>2</v>
      </c>
      <c r="B4" s="6">
        <v>0.20699999999999999</v>
      </c>
    </row>
    <row r="5" spans="1:2" x14ac:dyDescent="0.3">
      <c r="A5" s="4">
        <v>3</v>
      </c>
      <c r="B5" s="6">
        <v>0.20699999999999999</v>
      </c>
    </row>
    <row r="6" spans="1:2" x14ac:dyDescent="0.3">
      <c r="A6" s="4">
        <v>4</v>
      </c>
      <c r="B6" s="6">
        <v>0.20699999999999999</v>
      </c>
    </row>
    <row r="7" spans="1:2" x14ac:dyDescent="0.3">
      <c r="A7" s="4">
        <v>5</v>
      </c>
      <c r="B7" s="6">
        <v>0.20699999999999999</v>
      </c>
    </row>
    <row r="8" spans="1:2" x14ac:dyDescent="0.3">
      <c r="A8" s="4">
        <v>6</v>
      </c>
      <c r="B8" s="6">
        <v>0.20699999999999999</v>
      </c>
    </row>
    <row r="9" spans="1:2" x14ac:dyDescent="0.3">
      <c r="A9" s="4">
        <v>7</v>
      </c>
      <c r="B9" s="6">
        <v>0.20699999999999999</v>
      </c>
    </row>
    <row r="10" spans="1:2" x14ac:dyDescent="0.3">
      <c r="A10" s="4">
        <v>8</v>
      </c>
      <c r="B10" s="6">
        <v>0.20699999999999999</v>
      </c>
    </row>
    <row r="11" spans="1:2" x14ac:dyDescent="0.3">
      <c r="A11" s="4">
        <v>9</v>
      </c>
      <c r="B11" s="6">
        <v>0.20699999999999999</v>
      </c>
    </row>
    <row r="12" spans="1:2" x14ac:dyDescent="0.3">
      <c r="A12" s="4">
        <v>10</v>
      </c>
      <c r="B12" s="6">
        <v>0.20699999999999999</v>
      </c>
    </row>
    <row r="13" spans="1:2" x14ac:dyDescent="0.3">
      <c r="A13" s="4">
        <v>11</v>
      </c>
      <c r="B13" s="6">
        <v>0.20699999999999999</v>
      </c>
    </row>
    <row r="14" spans="1:2" x14ac:dyDescent="0.3">
      <c r="A14" s="4">
        <v>12</v>
      </c>
      <c r="B14" s="6">
        <v>0.20699999999999999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1"/>
  <sheetViews>
    <sheetView workbookViewId="0"/>
  </sheetViews>
  <sheetFormatPr baseColWidth="10" defaultColWidth="9.109375" defaultRowHeight="14.4" x14ac:dyDescent="0.3"/>
  <sheetData>
    <row r="1" spans="1:3" x14ac:dyDescent="0.3">
      <c r="A1" s="1" t="s">
        <v>81</v>
      </c>
      <c r="B1" s="1" t="s">
        <v>84</v>
      </c>
      <c r="C1" s="1" t="s">
        <v>85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1"/>
  <sheetViews>
    <sheetView workbookViewId="0"/>
  </sheetViews>
  <sheetFormatPr baseColWidth="10" defaultColWidth="9.109375" defaultRowHeight="14.4" x14ac:dyDescent="0.3"/>
  <sheetData>
    <row r="1" spans="1:3" x14ac:dyDescent="0.3">
      <c r="A1" s="1" t="s">
        <v>81</v>
      </c>
      <c r="B1" s="1" t="s">
        <v>86</v>
      </c>
      <c r="C1" s="1" t="s">
        <v>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12</vt:i4>
      </vt:variant>
    </vt:vector>
  </HeadingPairs>
  <TitlesOfParts>
    <vt:vector size="12" baseType="lpstr">
      <vt:lpstr>Global</vt:lpstr>
      <vt:lpstr>Site</vt:lpstr>
      <vt:lpstr>Commodity</vt:lpstr>
      <vt:lpstr>Process</vt:lpstr>
      <vt:lpstr>Process-Commodity</vt:lpstr>
      <vt:lpstr>Transmission</vt:lpstr>
      <vt:lpstr>Storage</vt:lpstr>
      <vt:lpstr>DSM</vt:lpstr>
      <vt:lpstr>Demand</vt:lpstr>
      <vt:lpstr>SupIm</vt:lpstr>
      <vt:lpstr>Buy-Sell-Price</vt:lpstr>
      <vt:lpstr>TimeVarEff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Max Oitzinger</cp:lastModifiedBy>
  <dcterms:created xsi:type="dcterms:W3CDTF">2024-11-06T10:08:32Z</dcterms:created>
  <dcterms:modified xsi:type="dcterms:W3CDTF">2025-09-16T09:07:40Z</dcterms:modified>
</cp:coreProperties>
</file>