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CBFDBB88-177A-4A1C-A488-CAC6911B3E18}" xr6:coauthVersionLast="47" xr6:coauthVersionMax="47" xr10:uidLastSave="{00000000-0000-0000-0000-000000000000}"/>
  <bookViews>
    <workbookView xWindow="28680" yWindow="-5445" windowWidth="38640" windowHeight="21120" activeTab="4"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5" l="1"/>
  <c r="E33" i="5"/>
  <c r="E32" i="5"/>
  <c r="E31" i="5"/>
  <c r="E30" i="5"/>
  <c r="E28" i="5"/>
  <c r="E27" i="5"/>
  <c r="E29" i="5" s="1"/>
  <c r="E23" i="5"/>
  <c r="E25" i="5" s="1"/>
  <c r="E22" i="5"/>
  <c r="E20" i="5"/>
  <c r="E19" i="5"/>
  <c r="E21" i="5" s="1"/>
  <c r="E24" i="5" s="1"/>
  <c r="E18" i="5"/>
  <c r="E17" i="5"/>
  <c r="E16" i="5"/>
  <c r="E15" i="5"/>
  <c r="E14" i="5"/>
  <c r="E12" i="5"/>
  <c r="E11" i="5"/>
  <c r="E10" i="5"/>
  <c r="E9" i="5"/>
  <c r="E8" i="5"/>
  <c r="E7" i="5"/>
  <c r="E6" i="5"/>
  <c r="E3" i="5"/>
  <c r="F3" i="3"/>
  <c r="E3" i="3"/>
  <c r="D3" i="3"/>
  <c r="F2" i="3"/>
  <c r="E2" i="3"/>
  <c r="D2" i="3"/>
</calcChain>
</file>

<file path=xl/sharedStrings.xml><?xml version="1.0" encoding="utf-8"?>
<sst xmlns="http://schemas.openxmlformats.org/spreadsheetml/2006/main" count="282" uniqueCount="97">
  <si>
    <t>Property</t>
  </si>
  <si>
    <t>value</t>
  </si>
  <si>
    <t>description</t>
  </si>
  <si>
    <t>Support timeframe</t>
  </si>
  <si>
    <t>Modelled year for intertemporal planning</t>
  </si>
  <si>
    <t>CO2 limit</t>
  </si>
  <si>
    <t>Limits the sum of all created (as calculated by commodity_balance) CO2 in all sites; Only relevant if not minimized</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</si>
  <si>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</si>
  <si>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</si>
  <si>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</si>
  <si>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</si>
  <si>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</si>
  <si>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</si>
  <si>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</si>
  <si>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</si>
  <si>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</si>
  <si>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</si>
  <si>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</si>
  <si>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</si>
  <si>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</si>
  <si>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</si>
  <si>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</si>
  <si>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</si>
  <si>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</si>
  <si>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</si>
  <si>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</si>
  <si>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</si>
  <si>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</si>
  <si>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</si>
  <si>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</si>
  <si>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</si>
  <si>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</si>
  <si>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</si>
  <si>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</si>
  <si>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</si>
  <si>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</si>
  <si>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</si>
  <si>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</si>
  <si>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</si>
  <si>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</si>
  <si>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</si>
  <si>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</si>
  <si>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</si>
  <si>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</si>
  <si>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</si>
  <si>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</si>
  <si>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</si>
  <si>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</si>
  <si>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</si>
  <si>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</si>
  <si>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</si>
  <si>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</si>
  <si>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</si>
  <si>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</si>
  <si>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</si>
  <si>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</si>
  <si>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</si>
  <si>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</si>
  <si>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</si>
  <si>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</si>
  <si>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</si>
  <si>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</si>
  <si>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</si>
  <si>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</si>
  <si>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</si>
  <si>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</si>
  <si>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</si>
  <si>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</si>
  <si>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</si>
  <si>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</si>
  <si>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</si>
  <si>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</si>
  <si>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</si>
  <si>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</si>
  <si>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</si>
  <si>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</si>
  <si>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</si>
  <si>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</si>
  <si>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</si>
  <si>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</si>
  <si>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</si>
  <si>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</si>
  <si>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</si>
  <si>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</si>
  <si>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</si>
  <si>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</si>
  <si>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</si>
  <si>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</si>
  <si>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Gas Plant (CCGT) CCUS</t>
  </si>
  <si>
    <t>Gas</t>
  </si>
  <si>
    <t>Oil</t>
  </si>
  <si>
    <t>Slack</t>
  </si>
  <si>
    <t>Lignite Plant</t>
  </si>
  <si>
    <t>Other non-res</t>
  </si>
  <si>
    <t>Oil Plant</t>
  </si>
  <si>
    <t>Coal Plant CCUS</t>
  </si>
  <si>
    <t>Lignite Plant CCUS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</si>
</sst>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6" formatCode="0.0"/>
  </numFmts>
  <fonts count="4" x14ac:knownFonts="1">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s>
  <fills count="13">
    <fill>
      <patternFill patternType="none"/>
    </fill>
    <fill>
      <patternFill patternType="gray125"/>
    </fill>
    <fill>
      <patternFill patternType="solid">
        <fgColor theme="6"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indexed="64"/>
      </right>
      <top/>
      <bottom/>
      <diagonal/>
    </border>
  </borders>
  <cellStyleXfs count="1">
    <xf numFmtId="0" fontId="0" fillId="0" borderId="0"/>
  </cellStyleXfs>
  <cellXfs count="39">
    <xf numFmtId="0" fontId="0" fillId="0" borderId="0" xfId="0"/>
    <xf numFmtId="0" fontId="1" fillId="0" borderId="1" xfId="0" applyFont="1" applyBorder="1" applyAlignment="1">
      <alignment horizontal="center" vertical="top"/>
    </xf>
    <xf numFmtId="49" fontId="0" fillId="0" borderId="0" xfId="0" applyNumberFormat="1"/>
    <xf numFmtId="164" fontId="0" fillId="2" borderId="0" xfId="0" applyNumberFormat="1" applyFill="1"/>
    <xf numFmtId="49" fontId="0" fillId="3" borderId="0" xfId="0" applyNumberFormat="1" applyFill="1" applyAlignment="1">
      <alignment horizontal="left"/>
    </xf>
    <xf numFmtId="164" fontId="0" fillId="4" borderId="0" xfId="0" applyNumberFormat="1" applyFill="1" applyAlignment="1">
      <alignment horizontal="right"/>
    </xf>
    <xf numFmtId="0" fontId="0" fillId="0" borderId="2" xfId="0" applyBorder="1"/>
    <xf numFmtId="0" fontId="0" fillId="5" borderId="0" xfId="0" applyFill="1"/>
    <xf numFmtId="3" fontId="0" fillId="0" borderId="0" xfId="0" applyNumberFormat="1" applyAlignment="1">
      <alignment vertical="center" wrapText="1"/>
    </xf>
    <xf numFmtId="0" fontId="0" fillId="4" borderId="0" xfId="0" applyFill="1" applyAlignment="1">
      <alignment horizontal="left"/>
    </xf>
    <xf numFmtId="0" fontId="0" fillId="2" borderId="0" xfId="0" applyFill="1" applyAlignment="1">
      <alignment horizontal="left"/>
    </xf>
    <xf numFmtId="2" fontId="0" fillId="4" borderId="0" xfId="0" applyNumberFormat="1" applyFill="1" applyAlignment="1">
      <alignment horizontal="right" indent="2"/>
    </xf>
    <xf numFmtId="0" fontId="0" fillId="0" borderId="0" xfId="0" applyAlignment="1">
      <alignment horizontal="left"/>
    </xf>
    <xf numFmtId="0" fontId="0" fillId="2" borderId="3" xfId="0" applyFill="1" applyBorder="1" applyAlignment="1">
      <alignment horizontal="left"/>
    </xf>
    <xf numFmtId="0" fontId="0" fillId="6" borderId="0" xfId="0" applyFill="1" applyAlignment="1">
      <alignment horizontal="right"/>
    </xf>
    <xf numFmtId="0" fontId="0" fillId="6" borderId="0" xfId="0" applyFill="1"/>
    <xf numFmtId="0" fontId="0" fillId="7" borderId="0" xfId="0" applyFill="1"/>
    <xf numFmtId="3" fontId="0" fillId="7" borderId="0" xfId="0" applyNumberFormat="1" applyFill="1"/>
    <xf numFmtId="0" fontId="2" fillId="8" borderId="0" xfId="0" applyFont="1" applyFill="1"/>
    <xf numFmtId="3" fontId="3" fillId="4" borderId="0" xfId="0" applyNumberFormat="1" applyFont="1" applyFill="1" applyAlignment="1">
      <alignment horizontal="right"/>
    </xf>
    <xf numFmtId="3" fontId="0" fillId="0" borderId="0" xfId="0" applyNumberFormat="1" applyAlignment="1">
      <alignment horizontal="right" indent="2"/>
    </xf>
    <xf numFmtId="3" fontId="0" fillId="9" borderId="0" xfId="0" applyNumberFormat="1" applyFill="1"/>
    <xf numFmtId="0" fontId="0" fillId="9" borderId="0" xfId="0" applyFill="1"/>
    <xf numFmtId="3" fontId="0" fillId="10" borderId="0" xfId="0" applyNumberFormat="1" applyFill="1" applyAlignment="1">
      <alignment horizontal="right"/>
    </xf>
    <xf numFmtId="0" fontId="0" fillId="10" borderId="0" xfId="0" applyFill="1" applyAlignment="1">
      <alignment horizontal="right"/>
    </xf>
    <xf numFmtId="0" fontId="0" fillId="11" borderId="0" xfId="0" applyFill="1"/>
    <xf numFmtId="166" fontId="0" fillId="7" borderId="0" xfId="0" applyNumberFormat="1" applyFill="1"/>
    <xf numFmtId="0" fontId="0" fillId="8" borderId="0" xfId="0" applyFill="1"/>
    <xf numFmtId="3" fontId="0" fillId="9" borderId="0" xfId="0" applyNumberFormat="1" applyFill="1" applyAlignment="1">
      <alignment horizontal="right" indent="2"/>
    </xf>
    <xf numFmtId="0" fontId="0" fillId="9" borderId="0" xfId="0" applyFill="1" applyAlignment="1">
      <alignment horizontal="center"/>
    </xf>
    <xf numFmtId="166" fontId="0" fillId="9" borderId="0" xfId="0" applyNumberFormat="1" applyFill="1" applyAlignment="1">
      <alignment horizontal="right" indent="2"/>
    </xf>
    <xf numFmtId="0" fontId="0" fillId="9" borderId="0" xfId="0" applyFill="1" applyAlignment="1">
      <alignment horizontal="right" indent="2"/>
    </xf>
    <xf numFmtId="3" fontId="0" fillId="7" borderId="0" xfId="0" applyNumberFormat="1" applyFill="1" applyAlignment="1">
      <alignment horizontal="right"/>
    </xf>
    <xf numFmtId="166" fontId="0" fillId="0" borderId="0" xfId="0" applyNumberFormat="1"/>
    <xf numFmtId="0" fontId="0" fillId="12" borderId="0" xfId="0" applyFill="1"/>
    <xf numFmtId="166" fontId="0" fillId="0" borderId="0" xfId="0" applyNumberFormat="1" applyAlignment="1">
      <alignment horizontal="right" indent="2"/>
    </xf>
    <xf numFmtId="0" fontId="0" fillId="0" borderId="0" xfId="0" applyAlignment="1">
      <alignment horizontal="right" indent="2"/>
    </xf>
    <xf numFmtId="2" fontId="0" fillId="9" borderId="0" xfId="0" applyNumberFormat="1" applyFill="1" applyAlignment="1">
      <alignment horizontal="right" indent="2"/>
    </xf>
    <xf numFmtId="2" fontId="0" fillId="0" borderId="0" xfId="0" applyNumberFormat="1" applyAlignment="1">
      <alignment horizontal="right" indent="2"/>
    </xf>
  </cellXfs>
  <cellStyles count="1">
    <cellStyle name="Standard" xfId="0" builtinId="0"/>
  </cellStyles>
  <dxfs count="50">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font>
        <color rgb="FF9C0006"/>
      </font>
      <fill>
        <patternFill>
          <bgColor rgb="FFFFC7CE"/>
        </patternFill>
      </fill>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B3" sqref="B3"/>
    </sheetView>
  </sheetViews>
  <sheetFormatPr baseColWidth="10" defaultColWidth="9.109375" defaultRowHeight="14.4" x14ac:dyDescent="0.3"/>
  <sheetData>
    <row r="1" spans="1:3" x14ac:dyDescent="0.3">
      <c r="A1" s="1" t="s">
        <v>0</v>
      </c>
      <c r="B1" s="1" t="s">
        <v>1</v>
      </c>
      <c r="C1" s="1" t="s">
        <v>2</v>
      </c>
    </row>
    <row r="2" spans="1:3" x14ac:dyDescent="0.3">
      <c r="A2" t="s">
        <v>3</v>
      </c>
      <c r="B2">
        <v>2039</v>
      </c>
      <c r="C2" t="s">
        <v>4</v>
      </c>
    </row>
    <row r="3" spans="1:3" x14ac:dyDescent="0.3">
      <c r="A3" t="s">
        <v>5</v>
      </c>
      <c r="B3" s="8">
        <v>36160000</v>
      </c>
      <c r="C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9.109375" defaultRowHeight="14.4" x14ac:dyDescent="0.3"/>
  <sheetData>
    <row r="1" spans="1:2" x14ac:dyDescent="0.3">
      <c r="A1" s="1" t="s">
        <v>7</v>
      </c>
      <c r="B1" s="1" t="s">
        <v>8</v>
      </c>
    </row>
    <row r="2" spans="1:2" x14ac:dyDescent="0.3">
      <c r="A2" t="s">
        <v>9</v>
      </c>
      <c r="B2">
        <v>280000000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selection activeCell="A2" sqref="A2:F11"/>
    </sheetView>
  </sheetViews>
  <sheetFormatPr baseColWidth="10" defaultColWidth="9.109375" defaultRowHeight="14.4" x14ac:dyDescent="0.3"/>
  <sheetData>
    <row r="1" spans="1:6" x14ac:dyDescent="0.3">
      <c r="A1" t="s">
        <v>10</v>
      </c>
      <c r="B1" t="s">
        <v>11</v>
      </c>
      <c r="C1" t="s">
        <v>12</v>
      </c>
      <c r="D1" s="21" t="s">
        <v>13</v>
      </c>
      <c r="E1" s="21" t="s">
        <v>14</v>
      </c>
      <c r="F1" s="22" t="s">
        <v>15</v>
      </c>
    </row>
    <row r="2" spans="1:6" x14ac:dyDescent="0.3">
      <c r="A2" s="10" t="s">
        <v>9</v>
      </c>
      <c r="B2" s="10" t="s">
        <v>17</v>
      </c>
      <c r="C2" s="10" t="s">
        <v>16</v>
      </c>
      <c r="D2" s="19" t="e">
        <f>NA()</f>
        <v>#N/A</v>
      </c>
      <c r="E2" s="19" t="e">
        <f>NA()</f>
        <v>#N/A</v>
      </c>
      <c r="F2" s="19" t="e">
        <f>NA()</f>
        <v>#N/A</v>
      </c>
    </row>
    <row r="3" spans="1:6" x14ac:dyDescent="0.3">
      <c r="A3" s="10" t="s">
        <v>9</v>
      </c>
      <c r="B3" s="10" t="s">
        <v>18</v>
      </c>
      <c r="C3" s="10" t="s">
        <v>19</v>
      </c>
      <c r="D3" s="19" t="e">
        <f>NA()</f>
        <v>#N/A</v>
      </c>
      <c r="E3" s="19" t="e">
        <f>NA()</f>
        <v>#N/A</v>
      </c>
      <c r="F3" s="19" t="e">
        <f>NA()</f>
        <v>#N/A</v>
      </c>
    </row>
    <row r="4" spans="1:6" x14ac:dyDescent="0.3">
      <c r="A4" s="10" t="s">
        <v>9</v>
      </c>
      <c r="B4" s="10" t="s">
        <v>20</v>
      </c>
      <c r="C4" s="10" t="s">
        <v>21</v>
      </c>
      <c r="D4">
        <v>8.64</v>
      </c>
      <c r="E4" s="23" t="s">
        <v>22</v>
      </c>
      <c r="F4" s="24" t="s">
        <v>22</v>
      </c>
    </row>
    <row r="5" spans="1:6" x14ac:dyDescent="0.3">
      <c r="A5" s="10" t="s">
        <v>9</v>
      </c>
      <c r="B5" s="10" t="s">
        <v>89</v>
      </c>
      <c r="C5" s="10" t="s">
        <v>21</v>
      </c>
      <c r="D5">
        <v>22.68</v>
      </c>
      <c r="E5" s="23" t="s">
        <v>22</v>
      </c>
      <c r="F5" s="24" t="s">
        <v>22</v>
      </c>
    </row>
    <row r="6" spans="1:6" x14ac:dyDescent="0.3">
      <c r="A6" s="10" t="s">
        <v>9</v>
      </c>
      <c r="B6" s="10" t="s">
        <v>23</v>
      </c>
      <c r="C6" s="10" t="s">
        <v>24</v>
      </c>
      <c r="D6">
        <v>113.4</v>
      </c>
      <c r="E6" s="23" t="s">
        <v>22</v>
      </c>
      <c r="F6" s="23" t="s">
        <v>22</v>
      </c>
    </row>
    <row r="7" spans="1:6" x14ac:dyDescent="0.3">
      <c r="A7" s="10" t="s">
        <v>9</v>
      </c>
      <c r="B7" s="10" t="s">
        <v>25</v>
      </c>
      <c r="C7" s="10" t="s">
        <v>21</v>
      </c>
      <c r="D7">
        <v>67.680000000000007</v>
      </c>
      <c r="E7" s="23" t="s">
        <v>22</v>
      </c>
      <c r="F7" s="24" t="s">
        <v>22</v>
      </c>
    </row>
    <row r="8" spans="1:6" x14ac:dyDescent="0.3">
      <c r="A8" s="10" t="s">
        <v>9</v>
      </c>
      <c r="B8" s="10" t="s">
        <v>26</v>
      </c>
      <c r="C8" s="10" t="s">
        <v>21</v>
      </c>
      <c r="D8">
        <v>6.12</v>
      </c>
      <c r="E8" s="23" t="s">
        <v>22</v>
      </c>
      <c r="F8" s="24" t="s">
        <v>22</v>
      </c>
    </row>
    <row r="9" spans="1:6" x14ac:dyDescent="0.3">
      <c r="A9" s="10" t="s">
        <v>9</v>
      </c>
      <c r="B9" s="10" t="s">
        <v>27</v>
      </c>
      <c r="C9" s="10" t="s">
        <v>21</v>
      </c>
      <c r="D9">
        <v>6.48</v>
      </c>
      <c r="E9" s="23" t="s">
        <v>22</v>
      </c>
      <c r="F9" s="24" t="s">
        <v>22</v>
      </c>
    </row>
    <row r="10" spans="1:6" x14ac:dyDescent="0.3">
      <c r="A10" s="10" t="s">
        <v>9</v>
      </c>
      <c r="B10" s="10" t="s">
        <v>90</v>
      </c>
      <c r="C10" s="10" t="s">
        <v>21</v>
      </c>
      <c r="D10">
        <v>32.04</v>
      </c>
      <c r="E10" s="23" t="s">
        <v>22</v>
      </c>
      <c r="F10" s="24" t="s">
        <v>22</v>
      </c>
    </row>
    <row r="11" spans="1:6" x14ac:dyDescent="0.3">
      <c r="A11" s="10" t="s">
        <v>9</v>
      </c>
      <c r="B11" s="10" t="s">
        <v>91</v>
      </c>
      <c r="C11" s="10" t="s">
        <v>21</v>
      </c>
      <c r="D11">
        <v>32.04</v>
      </c>
      <c r="E11" s="23" t="s">
        <v>22</v>
      </c>
      <c r="F11" s="24" t="s">
        <v>22</v>
      </c>
    </row>
  </sheetData>
  <conditionalFormatting sqref="B8:B11">
    <cfRule type="expression" dxfId="44" priority="1">
      <formula>NOT(EXACT(INDIRECT("Z"&amp;ROW()-1&amp;"S1",FALSE()), INDIRECT("Z"&amp;ROW()&amp;"S1",FALSE())))</formula>
    </cfRule>
  </conditionalFormatting>
  <conditionalFormatting sqref="B2:B11">
    <cfRule type="duplicateValues" dxfId="43" priority="2"/>
  </conditionalFormatting>
  <dataValidations count="3">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79D5BB55-4B1D-4FD3-B0DE-93F0A63BA051}"/>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8B53E591-A174-4B71-86AA-B5E62D7A8DB2}"/>
    <dataValidation allowBlank="1" showInputMessage="1" showErrorMessage="1" promptTitle="Maximum commodity use per hour" prompt="For stock commodities, this value limits the energy use per hour (MW)._x000a_" sqref="F1" xr:uid="{A3CBF9C5-4ACE-420B-8BAB-BBA5C78F85D0}"/>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workbookViewId="0">
      <selection sqref="A1:XFD1048576"/>
    </sheetView>
  </sheetViews>
  <sheetFormatPr baseColWidth="10" defaultColWidth="11.44140625" defaultRowHeight="14.4" x14ac:dyDescent="0.3"/>
  <cols>
    <col min="1" max="1" width="10.6640625" style="12" customWidth="1"/>
    <col min="2" max="2" width="16.33203125" style="12" bestFit="1" customWidth="1"/>
    <col min="3" max="3" width="10.6640625" style="20" customWidth="1"/>
    <col min="4" max="4" width="19.5546875" style="20" customWidth="1"/>
    <col min="5" max="5" width="15.109375" style="20" customWidth="1"/>
    <col min="6" max="6" width="10.6640625" style="12" customWidth="1"/>
    <col min="7" max="7" width="24" style="20" customWidth="1"/>
    <col min="8" max="8" width="10.6640625" style="20" customWidth="1"/>
    <col min="9" max="9" width="10.6640625" style="35" customWidth="1"/>
    <col min="10" max="10" width="16.109375" style="12" bestFit="1" customWidth="1"/>
    <col min="11" max="11" width="10.5546875" style="12" customWidth="1"/>
    <col min="12" max="12" width="14.88671875" style="36" bestFit="1" customWidth="1"/>
    <col min="13" max="13" width="14.88671875" style="12" bestFit="1" customWidth="1"/>
    <col min="14" max="16384" width="11.44140625" style="12"/>
  </cols>
  <sheetData>
    <row r="1" spans="1:13" x14ac:dyDescent="0.3">
      <c r="A1" t="s">
        <v>10</v>
      </c>
      <c r="B1" t="s">
        <v>28</v>
      </c>
      <c r="C1" s="28" t="s">
        <v>29</v>
      </c>
      <c r="D1" s="28" t="s">
        <v>30</v>
      </c>
      <c r="E1" s="28" t="s">
        <v>31</v>
      </c>
      <c r="F1" s="29" t="s">
        <v>32</v>
      </c>
      <c r="G1" s="28" t="s">
        <v>33</v>
      </c>
      <c r="H1" s="28" t="s">
        <v>34</v>
      </c>
      <c r="I1" s="30" t="s">
        <v>35</v>
      </c>
      <c r="J1" s="29" t="s">
        <v>36</v>
      </c>
      <c r="K1" s="31" t="s">
        <v>37</v>
      </c>
      <c r="L1" s="31" t="s">
        <v>38</v>
      </c>
      <c r="M1" s="31" t="s">
        <v>39</v>
      </c>
    </row>
    <row r="2" spans="1:13" x14ac:dyDescent="0.3">
      <c r="A2" s="12" t="s">
        <v>9</v>
      </c>
      <c r="B2" s="12" t="s">
        <v>42</v>
      </c>
      <c r="C2" s="20">
        <v>0</v>
      </c>
      <c r="D2" s="20">
        <v>56122</v>
      </c>
      <c r="E2" s="14" t="s">
        <v>22</v>
      </c>
      <c r="F2" s="15">
        <v>0.5</v>
      </c>
      <c r="G2" s="17">
        <v>1784013.3448000001</v>
      </c>
      <c r="H2" s="32">
        <v>28544.213516799999</v>
      </c>
      <c r="I2" s="26">
        <v>2.7</v>
      </c>
      <c r="J2" s="16">
        <v>0</v>
      </c>
      <c r="K2" s="27">
        <v>7.2999999999999995E-2</v>
      </c>
      <c r="L2" s="16">
        <v>40</v>
      </c>
      <c r="M2" s="19" t="e">
        <v>#N/A</v>
      </c>
    </row>
    <row r="3" spans="1:13" x14ac:dyDescent="0.3">
      <c r="A3" s="12" t="s">
        <v>9</v>
      </c>
      <c r="B3" s="12" t="s">
        <v>92</v>
      </c>
      <c r="C3" s="20">
        <v>0</v>
      </c>
      <c r="D3" s="20">
        <v>43599</v>
      </c>
      <c r="E3" s="14" t="s">
        <v>22</v>
      </c>
      <c r="F3" s="15">
        <v>0.65</v>
      </c>
      <c r="G3" s="26">
        <v>2230016.6809999999</v>
      </c>
      <c r="H3" s="26">
        <v>47276.353627999997</v>
      </c>
      <c r="I3" s="16">
        <v>4.5</v>
      </c>
      <c r="J3" s="16">
        <v>0</v>
      </c>
      <c r="K3" s="27">
        <v>7.2999999999999995E-2</v>
      </c>
      <c r="L3" s="16">
        <v>40</v>
      </c>
      <c r="M3" s="19" t="e">
        <v>#N/A</v>
      </c>
    </row>
    <row r="4" spans="1:13" x14ac:dyDescent="0.3">
      <c r="A4" s="12" t="s">
        <v>9</v>
      </c>
      <c r="B4" s="12" t="s">
        <v>43</v>
      </c>
      <c r="C4" s="20">
        <v>0</v>
      </c>
      <c r="D4" s="20">
        <v>999999</v>
      </c>
      <c r="E4" s="14" t="s">
        <v>22</v>
      </c>
      <c r="F4" s="12">
        <v>0</v>
      </c>
      <c r="G4" s="26">
        <v>769358.55599999998</v>
      </c>
      <c r="H4" s="26">
        <v>16725.186000000002</v>
      </c>
      <c r="I4" s="16">
        <v>2.6</v>
      </c>
      <c r="J4" s="17">
        <v>0</v>
      </c>
      <c r="K4" s="27">
        <v>7.2999999999999995E-2</v>
      </c>
      <c r="L4" s="16">
        <v>25</v>
      </c>
      <c r="M4" s="19" t="e">
        <v>#N/A</v>
      </c>
    </row>
    <row r="5" spans="1:13" x14ac:dyDescent="0.3">
      <c r="A5" s="12" t="s">
        <v>9</v>
      </c>
      <c r="B5" s="12" t="s">
        <v>93</v>
      </c>
      <c r="C5" s="20">
        <v>0</v>
      </c>
      <c r="D5" s="20">
        <v>13483</v>
      </c>
      <c r="E5" s="14" t="s">
        <v>22</v>
      </c>
      <c r="F5" s="12">
        <v>0</v>
      </c>
      <c r="G5">
        <v>5648000</v>
      </c>
      <c r="H5" s="33">
        <v>16725.186000000002</v>
      </c>
      <c r="I5">
        <v>2.6</v>
      </c>
      <c r="J5" s="17">
        <v>0</v>
      </c>
      <c r="K5" s="18">
        <v>7.0999999999999994E-2</v>
      </c>
      <c r="L5" s="16">
        <v>25</v>
      </c>
      <c r="M5" s="19" t="e">
        <v>#N/A</v>
      </c>
    </row>
    <row r="6" spans="1:13" x14ac:dyDescent="0.3">
      <c r="A6" s="12" t="s">
        <v>9</v>
      </c>
      <c r="B6" s="12" t="s">
        <v>94</v>
      </c>
      <c r="C6" s="20">
        <v>0</v>
      </c>
      <c r="D6" s="20">
        <v>14578</v>
      </c>
      <c r="E6" s="14" t="s">
        <v>22</v>
      </c>
      <c r="F6" s="12">
        <v>0</v>
      </c>
      <c r="G6">
        <v>5648000</v>
      </c>
      <c r="H6" s="33">
        <v>16725.186000000002</v>
      </c>
      <c r="I6">
        <v>2.6</v>
      </c>
      <c r="J6" s="17">
        <v>0</v>
      </c>
      <c r="K6" s="18">
        <v>7.0999999999999994E-2</v>
      </c>
      <c r="L6" s="16">
        <v>25</v>
      </c>
      <c r="M6" s="19" t="e">
        <v>#N/A</v>
      </c>
    </row>
    <row r="7" spans="1:13" x14ac:dyDescent="0.3">
      <c r="A7" s="12" t="s">
        <v>9</v>
      </c>
      <c r="B7" s="12" t="s">
        <v>95</v>
      </c>
      <c r="C7" s="20">
        <v>0</v>
      </c>
      <c r="D7" s="20">
        <v>100000</v>
      </c>
      <c r="E7" s="14" t="s">
        <v>22</v>
      </c>
      <c r="F7" s="15">
        <v>0.5</v>
      </c>
      <c r="G7" s="16">
        <v>3512276.2719999999</v>
      </c>
      <c r="H7" s="16">
        <v>72141.039619999996</v>
      </c>
      <c r="I7" s="16">
        <v>6.5</v>
      </c>
      <c r="J7" s="17">
        <v>0</v>
      </c>
      <c r="K7" s="18">
        <v>7.0999999999999994E-2</v>
      </c>
      <c r="L7" s="16">
        <v>40</v>
      </c>
      <c r="M7" s="19" t="e">
        <v>#N/A</v>
      </c>
    </row>
    <row r="8" spans="1:13" x14ac:dyDescent="0.3">
      <c r="A8" s="12" t="s">
        <v>9</v>
      </c>
      <c r="B8" s="12" t="s">
        <v>96</v>
      </c>
      <c r="C8" s="20">
        <v>0</v>
      </c>
      <c r="D8" s="20">
        <v>100000</v>
      </c>
      <c r="E8" s="14" t="s">
        <v>22</v>
      </c>
      <c r="F8" s="15">
        <v>0.65</v>
      </c>
      <c r="G8" s="16">
        <v>3813328.52428</v>
      </c>
      <c r="H8" s="16">
        <v>72475.542125599997</v>
      </c>
      <c r="I8" s="16">
        <v>6.7</v>
      </c>
      <c r="J8" s="17">
        <v>0</v>
      </c>
      <c r="K8" s="18">
        <v>7.0999999999999994E-2</v>
      </c>
      <c r="L8" s="16">
        <v>40</v>
      </c>
      <c r="M8" s="19" t="e">
        <v>#N/A</v>
      </c>
    </row>
    <row r="9" spans="1:13" x14ac:dyDescent="0.3">
      <c r="A9" s="12" t="s">
        <v>9</v>
      </c>
      <c r="B9" s="12" t="s">
        <v>88</v>
      </c>
      <c r="C9" s="20">
        <v>0</v>
      </c>
      <c r="D9" s="20">
        <v>100000</v>
      </c>
      <c r="E9" s="14" t="s">
        <v>22</v>
      </c>
      <c r="F9" s="12">
        <v>0</v>
      </c>
      <c r="G9" s="16">
        <v>1811895.1500000001</v>
      </c>
      <c r="H9" s="16">
        <v>42593.5</v>
      </c>
      <c r="I9" s="16">
        <v>3.33</v>
      </c>
      <c r="J9" s="17">
        <v>0</v>
      </c>
      <c r="K9" s="18">
        <v>7.0999999999999994E-2</v>
      </c>
      <c r="L9" s="16">
        <v>25</v>
      </c>
      <c r="M9" s="19" t="e">
        <v>#N/A</v>
      </c>
    </row>
    <row r="10" spans="1:13" x14ac:dyDescent="0.3">
      <c r="A10" s="12" t="s">
        <v>9</v>
      </c>
      <c r="B10" s="13" t="s">
        <v>44</v>
      </c>
      <c r="C10" s="20">
        <v>0</v>
      </c>
      <c r="D10" s="20">
        <v>94198</v>
      </c>
      <c r="E10" s="14" t="s">
        <v>22</v>
      </c>
      <c r="F10" s="12">
        <v>0</v>
      </c>
      <c r="G10" s="26">
        <v>5630812.6200000001</v>
      </c>
      <c r="H10" s="32">
        <v>128226.42600000001</v>
      </c>
      <c r="I10" s="26">
        <v>8.3000000000000007</v>
      </c>
      <c r="J10" s="16">
        <v>0</v>
      </c>
      <c r="K10" s="27">
        <v>7.2999999999999995E-2</v>
      </c>
      <c r="L10" s="16">
        <v>60</v>
      </c>
      <c r="M10" s="19" t="e">
        <v>#N/A</v>
      </c>
    </row>
    <row r="11" spans="1:13" x14ac:dyDescent="0.3">
      <c r="A11" s="12" t="s">
        <v>9</v>
      </c>
      <c r="B11" s="13" t="s">
        <v>40</v>
      </c>
      <c r="C11" s="20">
        <v>0</v>
      </c>
      <c r="D11" s="20">
        <v>46703</v>
      </c>
      <c r="E11" s="14" t="s">
        <v>22</v>
      </c>
      <c r="F11" s="12">
        <v>0</v>
      </c>
      <c r="G11" s="26">
        <v>2676029.7599999998</v>
      </c>
      <c r="H11" s="26">
        <v>9143.1016799999998</v>
      </c>
      <c r="I11" s="26">
        <v>0</v>
      </c>
      <c r="J11" s="16">
        <v>0</v>
      </c>
      <c r="K11" s="27">
        <v>7.2999999999999995E-2</v>
      </c>
      <c r="L11" s="16">
        <v>60</v>
      </c>
      <c r="M11" s="19" t="e">
        <v>#N/A</v>
      </c>
    </row>
    <row r="12" spans="1:13" x14ac:dyDescent="0.3">
      <c r="A12" s="12" t="s">
        <v>9</v>
      </c>
      <c r="B12" s="13" t="s">
        <v>41</v>
      </c>
      <c r="C12" s="20">
        <v>0</v>
      </c>
      <c r="D12" s="20">
        <v>61218</v>
      </c>
      <c r="E12" s="14" t="s">
        <v>22</v>
      </c>
      <c r="F12" s="12">
        <v>0</v>
      </c>
      <c r="G12" s="16">
        <v>3345037.2</v>
      </c>
      <c r="H12" s="16">
        <v>28432.799999999999</v>
      </c>
      <c r="I12" s="16">
        <v>0.35699999999999998</v>
      </c>
      <c r="J12" s="16">
        <v>0</v>
      </c>
      <c r="K12" s="27">
        <v>7.2999999999999995E-2</v>
      </c>
      <c r="L12" s="16">
        <v>50</v>
      </c>
      <c r="M12" s="19" t="e">
        <v>#N/A</v>
      </c>
    </row>
    <row r="13" spans="1:13" x14ac:dyDescent="0.3">
      <c r="A13" s="12" t="s">
        <v>9</v>
      </c>
      <c r="B13" s="13" t="s">
        <v>45</v>
      </c>
      <c r="C13" s="20">
        <v>0</v>
      </c>
      <c r="D13" s="20">
        <v>999999</v>
      </c>
      <c r="E13" s="14" t="s">
        <v>22</v>
      </c>
      <c r="F13" s="12">
        <v>0</v>
      </c>
      <c r="G13" s="34">
        <v>5648000</v>
      </c>
      <c r="H13" s="34">
        <v>0</v>
      </c>
      <c r="I13" s="34">
        <v>53.2</v>
      </c>
      <c r="J13" s="16">
        <v>0</v>
      </c>
      <c r="K13" s="18">
        <v>7.0999999999999994E-2</v>
      </c>
      <c r="L13" s="16">
        <v>25</v>
      </c>
      <c r="M13" s="19" t="e">
        <v>#N/A</v>
      </c>
    </row>
  </sheetData>
  <conditionalFormatting sqref="P2:XFD4">
    <cfRule type="expression" dxfId="42" priority="15">
      <formula>NOT(EXACT(INDIRECT("Z"&amp;ROW()-1&amp;"S1",FALSE()), INDIRECT("Z"&amp;ROW()&amp;"S1",FALSE())))</formula>
    </cfRule>
  </conditionalFormatting>
  <conditionalFormatting sqref="A1:XFD1 A14:F14 L14:XFD14 A15:XFD1048576 N13:XFD13">
    <cfRule type="expression" dxfId="41" priority="17">
      <formula>NOT(EXACT(INDIRECT("Z"&amp;ROW()-1&amp;"S1",FALSE()), INDIRECT("Z"&amp;ROW()&amp;"S1",FALSE())))</formula>
    </cfRule>
  </conditionalFormatting>
  <conditionalFormatting sqref="N12:XFD12">
    <cfRule type="expression" dxfId="40" priority="16">
      <formula>NOT(EXACT(INDIRECT("Z"&amp;ROW()-1&amp;"S1",FALSE()), INDIRECT("Z"&amp;ROW()&amp;"S1",FALSE())))</formula>
    </cfRule>
  </conditionalFormatting>
  <conditionalFormatting sqref="C2:D13 F9:F13 F4:F6">
    <cfRule type="expression" dxfId="39" priority="14">
      <formula>NOT(EXACT(INDIRECT("Z"&amp;ROW()-1&amp;"S1",FALSE()), INDIRECT("Z"&amp;ROW()&amp;"S1",FALSE())))</formula>
    </cfRule>
  </conditionalFormatting>
  <conditionalFormatting sqref="E2:E4 E12:E13">
    <cfRule type="expression" dxfId="38" priority="13">
      <formula>NOT(EXACT(INDIRECT("Z"&amp;ROW()-1&amp;"S1",FALSE()), INDIRECT("Z"&amp;ROW()&amp;"S1",FALSE())))</formula>
    </cfRule>
  </conditionalFormatting>
  <conditionalFormatting sqref="F2">
    <cfRule type="expression" dxfId="37" priority="12">
      <formula>NOT(EXACT(INDIRECT("Z"&amp;ROW()-1&amp;"S1",FALSE()), INDIRECT("Z"&amp;ROW()&amp;"S1",FALSE())))</formula>
    </cfRule>
  </conditionalFormatting>
  <conditionalFormatting sqref="F7">
    <cfRule type="expression" dxfId="36" priority="11">
      <formula>NOT(EXACT(INDIRECT("Z"&amp;ROW()-1&amp;"S1",FALSE()), INDIRECT("Z"&amp;ROW()&amp;"S1",FALSE())))</formula>
    </cfRule>
  </conditionalFormatting>
  <conditionalFormatting sqref="B2:B9">
    <cfRule type="expression" dxfId="35" priority="10">
      <formula>NOT(EXACT(INDIRECT("Z"&amp;ROW()-1&amp;"S1",FALSE()), INDIRECT("Z"&amp;ROW()&amp;"S1",FALSE())))</formula>
    </cfRule>
  </conditionalFormatting>
  <conditionalFormatting sqref="A2:A4">
    <cfRule type="expression" dxfId="34" priority="9">
      <formula>NOT(EXACT(INDIRECT("Z"&amp;ROW()-1&amp;"S1",FALSE()), INDIRECT("Z"&amp;ROW()&amp;"S1",FALSE())))</formula>
    </cfRule>
  </conditionalFormatting>
  <conditionalFormatting sqref="A2:A13">
    <cfRule type="expression" dxfId="33" priority="8">
      <formula>NOT(EXACT(INDIRECT("Z"&amp;ROW()-1&amp;"S1",FALSE()), INDIRECT("Z"&amp;ROW()&amp;"S1",FALSE())))</formula>
    </cfRule>
  </conditionalFormatting>
  <conditionalFormatting sqref="B10">
    <cfRule type="expression" dxfId="32" priority="7">
      <formula>NOT(EXACT(INDIRECT("Z"&amp;ROW()-1&amp;"S1",FALSE()), INDIRECT("Z"&amp;ROW()&amp;"S1",FALSE())))</formula>
    </cfRule>
  </conditionalFormatting>
  <conditionalFormatting sqref="B11:B12">
    <cfRule type="expression" dxfId="31" priority="6">
      <formula>NOT(EXACT(INDIRECT("Z"&amp;ROW()-1&amp;"S1",FALSE()), INDIRECT("Z"&amp;ROW()&amp;"S1",FALSE())))</formula>
    </cfRule>
  </conditionalFormatting>
  <conditionalFormatting sqref="B11:B12">
    <cfRule type="expression" dxfId="30" priority="5">
      <formula>NOT(EXACT(INDIRECT("Z"&amp;ROW()-1&amp;"S1",FALSE()), INDIRECT("Z"&amp;ROW()&amp;"S1",FALSE())))</formula>
    </cfRule>
  </conditionalFormatting>
  <conditionalFormatting sqref="B13">
    <cfRule type="expression" dxfId="29" priority="4">
      <formula>NOT(EXACT(INDIRECT("Z"&amp;ROW()-1&amp;"S1",FALSE()), INDIRECT("Z"&amp;ROW()&amp;"S1",FALSE())))</formula>
    </cfRule>
  </conditionalFormatting>
  <conditionalFormatting sqref="M2">
    <cfRule type="expression" dxfId="28" priority="3">
      <formula>NOT(EXACT(INDIRECT("Z"&amp;ROW()-1&amp;"S1",FALSE()), INDIRECT("Z"&amp;ROW()&amp;"S1",FALSE())))</formula>
    </cfRule>
  </conditionalFormatting>
  <conditionalFormatting sqref="M11:M12">
    <cfRule type="expression" dxfId="27" priority="1">
      <formula>NOT(EXACT(INDIRECT("Z"&amp;ROW()-1&amp;"S1",FALSE()), INDIRECT("Z"&amp;ROW()&amp;"S1",FALSE())))</formula>
    </cfRule>
  </conditionalFormatting>
  <conditionalFormatting sqref="G11:I11">
    <cfRule type="expression" dxfId="26" priority="2">
      <formula>NOT(EXACT(INDIRECT("Z"&amp;ROW()-1&amp;"S1",FALSE()), INDIRECT("Z"&amp;ROW()&amp;"S1",FALSE())))</formula>
    </cfRule>
  </conditionalFormatting>
  <dataValidations count="11">
    <dataValidation allowBlank="1" showInputMessage="1" showErrorMessage="1" promptTitle="Startup Cost (€)" prompt="The process cost which is incurred when the process is switched on from off condition at a timestep." sqref="J1" xr:uid="{D5A64519-4D59-4EFA-B45E-F74FA0E09CDB}"/>
    <dataValidation allowBlank="1" showInputMessage="1" showErrorMessage="1" promptTitle="Weighted average cost of capital" prompt="Percentage (%) of costs for capital after taxes. Used to calculate annuity factor for investment costs." sqref="K1" xr:uid="{3C196013-DC9D-41DF-A951-2AF65C42F29D}"/>
    <dataValidation allowBlank="1" showInputMessage="1" showErrorMessage="1" promptTitle="Area use per capacity (m^2/MW) " prompt="If a process requires area set value here. If no area use is to be considered set NV(). " sqref="M1" xr:uid="{C6A28425-1905-4BC2-ABC8-E2681B04CE58}"/>
    <dataValidation allowBlank="1" showInputMessage="1" showErrorMessage="1" promptTitle="Minimum load fraction" prompt="This value sets the minimum possible fraction of the process capacity which the process can run at." sqref="F1" xr:uid="{A1D12554-06D7-42FD-A46F-BD1B88711323}"/>
    <dataValidation allowBlank="1" showInputMessage="1" showErrorMessage="1" promptTitle="Maximal power gradient (1/h)" prompt="Maximum allowed power gradient relative to power throughput capacity. Set value to inf or greater than 1/dt to disable it." sqref="E1" xr:uid="{126E5C14-2211-47DC-8CAB-F7EB0F4597A7}"/>
    <dataValidation allowBlank="1" showInputMessage="1" showErrorMessage="1" promptTitle="Depreciation period (a)" prompt="Economic lifetime (more conservative than technical lifetime) of a process investment in years (a). Used to calculate annuity factor for investment costs." sqref="L1" xr:uid="{B504CD9E-E7F2-4B4B-B76E-B80C3D254327}"/>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53D3C910-1954-4AD0-AA15-C7B3E3897FE8}"/>
    <dataValidation allowBlank="1" showInputMessage="1" showErrorMessage="1" promptTitle="Annual fix cost (€/MW/a)" prompt="Operation independent costs for existing and new capacities per MW throughput power." sqref="H1" xr:uid="{C20A6FDA-0272-498F-8538-D3485FF329BA}"/>
    <dataValidation allowBlank="1" showInputMessage="1" showErrorMessage="1" promptTitle="Investment cost (€/MW)" prompt="Total investement cost for adding capacity. Is annualized in the model using the annuity factor derived from 'wacc' and 'depreciation'." sqref="G1" xr:uid="{1EAD6FAD-B775-462B-9BDE-5BA907BEDF4A}"/>
    <dataValidation allowBlank="1" showInputMessage="1" showErrorMessage="1" promptTitle="Maximum capacity (MW)" prompt="Maximum allowed power throughput capacity per process. Must be bigger than or equal to max('cap-lo', 'inst-cap')." sqref="D1" xr:uid="{F0C89D21-E0EB-42AE-9FBA-CB73A5843018}"/>
    <dataValidation allowBlank="1" showInputMessage="1" showErrorMessage="1" promptTitle="Minimum capacity (MW)" prompt="Minimum required power throughput capacity that is allowed per process. Must be smaller or equal to 'cap-up', but can be bigger than 'inst-cap' to force investment." sqref="C1" xr:uid="{9F4540D7-2A20-40A1-8A24-9977C8B5F36D}"/>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tabSelected="1" workbookViewId="0">
      <selection activeCell="H29" sqref="H29"/>
    </sheetView>
  </sheetViews>
  <sheetFormatPr baseColWidth="10" defaultColWidth="11.44140625" defaultRowHeight="14.4" x14ac:dyDescent="0.3"/>
  <cols>
    <col min="1" max="1" width="16.33203125" style="12" bestFit="1" customWidth="1"/>
    <col min="2" max="2" width="13.5546875" style="12" bestFit="1" customWidth="1"/>
    <col min="3" max="3" width="11.44140625" style="12" bestFit="1"/>
    <col min="4" max="4" width="20.6640625" style="38" customWidth="1"/>
    <col min="5" max="5" width="18.5546875" style="38" customWidth="1"/>
    <col min="6" max="16384" width="11.44140625" style="12"/>
  </cols>
  <sheetData>
    <row r="1" spans="1:5" x14ac:dyDescent="0.3">
      <c r="A1" t="s">
        <v>28</v>
      </c>
      <c r="B1" t="s">
        <v>11</v>
      </c>
      <c r="C1" t="s">
        <v>46</v>
      </c>
      <c r="D1" s="37" t="s">
        <v>47</v>
      </c>
      <c r="E1" s="37" t="s">
        <v>48</v>
      </c>
    </row>
    <row r="2" spans="1:5" x14ac:dyDescent="0.3">
      <c r="A2" s="12" t="s">
        <v>92</v>
      </c>
      <c r="B2" s="10" t="s">
        <v>20</v>
      </c>
      <c r="C2" s="10" t="s">
        <v>49</v>
      </c>
      <c r="D2" s="11">
        <v>1</v>
      </c>
      <c r="E2" s="11">
        <v>2</v>
      </c>
    </row>
    <row r="3" spans="1:5" x14ac:dyDescent="0.3">
      <c r="A3" s="12" t="s">
        <v>92</v>
      </c>
      <c r="B3" s="10" t="s">
        <v>18</v>
      </c>
      <c r="C3" s="10" t="s">
        <v>50</v>
      </c>
      <c r="D3" s="25">
        <v>0.42</v>
      </c>
      <c r="E3" s="11" t="e">
        <f>NA()</f>
        <v>#N/A</v>
      </c>
    </row>
    <row r="4" spans="1:5" x14ac:dyDescent="0.3">
      <c r="A4" s="12" t="s">
        <v>92</v>
      </c>
      <c r="B4" s="10" t="s">
        <v>23</v>
      </c>
      <c r="C4" s="10" t="s">
        <v>50</v>
      </c>
      <c r="D4" s="11">
        <v>0.36299999999999999</v>
      </c>
      <c r="E4" s="11">
        <v>0.8</v>
      </c>
    </row>
    <row r="5" spans="1:5" x14ac:dyDescent="0.3">
      <c r="A5" s="9" t="s">
        <v>43</v>
      </c>
      <c r="B5" s="10" t="s">
        <v>89</v>
      </c>
      <c r="C5" s="10" t="s">
        <v>49</v>
      </c>
      <c r="D5" s="11">
        <v>1</v>
      </c>
      <c r="E5" s="11">
        <v>1.2</v>
      </c>
    </row>
    <row r="6" spans="1:5" x14ac:dyDescent="0.3">
      <c r="A6" s="9" t="s">
        <v>43</v>
      </c>
      <c r="B6" s="10" t="s">
        <v>18</v>
      </c>
      <c r="C6" s="10" t="s">
        <v>50</v>
      </c>
      <c r="D6" s="25">
        <v>0.61</v>
      </c>
      <c r="E6" s="11" t="e">
        <f>NA()</f>
        <v>#N/A</v>
      </c>
    </row>
    <row r="7" spans="1:5" x14ac:dyDescent="0.3">
      <c r="A7" s="9" t="s">
        <v>43</v>
      </c>
      <c r="B7" s="10" t="s">
        <v>23</v>
      </c>
      <c r="C7" s="10" t="s">
        <v>50</v>
      </c>
      <c r="D7" s="7">
        <v>0.1855</v>
      </c>
      <c r="E7" s="11">
        <f>D7*E5</f>
        <v>0.22259999999999999</v>
      </c>
    </row>
    <row r="8" spans="1:5" x14ac:dyDescent="0.3">
      <c r="A8" s="9" t="s">
        <v>45</v>
      </c>
      <c r="B8" s="10" t="s">
        <v>25</v>
      </c>
      <c r="C8" s="10" t="s">
        <v>49</v>
      </c>
      <c r="D8" s="11">
        <v>1</v>
      </c>
      <c r="E8" s="11" t="e">
        <f>NA()</f>
        <v>#N/A</v>
      </c>
    </row>
    <row r="9" spans="1:5" x14ac:dyDescent="0.3">
      <c r="A9" s="9" t="s">
        <v>45</v>
      </c>
      <c r="B9" s="10" t="s">
        <v>18</v>
      </c>
      <c r="C9" s="10" t="s">
        <v>50</v>
      </c>
      <c r="D9" s="11">
        <v>0.35</v>
      </c>
      <c r="E9" s="11" t="e">
        <f>NA()</f>
        <v>#N/A</v>
      </c>
    </row>
    <row r="10" spans="1:5" x14ac:dyDescent="0.3">
      <c r="A10" s="9" t="s">
        <v>45</v>
      </c>
      <c r="B10" s="10" t="s">
        <v>23</v>
      </c>
      <c r="C10" s="10" t="s">
        <v>50</v>
      </c>
      <c r="D10" s="11">
        <v>0</v>
      </c>
      <c r="E10" s="11" t="e">
        <f>NA()</f>
        <v>#N/A</v>
      </c>
    </row>
    <row r="11" spans="1:5" x14ac:dyDescent="0.3">
      <c r="A11" s="9" t="s">
        <v>44</v>
      </c>
      <c r="B11" s="10" t="s">
        <v>26</v>
      </c>
      <c r="C11" s="10" t="s">
        <v>49</v>
      </c>
      <c r="D11" s="11">
        <v>1</v>
      </c>
      <c r="E11" s="11" t="e">
        <f>NA()</f>
        <v>#N/A</v>
      </c>
    </row>
    <row r="12" spans="1:5" x14ac:dyDescent="0.3">
      <c r="A12" s="9" t="s">
        <v>44</v>
      </c>
      <c r="B12" s="10" t="s">
        <v>18</v>
      </c>
      <c r="C12" s="10" t="s">
        <v>50</v>
      </c>
      <c r="D12" s="11">
        <v>0.38</v>
      </c>
      <c r="E12" s="11" t="e">
        <f>NA()</f>
        <v>#N/A</v>
      </c>
    </row>
    <row r="13" spans="1:5" x14ac:dyDescent="0.3">
      <c r="A13" s="9" t="s">
        <v>42</v>
      </c>
      <c r="B13" s="10" t="s">
        <v>27</v>
      </c>
      <c r="C13" s="10" t="s">
        <v>49</v>
      </c>
      <c r="D13" s="11">
        <v>1</v>
      </c>
      <c r="E13" s="11">
        <v>1.4</v>
      </c>
    </row>
    <row r="14" spans="1:5" x14ac:dyDescent="0.3">
      <c r="A14" s="9" t="s">
        <v>42</v>
      </c>
      <c r="B14" s="10" t="s">
        <v>18</v>
      </c>
      <c r="C14" s="10" t="s">
        <v>50</v>
      </c>
      <c r="D14" s="25">
        <v>0.46</v>
      </c>
      <c r="E14" s="11" t="e">
        <f>NA()</f>
        <v>#N/A</v>
      </c>
    </row>
    <row r="15" spans="1:5" x14ac:dyDescent="0.3">
      <c r="A15" s="9" t="s">
        <v>42</v>
      </c>
      <c r="B15" s="10" t="s">
        <v>23</v>
      </c>
      <c r="C15" s="10" t="s">
        <v>50</v>
      </c>
      <c r="D15" s="11">
        <v>0.34179999999999999</v>
      </c>
      <c r="E15" s="11">
        <f>D15*E13</f>
        <v>0.47851999999999995</v>
      </c>
    </row>
    <row r="16" spans="1:5" x14ac:dyDescent="0.3">
      <c r="A16" s="9" t="s">
        <v>40</v>
      </c>
      <c r="B16" s="10" t="s">
        <v>17</v>
      </c>
      <c r="C16" s="10" t="s">
        <v>49</v>
      </c>
      <c r="D16" s="11">
        <v>1</v>
      </c>
      <c r="E16" s="11" t="e">
        <f>NA()</f>
        <v>#N/A</v>
      </c>
    </row>
    <row r="17" spans="1:5" x14ac:dyDescent="0.3">
      <c r="A17" s="9" t="s">
        <v>40</v>
      </c>
      <c r="B17" s="10" t="s">
        <v>18</v>
      </c>
      <c r="C17" s="10" t="s">
        <v>50</v>
      </c>
      <c r="D17" s="11">
        <v>1</v>
      </c>
      <c r="E17" s="11" t="e">
        <f>NA()</f>
        <v>#N/A</v>
      </c>
    </row>
    <row r="18" spans="1:5" x14ac:dyDescent="0.3">
      <c r="A18" s="9" t="s">
        <v>41</v>
      </c>
      <c r="B18" s="10" t="s">
        <v>17</v>
      </c>
      <c r="C18" s="10" t="s">
        <v>49</v>
      </c>
      <c r="D18" s="11">
        <v>1</v>
      </c>
      <c r="E18" s="11" t="e">
        <f>NA()</f>
        <v>#N/A</v>
      </c>
    </row>
    <row r="19" spans="1:5" x14ac:dyDescent="0.3">
      <c r="A19" s="9" t="s">
        <v>41</v>
      </c>
      <c r="B19" s="10" t="s">
        <v>18</v>
      </c>
      <c r="C19" s="10" t="s">
        <v>50</v>
      </c>
      <c r="D19" s="11">
        <v>1</v>
      </c>
      <c r="E19" s="11" t="e">
        <f>NA()</f>
        <v>#N/A</v>
      </c>
    </row>
    <row r="20" spans="1:5" x14ac:dyDescent="0.3">
      <c r="A20" s="12" t="s">
        <v>95</v>
      </c>
      <c r="B20" s="10" t="s">
        <v>27</v>
      </c>
      <c r="C20" s="10" t="s">
        <v>49</v>
      </c>
      <c r="D20" s="11">
        <v>1</v>
      </c>
      <c r="E20" s="11" t="e">
        <f>NA()</f>
        <v>#N/A</v>
      </c>
    </row>
    <row r="21" spans="1:5" x14ac:dyDescent="0.3">
      <c r="A21" s="12" t="s">
        <v>95</v>
      </c>
      <c r="B21" s="10" t="s">
        <v>18</v>
      </c>
      <c r="C21" s="10" t="s">
        <v>50</v>
      </c>
      <c r="D21" s="11">
        <v>3.6999999999999998E-2</v>
      </c>
      <c r="E21" s="11" t="e">
        <f>D21*E19</f>
        <v>#N/A</v>
      </c>
    </row>
    <row r="22" spans="1:5" x14ac:dyDescent="0.3">
      <c r="A22" s="12" t="s">
        <v>95</v>
      </c>
      <c r="B22" s="10" t="s">
        <v>23</v>
      </c>
      <c r="C22" s="10" t="s">
        <v>50</v>
      </c>
      <c r="D22" s="11">
        <v>3.4180000000000002E-2</v>
      </c>
      <c r="E22" s="11" t="e">
        <f>D22*E20</f>
        <v>#N/A</v>
      </c>
    </row>
    <row r="23" spans="1:5" x14ac:dyDescent="0.3">
      <c r="A23" s="12" t="s">
        <v>96</v>
      </c>
      <c r="B23" s="10" t="s">
        <v>27</v>
      </c>
      <c r="C23" s="10" t="s">
        <v>49</v>
      </c>
      <c r="D23" s="11">
        <v>1</v>
      </c>
      <c r="E23" s="11" t="e">
        <f>NA()</f>
        <v>#N/A</v>
      </c>
    </row>
    <row r="24" spans="1:5" x14ac:dyDescent="0.3">
      <c r="A24" s="12" t="s">
        <v>96</v>
      </c>
      <c r="B24" s="10" t="s">
        <v>18</v>
      </c>
      <c r="C24" s="10" t="s">
        <v>50</v>
      </c>
      <c r="D24" s="11">
        <v>0.33</v>
      </c>
      <c r="E24" s="11" t="e">
        <f>D24*E21</f>
        <v>#N/A</v>
      </c>
    </row>
    <row r="25" spans="1:5" x14ac:dyDescent="0.3">
      <c r="A25" s="12" t="s">
        <v>96</v>
      </c>
      <c r="B25" s="10" t="s">
        <v>23</v>
      </c>
      <c r="C25" s="10" t="s">
        <v>50</v>
      </c>
      <c r="D25" s="11">
        <v>3.6299999999999999E-2</v>
      </c>
      <c r="E25" s="11" t="e">
        <f>D25*E23</f>
        <v>#N/A</v>
      </c>
    </row>
    <row r="26" spans="1:5" x14ac:dyDescent="0.3">
      <c r="A26" s="9" t="s">
        <v>88</v>
      </c>
      <c r="B26" s="10" t="s">
        <v>89</v>
      </c>
      <c r="C26" s="10" t="s">
        <v>49</v>
      </c>
      <c r="D26" s="11">
        <v>1</v>
      </c>
      <c r="E26" s="11">
        <v>1.2</v>
      </c>
    </row>
    <row r="27" spans="1:5" x14ac:dyDescent="0.3">
      <c r="A27" s="9" t="s">
        <v>88</v>
      </c>
      <c r="B27" s="10" t="s">
        <v>18</v>
      </c>
      <c r="C27" s="10" t="s">
        <v>50</v>
      </c>
      <c r="D27" s="11">
        <v>0.46</v>
      </c>
      <c r="E27" s="11" t="e">
        <f>NA()</f>
        <v>#N/A</v>
      </c>
    </row>
    <row r="28" spans="1:5" x14ac:dyDescent="0.3">
      <c r="A28" s="9" t="s">
        <v>88</v>
      </c>
      <c r="B28" s="10" t="s">
        <v>23</v>
      </c>
      <c r="C28" s="10" t="s">
        <v>50</v>
      </c>
      <c r="D28" s="11">
        <v>1.8550000000000001E-2</v>
      </c>
      <c r="E28" s="11" t="e">
        <f>NA()</f>
        <v>#N/A</v>
      </c>
    </row>
    <row r="29" spans="1:5" x14ac:dyDescent="0.3">
      <c r="A29" s="12" t="s">
        <v>93</v>
      </c>
      <c r="B29" s="10" t="s">
        <v>91</v>
      </c>
      <c r="C29" s="10" t="s">
        <v>49</v>
      </c>
      <c r="D29" s="11">
        <v>1</v>
      </c>
      <c r="E29" s="11" t="e">
        <f>D29*E27</f>
        <v>#N/A</v>
      </c>
    </row>
    <row r="30" spans="1:5" x14ac:dyDescent="0.3">
      <c r="A30" s="12" t="s">
        <v>93</v>
      </c>
      <c r="B30" s="10" t="s">
        <v>18</v>
      </c>
      <c r="C30" s="10" t="s">
        <v>50</v>
      </c>
      <c r="D30" s="11">
        <v>0.4</v>
      </c>
      <c r="E30" s="11" t="e">
        <f>NA()</f>
        <v>#N/A</v>
      </c>
    </row>
    <row r="31" spans="1:5" x14ac:dyDescent="0.3">
      <c r="A31" s="12" t="s">
        <v>93</v>
      </c>
      <c r="B31" s="10" t="s">
        <v>23</v>
      </c>
      <c r="C31" s="10" t="s">
        <v>50</v>
      </c>
      <c r="D31" s="11">
        <v>0.26700000000000002</v>
      </c>
      <c r="E31" s="11" t="e">
        <f>NA()</f>
        <v>#N/A</v>
      </c>
    </row>
    <row r="32" spans="1:5" x14ac:dyDescent="0.3">
      <c r="A32" s="12" t="s">
        <v>94</v>
      </c>
      <c r="B32" s="10" t="s">
        <v>90</v>
      </c>
      <c r="C32" s="10" t="s">
        <v>49</v>
      </c>
      <c r="D32" s="11">
        <v>1</v>
      </c>
      <c r="E32" s="11" t="e">
        <f>D32*E30</f>
        <v>#N/A</v>
      </c>
    </row>
    <row r="33" spans="1:5" x14ac:dyDescent="0.3">
      <c r="A33" s="12" t="s">
        <v>94</v>
      </c>
      <c r="B33" s="10" t="s">
        <v>18</v>
      </c>
      <c r="C33" s="10" t="s">
        <v>50</v>
      </c>
      <c r="D33" s="11">
        <v>0.4</v>
      </c>
      <c r="E33" s="11" t="e">
        <f>NA()</f>
        <v>#N/A</v>
      </c>
    </row>
    <row r="34" spans="1:5" x14ac:dyDescent="0.3">
      <c r="A34" s="12" t="s">
        <v>94</v>
      </c>
      <c r="B34" s="10" t="s">
        <v>23</v>
      </c>
      <c r="C34" s="10" t="s">
        <v>50</v>
      </c>
      <c r="D34" s="11">
        <v>0.26700000000000002</v>
      </c>
      <c r="E34" s="11" t="e">
        <f>NA()</f>
        <v>#N/A</v>
      </c>
    </row>
  </sheetData>
  <conditionalFormatting sqref="F2:XFD19">
    <cfRule type="expression" dxfId="25" priority="49">
      <formula>NOT(EXACT(INDIRECT("Z"&amp;ROW()-1&amp;"S1",FALSE()), INDIRECT("Z"&amp;ROW()&amp;"S1",FALSE())))</formula>
    </cfRule>
  </conditionalFormatting>
  <conditionalFormatting sqref="A1:XFD1">
    <cfRule type="expression" dxfId="24" priority="51">
      <formula>NOT(EXACT(INDIRECT("Z"&amp;ROW()-1&amp;"S1",FALSE()), INDIRECT("Z"&amp;ROW()&amp;"S1",FALSE())))</formula>
    </cfRule>
  </conditionalFormatting>
  <conditionalFormatting sqref="A20:XFD25 F26:XFD26 A27:XFD28 F29:XFD31 A32:XFD32 A66:XFD1048576 F33:XFD65">
    <cfRule type="expression" dxfId="23" priority="50">
      <formula>NOT(EXACT(INDIRECT("Z"&amp;ROW()-1&amp;"S1",FALSE()), INDIRECT("Z"&amp;ROW()&amp;"S1",FALSE())))</formula>
    </cfRule>
  </conditionalFormatting>
  <conditionalFormatting sqref="D1:E1">
    <cfRule type="dataBar" priority="52">
      <dataBar>
        <cfvo type="num" val="0"/>
        <cfvo type="num" val="2"/>
        <color rgb="FF638EC6"/>
      </dataBar>
    </cfRule>
  </conditionalFormatting>
  <conditionalFormatting sqref="D66:E1048576">
    <cfRule type="dataBar" priority="53">
      <dataBar>
        <cfvo type="num" val="0"/>
        <cfvo type="num" val="2"/>
        <color rgb="FF638EC6"/>
      </dataBar>
    </cfRule>
  </conditionalFormatting>
  <conditionalFormatting sqref="A5 A6:C19 D8:E12 B2:C4 D16:E19">
    <cfRule type="expression" dxfId="22" priority="43">
      <formula>NOT(EXACT(INDIRECT("Z"&amp;ROW()-1&amp;"S1",FALSE()), INDIRECT("Z"&amp;ROW()&amp;"S1",FALSE())))</formula>
    </cfRule>
  </conditionalFormatting>
  <conditionalFormatting sqref="B21:C25 C26 B27:C27">
    <cfRule type="expression" dxfId="21" priority="40">
      <formula>NOT(EXACT(INDIRECT("Z"&amp;ROW()-1&amp;"S1",FALSE()), INDIRECT("Z"&amp;ROW()&amp;"S1",FALSE())))</formula>
    </cfRule>
  </conditionalFormatting>
  <conditionalFormatting sqref="B20:C20 A26:A28">
    <cfRule type="expression" dxfId="20" priority="41">
      <formula>NOT(EXACT(INDIRECT("Z"&amp;ROW()-1&amp;"S1",FALSE()), INDIRECT("Z"&amp;ROW()&amp;"S1",FALSE())))</formula>
    </cfRule>
  </conditionalFormatting>
  <conditionalFormatting sqref="C5">
    <cfRule type="expression" dxfId="19" priority="38">
      <formula>NOT(EXACT(INDIRECT("Z"&amp;ROW()-1&amp;"S1",FALSE()), INDIRECT("Z"&amp;ROW()&amp;"S1",FALSE())))</formula>
    </cfRule>
  </conditionalFormatting>
  <conditionalFormatting sqref="D8:D10">
    <cfRule type="dataBar" priority="47">
      <dataBar>
        <cfvo type="num" val="0"/>
        <cfvo type="num" val="2"/>
        <color rgb="FF638EC6"/>
      </dataBar>
      <extLst>
        <ext xmlns:x14="http://schemas.microsoft.com/office/spreadsheetml/2009/9/main" uri="{B025F937-C7B1-47D3-B67F-A62EFF666E3E}">
          <x14:id>{BA5CB47E-A403-4FC8-A07D-1B98F5CCDCFE}</x14:id>
        </ext>
      </extLst>
    </cfRule>
  </conditionalFormatting>
  <conditionalFormatting sqref="D8:D12 D16:D19">
    <cfRule type="dataBar" priority="42">
      <dataBar>
        <cfvo type="num" val="0"/>
        <cfvo type="num" val="2"/>
        <color rgb="FF638EC6"/>
      </dataBar>
      <extLst>
        <ext xmlns:x14="http://schemas.microsoft.com/office/spreadsheetml/2009/9/main" uri="{B025F937-C7B1-47D3-B67F-A62EFF666E3E}">
          <x14:id>{A50A5A77-1F99-4313-9CAA-F618CF3AE7CE}</x14:id>
        </ext>
      </extLst>
    </cfRule>
  </conditionalFormatting>
  <conditionalFormatting sqref="D11:E12">
    <cfRule type="dataBar" priority="48">
      <dataBar>
        <cfvo type="num" val="0"/>
        <cfvo type="num" val="2"/>
        <color rgb="FF638EC6"/>
      </dataBar>
      <extLst>
        <ext xmlns:x14="http://schemas.microsoft.com/office/spreadsheetml/2009/9/main" uri="{B025F937-C7B1-47D3-B67F-A62EFF666E3E}">
          <x14:id>{84080411-6CE6-4BC8-BF99-F075B84CC1B2}</x14:id>
        </ext>
      </extLst>
    </cfRule>
  </conditionalFormatting>
  <conditionalFormatting sqref="D16:E17">
    <cfRule type="dataBar" priority="45">
      <dataBar>
        <cfvo type="num" val="0"/>
        <cfvo type="num" val="2"/>
        <color rgb="FF638EC6"/>
      </dataBar>
      <extLst>
        <ext xmlns:x14="http://schemas.microsoft.com/office/spreadsheetml/2009/9/main" uri="{B025F937-C7B1-47D3-B67F-A62EFF666E3E}">
          <x14:id>{8585FE5E-328F-4F2F-BDCF-6ACC4AC06A34}</x14:id>
        </ext>
      </extLst>
    </cfRule>
  </conditionalFormatting>
  <conditionalFormatting sqref="D18:E19">
    <cfRule type="dataBar" priority="44">
      <dataBar>
        <cfvo type="num" val="0"/>
        <cfvo type="num" val="2"/>
        <color rgb="FF638EC6"/>
      </dataBar>
      <extLst>
        <ext xmlns:x14="http://schemas.microsoft.com/office/spreadsheetml/2009/9/main" uri="{B025F937-C7B1-47D3-B67F-A62EFF666E3E}">
          <x14:id>{6D133BEA-F3E0-45B8-9596-79E8B842E0AB}</x14:id>
        </ext>
      </extLst>
    </cfRule>
  </conditionalFormatting>
  <conditionalFormatting sqref="E8:E10">
    <cfRule type="dataBar" priority="46">
      <dataBar>
        <cfvo type="num" val="0"/>
        <cfvo type="num" val="2"/>
        <color rgb="FF638EC6"/>
      </dataBar>
      <extLst>
        <ext xmlns:x14="http://schemas.microsoft.com/office/spreadsheetml/2009/9/main" uri="{B025F937-C7B1-47D3-B67F-A62EFF666E3E}">
          <x14:id>{209209DE-14AD-4343-8E4C-36877B1089B2}</x14:id>
        </ext>
      </extLst>
    </cfRule>
  </conditionalFormatting>
  <conditionalFormatting sqref="E29:E34">
    <cfRule type="expression" dxfId="18" priority="37">
      <formula>NOT(EXACT(INDIRECT("Z"&amp;ROW()-1&amp;"S1",FALSE()), INDIRECT("Z"&amp;ROW()&amp;"S1",FALSE())))</formula>
    </cfRule>
  </conditionalFormatting>
  <conditionalFormatting sqref="B28:C28">
    <cfRule type="expression" dxfId="17" priority="39">
      <formula>NOT(EXACT(INDIRECT("Z"&amp;ROW()-1&amp;"S1",FALSE()), INDIRECT("Z"&amp;ROW()&amp;"S1",FALSE())))</formula>
    </cfRule>
  </conditionalFormatting>
  <conditionalFormatting sqref="A2:A4">
    <cfRule type="expression" dxfId="16" priority="36">
      <formula>NOT(EXACT(INDIRECT("Z"&amp;ROW()-1&amp;"S1",FALSE()), INDIRECT("Z"&amp;ROW()&amp;"S1",FALSE())))</formula>
    </cfRule>
  </conditionalFormatting>
  <conditionalFormatting sqref="A29:A31">
    <cfRule type="expression" dxfId="15" priority="35">
      <formula>NOT(EXACT(INDIRECT("Z"&amp;ROW()-1&amp;"S1",FALSE()), INDIRECT("Z"&amp;ROW()&amp;"S1",FALSE())))</formula>
    </cfRule>
  </conditionalFormatting>
  <conditionalFormatting sqref="A32:A34">
    <cfRule type="expression" dxfId="14" priority="34">
      <formula>NOT(EXACT(INDIRECT("Z"&amp;ROW()-1&amp;"S1",FALSE()), INDIRECT("Z"&amp;ROW()&amp;"S1",FALSE())))</formula>
    </cfRule>
  </conditionalFormatting>
  <conditionalFormatting sqref="C29 B30:C30">
    <cfRule type="expression" dxfId="13" priority="32">
      <formula>NOT(EXACT(INDIRECT("Z"&amp;ROW()-1&amp;"S1",FALSE()), INDIRECT("Z"&amp;ROW()&amp;"S1",FALSE())))</formula>
    </cfRule>
  </conditionalFormatting>
  <conditionalFormatting sqref="E29">
    <cfRule type="dataBar" priority="31">
      <dataBar>
        <cfvo type="num" val="0"/>
        <cfvo type="num" val="2"/>
        <color rgb="FF638EC6"/>
      </dataBar>
      <extLst>
        <ext xmlns:x14="http://schemas.microsoft.com/office/spreadsheetml/2009/9/main" uri="{B025F937-C7B1-47D3-B67F-A62EFF666E3E}">
          <x14:id>{DBB509E5-C0C3-4A12-8C21-30192E79AF28}</x14:id>
        </ext>
      </extLst>
    </cfRule>
  </conditionalFormatting>
  <conditionalFormatting sqref="E30">
    <cfRule type="dataBar" priority="33">
      <dataBar>
        <cfvo type="num" val="0"/>
        <cfvo type="num" val="2"/>
        <color rgb="FF638EC6"/>
      </dataBar>
      <extLst>
        <ext xmlns:x14="http://schemas.microsoft.com/office/spreadsheetml/2009/9/main" uri="{B025F937-C7B1-47D3-B67F-A62EFF666E3E}">
          <x14:id>{B2F80690-317E-4FED-A8EF-518AFDAC2505}</x14:id>
        </ext>
      </extLst>
    </cfRule>
  </conditionalFormatting>
  <conditionalFormatting sqref="E31">
    <cfRule type="dataBar" priority="30">
      <dataBar>
        <cfvo type="num" val="0"/>
        <cfvo type="num" val="2"/>
        <color rgb="FF638EC6"/>
      </dataBar>
      <extLst>
        <ext xmlns:x14="http://schemas.microsoft.com/office/spreadsheetml/2009/9/main" uri="{B025F937-C7B1-47D3-B67F-A62EFF666E3E}">
          <x14:id>{E64D4A45-A455-44EB-9001-901B634775C1}</x14:id>
        </ext>
      </extLst>
    </cfRule>
  </conditionalFormatting>
  <conditionalFormatting sqref="B31:C31">
    <cfRule type="expression" dxfId="12" priority="29">
      <formula>NOT(EXACT(INDIRECT("Z"&amp;ROW()-1&amp;"S1",FALSE()), INDIRECT("Z"&amp;ROW()&amp;"S1",FALSE())))</formula>
    </cfRule>
  </conditionalFormatting>
  <conditionalFormatting sqref="C32 B33:C33">
    <cfRule type="expression" dxfId="11" priority="27">
      <formula>NOT(EXACT(INDIRECT("Z"&amp;ROW()-1&amp;"S1",FALSE()), INDIRECT("Z"&amp;ROW()&amp;"S1",FALSE())))</formula>
    </cfRule>
  </conditionalFormatting>
  <conditionalFormatting sqref="E32">
    <cfRule type="dataBar" priority="26">
      <dataBar>
        <cfvo type="num" val="0"/>
        <cfvo type="num" val="2"/>
        <color rgb="FF638EC6"/>
      </dataBar>
      <extLst>
        <ext xmlns:x14="http://schemas.microsoft.com/office/spreadsheetml/2009/9/main" uri="{B025F937-C7B1-47D3-B67F-A62EFF666E3E}">
          <x14:id>{A13650B6-46C1-4C4B-B515-8DC9A306BF80}</x14:id>
        </ext>
      </extLst>
    </cfRule>
  </conditionalFormatting>
  <conditionalFormatting sqref="E33">
    <cfRule type="dataBar" priority="28">
      <dataBar>
        <cfvo type="num" val="0"/>
        <cfvo type="num" val="2"/>
        <color rgb="FF638EC6"/>
      </dataBar>
      <extLst>
        <ext xmlns:x14="http://schemas.microsoft.com/office/spreadsheetml/2009/9/main" uri="{B025F937-C7B1-47D3-B67F-A62EFF666E3E}">
          <x14:id>{5A35979B-B8A0-497E-A6CA-F4030C23E267}</x14:id>
        </ext>
      </extLst>
    </cfRule>
  </conditionalFormatting>
  <conditionalFormatting sqref="E34">
    <cfRule type="dataBar" priority="25">
      <dataBar>
        <cfvo type="num" val="0"/>
        <cfvo type="num" val="2"/>
        <color rgb="FF638EC6"/>
      </dataBar>
      <extLst>
        <ext xmlns:x14="http://schemas.microsoft.com/office/spreadsheetml/2009/9/main" uri="{B025F937-C7B1-47D3-B67F-A62EFF666E3E}">
          <x14:id>{86E9678D-759E-46AB-B3FC-04203C95F294}</x14:id>
        </ext>
      </extLst>
    </cfRule>
  </conditionalFormatting>
  <conditionalFormatting sqref="B34:C34">
    <cfRule type="expression" dxfId="10" priority="24">
      <formula>NOT(EXACT(INDIRECT("Z"&amp;ROW()-1&amp;"S1",FALSE()), INDIRECT("Z"&amp;ROW()&amp;"S1",FALSE())))</formula>
    </cfRule>
  </conditionalFormatting>
  <conditionalFormatting sqref="A20:A22">
    <cfRule type="expression" dxfId="9" priority="23">
      <formula>NOT(EXACT(INDIRECT("Z"&amp;ROW()-1&amp;"S1",FALSE()), INDIRECT("Z"&amp;ROW()&amp;"S1",FALSE())))</formula>
    </cfRule>
  </conditionalFormatting>
  <conditionalFormatting sqref="A23:A25">
    <cfRule type="expression" dxfId="8" priority="22">
      <formula>NOT(EXACT(INDIRECT("Z"&amp;ROW()-1&amp;"S1",FALSE()), INDIRECT("Z"&amp;ROW()&amp;"S1",FALSE())))</formula>
    </cfRule>
  </conditionalFormatting>
  <conditionalFormatting sqref="D29:D34">
    <cfRule type="expression" dxfId="7" priority="20">
      <formula>NOT(EXACT(INDIRECT("Z"&amp;ROW()-1&amp;"S1",FALSE()), INDIRECT("Z"&amp;ROW()&amp;"S1",FALSE())))</formula>
    </cfRule>
  </conditionalFormatting>
  <conditionalFormatting sqref="D29:D34">
    <cfRule type="dataBar" priority="19">
      <dataBar>
        <cfvo type="num" val="0"/>
        <cfvo type="num" val="2"/>
        <color rgb="FF638EC6"/>
      </dataBar>
      <extLst>
        <ext xmlns:x14="http://schemas.microsoft.com/office/spreadsheetml/2009/9/main" uri="{B025F937-C7B1-47D3-B67F-A62EFF666E3E}">
          <x14:id>{BA03A15D-3BF4-4F7C-A254-DE2745237F92}</x14:id>
        </ext>
      </extLst>
    </cfRule>
  </conditionalFormatting>
  <conditionalFormatting sqref="D29:D34">
    <cfRule type="dataBar" priority="21">
      <dataBar>
        <cfvo type="num" val="0"/>
        <cfvo type="num" val="2"/>
        <color rgb="FF638EC6"/>
      </dataBar>
      <extLst>
        <ext xmlns:x14="http://schemas.microsoft.com/office/spreadsheetml/2009/9/main" uri="{B025F937-C7B1-47D3-B67F-A62EFF666E3E}">
          <x14:id>{1ABAA134-8C0C-4304-9CC1-05C66AFA6F14}</x14:id>
        </ext>
      </extLst>
    </cfRule>
  </conditionalFormatting>
  <conditionalFormatting sqref="E2:E4">
    <cfRule type="expression" dxfId="6" priority="14">
      <formula>NOT(EXACT(INDIRECT("Z"&amp;ROW()-1&amp;"S1",FALSE()), INDIRECT("Z"&amp;ROW()&amp;"S1",FALSE())))</formula>
    </cfRule>
  </conditionalFormatting>
  <conditionalFormatting sqref="D2 D4">
    <cfRule type="expression" dxfId="5" priority="15">
      <formula>NOT(EXACT(INDIRECT("Z"&amp;ROW()-1&amp;"S1",FALSE()), INDIRECT("Z"&amp;ROW()&amp;"S1",FALSE())))</formula>
    </cfRule>
  </conditionalFormatting>
  <conditionalFormatting sqref="D4">
    <cfRule type="dataBar" priority="16">
      <dataBar>
        <cfvo type="num" val="0"/>
        <cfvo type="num" val="2"/>
        <color rgb="FF638EC6"/>
      </dataBar>
    </cfRule>
  </conditionalFormatting>
  <conditionalFormatting sqref="D4 D2">
    <cfRule type="dataBar" priority="18">
      <dataBar>
        <cfvo type="num" val="0"/>
        <cfvo type="num" val="2"/>
        <color rgb="FF638EC6"/>
      </dataBar>
    </cfRule>
  </conditionalFormatting>
  <conditionalFormatting sqref="E2:E4 D2">
    <cfRule type="dataBar" priority="17">
      <dataBar>
        <cfvo type="num" val="0"/>
        <cfvo type="num" val="2"/>
        <color rgb="FF638EC6"/>
      </dataBar>
    </cfRule>
  </conditionalFormatting>
  <conditionalFormatting sqref="E5:E7">
    <cfRule type="expression" dxfId="4" priority="10">
      <formula>NOT(EXACT(INDIRECT("Z"&amp;ROW()-1&amp;"S1",FALSE()), INDIRECT("Z"&amp;ROW()&amp;"S1",FALSE())))</formula>
    </cfRule>
  </conditionalFormatting>
  <conditionalFormatting sqref="D5">
    <cfRule type="expression" dxfId="3" priority="11">
      <formula>NOT(EXACT(INDIRECT("Z"&amp;ROW()-1&amp;"S1",FALSE()), INDIRECT("Z"&amp;ROW()&amp;"S1",FALSE())))</formula>
    </cfRule>
  </conditionalFormatting>
  <conditionalFormatting sqref="D5">
    <cfRule type="dataBar" priority="13">
      <dataBar>
        <cfvo type="num" val="0"/>
        <cfvo type="num" val="2"/>
        <color rgb="FF638EC6"/>
      </dataBar>
    </cfRule>
  </conditionalFormatting>
  <conditionalFormatting sqref="E5:E7 D5">
    <cfRule type="dataBar" priority="12">
      <dataBar>
        <cfvo type="num" val="0"/>
        <cfvo type="num" val="2"/>
        <color rgb="FF638EC6"/>
      </dataBar>
    </cfRule>
  </conditionalFormatting>
  <conditionalFormatting sqref="E13:E15">
    <cfRule type="expression" dxfId="2" priority="4">
      <formula>NOT(EXACT(INDIRECT("Z"&amp;ROW()-1&amp;"S1",FALSE()), INDIRECT("Z"&amp;ROW()&amp;"S1",FALSE())))</formula>
    </cfRule>
  </conditionalFormatting>
  <conditionalFormatting sqref="D13 D15">
    <cfRule type="expression" dxfId="1" priority="6">
      <formula>NOT(EXACT(INDIRECT("Z"&amp;ROW()-1&amp;"S1",FALSE()), INDIRECT("Z"&amp;ROW()&amp;"S1",FALSE())))</formula>
    </cfRule>
  </conditionalFormatting>
  <conditionalFormatting sqref="D15 D13">
    <cfRule type="dataBar" priority="8">
      <dataBar>
        <cfvo type="num" val="0"/>
        <cfvo type="num" val="2"/>
        <color rgb="FF638EC6"/>
      </dataBar>
    </cfRule>
  </conditionalFormatting>
  <conditionalFormatting sqref="D15 D13">
    <cfRule type="dataBar" priority="7">
      <dataBar>
        <cfvo type="num" val="0"/>
        <cfvo type="num" val="2"/>
        <color rgb="FF638EC6"/>
      </dataBar>
    </cfRule>
  </conditionalFormatting>
  <conditionalFormatting sqref="D15">
    <cfRule type="dataBar" priority="5">
      <dataBar>
        <cfvo type="num" val="0"/>
        <cfvo type="num" val="2"/>
        <color rgb="FF638EC6"/>
      </dataBar>
    </cfRule>
  </conditionalFormatting>
  <conditionalFormatting sqref="E13:E15">
    <cfRule type="dataBar" priority="9">
      <dataBar>
        <cfvo type="num" val="0"/>
        <cfvo type="num" val="2"/>
        <color rgb="FF638EC6"/>
      </dataBar>
    </cfRule>
  </conditionalFormatting>
  <conditionalFormatting sqref="D20:E28">
    <cfRule type="expression" dxfId="0" priority="1">
      <formula>NOT(EXACT(INDIRECT("Z"&amp;ROW()-1&amp;"S1",FALSE()), INDIRECT("Z"&amp;ROW()&amp;"S1",FALSE())))</formula>
    </cfRule>
  </conditionalFormatting>
  <conditionalFormatting sqref="D20:E28">
    <cfRule type="dataBar" priority="2">
      <dataBar>
        <cfvo type="num" val="0"/>
        <cfvo type="num" val="2"/>
        <color rgb="FF638EC6"/>
      </dataBar>
    </cfRule>
    <cfRule type="dataBar" priority="3">
      <dataBar>
        <cfvo type="num" val="0"/>
        <cfvo type="num" val="2"/>
        <color rgb="FF638EC6"/>
      </dataBar>
    </cfRule>
  </conditionalFormatting>
  <dataValidations count="2">
    <dataValidation allowBlank="1" showInputMessage="1" showErrorMessage="1" promptTitle="Ratio (1)" prompt="Input/output quantities, relative to process throughput" sqref="D1" xr:uid="{73706E44-B610-4269-900C-5C5C4EFA180D}"/>
    <dataValidation allowBlank="1" showInputMessage="1" showErrorMessage="1" promptTitle="Ratio at minimum operation point" prompt="Input/Output ratio at point of minimum operation (min-fract in 'Process' sheet)._x000a__x000a_All values have to be larger/equal to ratio!" sqref="E1" xr:uid="{3B5FBBB4-BA90-468A-81AF-039ACB75B291}"/>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A5CB47E-A403-4FC8-A07D-1B98F5CCDCFE}">
            <x14:dataBar minLength="0" maxLength="100" gradient="0">
              <x14:cfvo type="num">
                <xm:f>0</xm:f>
              </x14:cfvo>
              <x14:cfvo type="num">
                <xm:f>2</xm:f>
              </x14:cfvo>
              <x14:negativeFillColor rgb="FFFF0000"/>
              <x14:axisColor rgb="FF000000"/>
            </x14:dataBar>
          </x14:cfRule>
          <xm:sqref>D8:D10</xm:sqref>
        </x14:conditionalFormatting>
        <x14:conditionalFormatting xmlns:xm="http://schemas.microsoft.com/office/excel/2006/main">
          <x14:cfRule type="dataBar" id="{A50A5A77-1F99-4313-9CAA-F618CF3AE7CE}">
            <x14:dataBar minLength="0" maxLength="100" gradient="0">
              <x14:cfvo type="num">
                <xm:f>0</xm:f>
              </x14:cfvo>
              <x14:cfvo type="num">
                <xm:f>2</xm:f>
              </x14:cfvo>
              <x14:negativeFillColor rgb="FFFF0000"/>
              <x14:axisColor rgb="FF000000"/>
            </x14:dataBar>
          </x14:cfRule>
          <xm:sqref>D8:D12 D16:D19</xm:sqref>
        </x14:conditionalFormatting>
        <x14:conditionalFormatting xmlns:xm="http://schemas.microsoft.com/office/excel/2006/main">
          <x14:cfRule type="dataBar" id="{84080411-6CE6-4BC8-BF99-F075B84CC1B2}">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8585FE5E-328F-4F2F-BDCF-6ACC4AC06A34}">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6D133BEA-F3E0-45B8-9596-79E8B842E0AB}">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209209DE-14AD-4343-8E4C-36877B1089B2}">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DBB509E5-C0C3-4A12-8C21-30192E79AF28}">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B2F80690-317E-4FED-A8EF-518AFDAC2505}">
            <x14:dataBar minLength="0" maxLength="100" gradient="0">
              <x14:cfvo type="num">
                <xm:f>0</xm:f>
              </x14:cfvo>
              <x14:cfvo type="num">
                <xm:f>2</xm:f>
              </x14:cfvo>
              <x14:negativeFillColor rgb="FFFF0000"/>
              <x14:axisColor rgb="FF000000"/>
            </x14:dataBar>
          </x14:cfRule>
          <xm:sqref>E30</xm:sqref>
        </x14:conditionalFormatting>
        <x14:conditionalFormatting xmlns:xm="http://schemas.microsoft.com/office/excel/2006/main">
          <x14:cfRule type="dataBar" id="{E64D4A45-A455-44EB-9001-901B634775C1}">
            <x14:dataBar minLength="0" maxLength="100" gradient="0">
              <x14:cfvo type="num">
                <xm:f>0</xm:f>
              </x14:cfvo>
              <x14:cfvo type="num">
                <xm:f>2</xm:f>
              </x14:cfvo>
              <x14:negativeFillColor rgb="FFFF0000"/>
              <x14:axisColor rgb="FF000000"/>
            </x14:dataBar>
          </x14:cfRule>
          <xm:sqref>E31</xm:sqref>
        </x14:conditionalFormatting>
        <x14:conditionalFormatting xmlns:xm="http://schemas.microsoft.com/office/excel/2006/main">
          <x14:cfRule type="dataBar" id="{A13650B6-46C1-4C4B-B515-8DC9A306BF80}">
            <x14:dataBar minLength="0" maxLength="100" gradient="0">
              <x14:cfvo type="num">
                <xm:f>0</xm:f>
              </x14:cfvo>
              <x14:cfvo type="num">
                <xm:f>2</xm:f>
              </x14:cfvo>
              <x14:negativeFillColor rgb="FFFF0000"/>
              <x14:axisColor rgb="FF000000"/>
            </x14:dataBar>
          </x14:cfRule>
          <xm:sqref>E32</xm:sqref>
        </x14:conditionalFormatting>
        <x14:conditionalFormatting xmlns:xm="http://schemas.microsoft.com/office/excel/2006/main">
          <x14:cfRule type="dataBar" id="{5A35979B-B8A0-497E-A6CA-F4030C23E267}">
            <x14:dataBar minLength="0" maxLength="100" gradient="0">
              <x14:cfvo type="num">
                <xm:f>0</xm:f>
              </x14:cfvo>
              <x14:cfvo type="num">
                <xm:f>2</xm:f>
              </x14:cfvo>
              <x14:negativeFillColor rgb="FFFF0000"/>
              <x14:axisColor rgb="FF000000"/>
            </x14:dataBar>
          </x14:cfRule>
          <xm:sqref>E33</xm:sqref>
        </x14:conditionalFormatting>
        <x14:conditionalFormatting xmlns:xm="http://schemas.microsoft.com/office/excel/2006/main">
          <x14:cfRule type="dataBar" id="{86E9678D-759E-46AB-B3FC-04203C95F294}">
            <x14:dataBar minLength="0" maxLength="100" gradient="0">
              <x14:cfvo type="num">
                <xm:f>0</xm:f>
              </x14:cfvo>
              <x14:cfvo type="num">
                <xm:f>2</xm:f>
              </x14:cfvo>
              <x14:negativeFillColor rgb="FFFF0000"/>
              <x14:axisColor rgb="FF000000"/>
            </x14:dataBar>
          </x14:cfRule>
          <xm:sqref>E34</xm:sqref>
        </x14:conditionalFormatting>
        <x14:conditionalFormatting xmlns:xm="http://schemas.microsoft.com/office/excel/2006/main">
          <x14:cfRule type="dataBar" id="{BA03A15D-3BF4-4F7C-A254-DE2745237F92}">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1ABAA134-8C0C-4304-9CC1-05C66AFA6F14}">
            <x14:dataBar minLength="0" maxLength="100" gradient="0">
              <x14:cfvo type="num">
                <xm:f>0</xm:f>
              </x14:cfvo>
              <x14:cfvo type="num">
                <xm:f>2</xm:f>
              </x14:cfvo>
              <x14:negativeFillColor rgb="FFFF0000"/>
              <x14:axisColor rgb="FF000000"/>
            </x14:dataBar>
          </x14:cfRule>
          <xm:sqref>D29:D34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
  <sheetViews>
    <sheetView workbookViewId="0"/>
  </sheetViews>
  <sheetFormatPr baseColWidth="10" defaultColWidth="9.109375" defaultRowHeight="14.4" x14ac:dyDescent="0.3"/>
  <sheetData>
    <row r="1" spans="1:15" x14ac:dyDescent="0.3">
      <c r="A1" s="1" t="s">
        <v>51</v>
      </c>
      <c r="B1" s="1" t="s">
        <v>52</v>
      </c>
      <c r="C1" s="1" t="s">
        <v>53</v>
      </c>
      <c r="D1" s="1" t="s">
        <v>11</v>
      </c>
      <c r="E1" s="1" t="s">
        <v>54</v>
      </c>
      <c r="F1" s="1" t="s">
        <v>33</v>
      </c>
      <c r="G1" s="1" t="s">
        <v>34</v>
      </c>
      <c r="H1" s="1" t="s">
        <v>35</v>
      </c>
      <c r="I1" s="1" t="s">
        <v>29</v>
      </c>
      <c r="J1" s="1" t="s">
        <v>30</v>
      </c>
      <c r="K1" s="1" t="s">
        <v>37</v>
      </c>
      <c r="L1" s="1" t="s">
        <v>38</v>
      </c>
      <c r="M1" s="1" t="s">
        <v>55</v>
      </c>
      <c r="N1" s="1" t="s">
        <v>56</v>
      </c>
      <c r="O1" s="1" t="s">
        <v>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
  <sheetViews>
    <sheetView workbookViewId="0"/>
  </sheetViews>
  <sheetFormatPr baseColWidth="10" defaultColWidth="9.109375" defaultRowHeight="14.4" x14ac:dyDescent="0.3"/>
  <sheetData>
    <row r="1" spans="1:20" x14ac:dyDescent="0.3">
      <c r="A1" s="1" t="s">
        <v>10</v>
      </c>
      <c r="B1" s="1" t="s">
        <v>58</v>
      </c>
      <c r="C1" s="1" t="s">
        <v>11</v>
      </c>
      <c r="D1" s="1" t="s">
        <v>59</v>
      </c>
      <c r="E1" s="1" t="s">
        <v>60</v>
      </c>
      <c r="F1" s="1" t="s">
        <v>61</v>
      </c>
      <c r="G1" s="1" t="s">
        <v>62</v>
      </c>
      <c r="H1" s="1" t="s">
        <v>63</v>
      </c>
      <c r="I1" s="1" t="s">
        <v>64</v>
      </c>
      <c r="J1" s="1" t="s">
        <v>65</v>
      </c>
      <c r="K1" s="1" t="s">
        <v>66</v>
      </c>
      <c r="L1" s="1" t="s">
        <v>67</v>
      </c>
      <c r="M1" s="1" t="s">
        <v>68</v>
      </c>
      <c r="N1" s="1" t="s">
        <v>69</v>
      </c>
      <c r="O1" s="1" t="s">
        <v>70</v>
      </c>
      <c r="P1" s="1" t="s">
        <v>37</v>
      </c>
      <c r="Q1" s="1" t="s">
        <v>38</v>
      </c>
      <c r="R1" s="1" t="s">
        <v>71</v>
      </c>
      <c r="S1" s="1" t="s">
        <v>72</v>
      </c>
      <c r="T1" s="1" t="s">
        <v>73</v>
      </c>
    </row>
    <row r="2" spans="1:20" x14ac:dyDescent="0.3">
      <c r="A2" t="s">
        <v>9</v>
      </c>
      <c r="B2" t="s">
        <v>74</v>
      </c>
      <c r="C2" t="s">
        <v>18</v>
      </c>
      <c r="D2">
        <v>0</v>
      </c>
      <c r="E2" t="s">
        <v>22</v>
      </c>
      <c r="F2">
        <v>0</v>
      </c>
      <c r="G2" t="s">
        <v>22</v>
      </c>
      <c r="H2">
        <v>0.69</v>
      </c>
      <c r="I2">
        <v>0.3</v>
      </c>
      <c r="J2">
        <v>366000</v>
      </c>
      <c r="K2">
        <v>0</v>
      </c>
      <c r="L2">
        <v>11000</v>
      </c>
      <c r="M2">
        <v>0</v>
      </c>
      <c r="N2">
        <v>0</v>
      </c>
      <c r="O2">
        <v>0</v>
      </c>
      <c r="P2">
        <v>7.2999999999999995E-2</v>
      </c>
      <c r="Q2">
        <v>25</v>
      </c>
      <c r="R2">
        <v>0.5</v>
      </c>
      <c r="S2">
        <v>3.4999999999999999E-6</v>
      </c>
    </row>
    <row r="3" spans="1:20" x14ac:dyDescent="0.3">
      <c r="A3" t="s">
        <v>9</v>
      </c>
      <c r="B3" t="s">
        <v>75</v>
      </c>
      <c r="C3" t="s">
        <v>18</v>
      </c>
      <c r="D3">
        <v>0</v>
      </c>
      <c r="E3" t="s">
        <v>22</v>
      </c>
      <c r="F3">
        <v>0</v>
      </c>
      <c r="G3" t="s">
        <v>22</v>
      </c>
      <c r="H3">
        <v>0.9</v>
      </c>
      <c r="I3">
        <v>0.9</v>
      </c>
      <c r="J3">
        <v>4412341</v>
      </c>
      <c r="K3">
        <v>0</v>
      </c>
      <c r="L3">
        <v>34383</v>
      </c>
      <c r="M3">
        <v>0</v>
      </c>
      <c r="N3">
        <v>8.1999999999999993</v>
      </c>
      <c r="O3">
        <v>0</v>
      </c>
      <c r="P3">
        <v>7.2999999999999995E-2</v>
      </c>
      <c r="Q3">
        <v>25</v>
      </c>
      <c r="R3">
        <v>0.5</v>
      </c>
      <c r="S3">
        <v>0</v>
      </c>
    </row>
    <row r="4" spans="1:20" x14ac:dyDescent="0.3">
      <c r="A4" t="s">
        <v>9</v>
      </c>
      <c r="B4" t="s">
        <v>76</v>
      </c>
      <c r="C4" t="s">
        <v>18</v>
      </c>
      <c r="D4">
        <v>0</v>
      </c>
      <c r="E4" t="s">
        <v>22</v>
      </c>
      <c r="F4">
        <v>0</v>
      </c>
      <c r="G4" t="s">
        <v>22</v>
      </c>
      <c r="H4">
        <v>0.86</v>
      </c>
      <c r="I4">
        <v>0.86</v>
      </c>
      <c r="J4">
        <v>0</v>
      </c>
      <c r="K4">
        <v>520000</v>
      </c>
      <c r="L4">
        <v>0</v>
      </c>
      <c r="M4">
        <v>5000</v>
      </c>
      <c r="N4">
        <v>0.4</v>
      </c>
      <c r="O4">
        <v>0</v>
      </c>
      <c r="P4">
        <v>7.2999999999999995E-2</v>
      </c>
      <c r="Q4">
        <v>25</v>
      </c>
      <c r="R4">
        <v>0.5</v>
      </c>
      <c r="S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
  <sheetViews>
    <sheetView workbookViewId="0"/>
  </sheetViews>
  <sheetFormatPr baseColWidth="10" defaultColWidth="9.109375" defaultRowHeight="14.4" x14ac:dyDescent="0.3"/>
  <sheetData>
    <row r="1" spans="1:7" x14ac:dyDescent="0.3">
      <c r="A1" s="1" t="s">
        <v>10</v>
      </c>
      <c r="B1" s="1" t="s">
        <v>11</v>
      </c>
      <c r="C1" s="1" t="s">
        <v>77</v>
      </c>
      <c r="D1" s="1" t="s">
        <v>54</v>
      </c>
      <c r="E1" s="1" t="s">
        <v>78</v>
      </c>
      <c r="F1" s="1" t="s">
        <v>79</v>
      </c>
      <c r="G1" s="1" t="s">
        <v>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4"/>
  <sheetViews>
    <sheetView workbookViewId="0">
      <selection activeCell="E15" sqref="E15"/>
    </sheetView>
  </sheetViews>
  <sheetFormatPr baseColWidth="10" defaultColWidth="9.109375" defaultRowHeight="14.4" x14ac:dyDescent="0.3"/>
  <cols>
    <col min="2" max="2" width="10" bestFit="1" customWidth="1"/>
  </cols>
  <sheetData>
    <row r="1" spans="1:2" x14ac:dyDescent="0.3">
      <c r="A1" s="1" t="s">
        <v>81</v>
      </c>
      <c r="B1" s="1" t="s">
        <v>82</v>
      </c>
    </row>
    <row r="2" spans="1:2" x14ac:dyDescent="0.3">
      <c r="A2">
        <v>0</v>
      </c>
      <c r="B2">
        <v>0</v>
      </c>
    </row>
    <row r="3" spans="1:2" x14ac:dyDescent="0.3">
      <c r="A3">
        <v>1</v>
      </c>
      <c r="B3">
        <v>436619792</v>
      </c>
    </row>
    <row r="4" spans="1:2" x14ac:dyDescent="0.3">
      <c r="A4">
        <v>2</v>
      </c>
      <c r="B4">
        <v>436619792</v>
      </c>
    </row>
    <row r="5" spans="1:2" x14ac:dyDescent="0.3">
      <c r="A5">
        <v>3</v>
      </c>
      <c r="B5">
        <v>436619792</v>
      </c>
    </row>
    <row r="6" spans="1:2" x14ac:dyDescent="0.3">
      <c r="A6">
        <v>4</v>
      </c>
      <c r="B6">
        <v>436619792</v>
      </c>
    </row>
    <row r="7" spans="1:2" x14ac:dyDescent="0.3">
      <c r="A7">
        <v>5</v>
      </c>
      <c r="B7">
        <v>436619792</v>
      </c>
    </row>
    <row r="8" spans="1:2" x14ac:dyDescent="0.3">
      <c r="A8">
        <v>6</v>
      </c>
      <c r="B8">
        <v>436619792</v>
      </c>
    </row>
    <row r="9" spans="1:2" x14ac:dyDescent="0.3">
      <c r="A9">
        <v>7</v>
      </c>
      <c r="B9">
        <v>436619792</v>
      </c>
    </row>
    <row r="10" spans="1:2" x14ac:dyDescent="0.3">
      <c r="A10">
        <v>8</v>
      </c>
      <c r="B10">
        <v>436619792</v>
      </c>
    </row>
    <row r="11" spans="1:2" x14ac:dyDescent="0.3">
      <c r="A11">
        <v>9</v>
      </c>
      <c r="B11">
        <v>436619792</v>
      </c>
    </row>
    <row r="12" spans="1:2" x14ac:dyDescent="0.3">
      <c r="A12">
        <v>10</v>
      </c>
      <c r="B12">
        <v>436619792</v>
      </c>
    </row>
    <row r="13" spans="1:2" x14ac:dyDescent="0.3">
      <c r="A13">
        <v>11</v>
      </c>
      <c r="B13">
        <v>436619792</v>
      </c>
    </row>
    <row r="14" spans="1:2" x14ac:dyDescent="0.3">
      <c r="A14">
        <v>12</v>
      </c>
      <c r="B14">
        <v>436619792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4"/>
  <sheetViews>
    <sheetView workbookViewId="0">
      <selection activeCell="C1" sqref="B1:C1048576"/>
    </sheetView>
  </sheetViews>
  <sheetFormatPr baseColWidth="10" defaultColWidth="9.109375" defaultRowHeight="14.4" x14ac:dyDescent="0.3"/>
  <sheetData>
    <row r="1" spans="1:2" x14ac:dyDescent="0.3">
      <c r="A1" s="2" t="s">
        <v>81</v>
      </c>
      <c r="B1" s="3" t="s">
        <v>83</v>
      </c>
    </row>
    <row r="2" spans="1:2" x14ac:dyDescent="0.3">
      <c r="A2" s="4">
        <v>0</v>
      </c>
      <c r="B2" s="5">
        <v>0</v>
      </c>
    </row>
    <row r="3" spans="1:2" x14ac:dyDescent="0.3">
      <c r="A3" s="4">
        <v>1</v>
      </c>
      <c r="B3" s="6">
        <v>0.20699999999999999</v>
      </c>
    </row>
    <row r="4" spans="1:2" x14ac:dyDescent="0.3">
      <c r="A4" s="4">
        <v>2</v>
      </c>
      <c r="B4" s="6">
        <v>0.20699999999999999</v>
      </c>
    </row>
    <row r="5" spans="1:2" x14ac:dyDescent="0.3">
      <c r="A5" s="4">
        <v>3</v>
      </c>
      <c r="B5" s="6">
        <v>0.20699999999999999</v>
      </c>
    </row>
    <row r="6" spans="1:2" x14ac:dyDescent="0.3">
      <c r="A6" s="4">
        <v>4</v>
      </c>
      <c r="B6" s="6">
        <v>0.20699999999999999</v>
      </c>
    </row>
    <row r="7" spans="1:2" x14ac:dyDescent="0.3">
      <c r="A7" s="4">
        <v>5</v>
      </c>
      <c r="B7" s="6">
        <v>0.20699999999999999</v>
      </c>
    </row>
    <row r="8" spans="1:2" x14ac:dyDescent="0.3">
      <c r="A8" s="4">
        <v>6</v>
      </c>
      <c r="B8" s="6">
        <v>0.20699999999999999</v>
      </c>
    </row>
    <row r="9" spans="1:2" x14ac:dyDescent="0.3">
      <c r="A9" s="4">
        <v>7</v>
      </c>
      <c r="B9" s="6">
        <v>0.20699999999999999</v>
      </c>
    </row>
    <row r="10" spans="1:2" x14ac:dyDescent="0.3">
      <c r="A10" s="4">
        <v>8</v>
      </c>
      <c r="B10" s="6">
        <v>0.20699999999999999</v>
      </c>
    </row>
    <row r="11" spans="1:2" x14ac:dyDescent="0.3">
      <c r="A11" s="4">
        <v>9</v>
      </c>
      <c r="B11" s="6">
        <v>0.20699999999999999</v>
      </c>
    </row>
    <row r="12" spans="1:2" x14ac:dyDescent="0.3">
      <c r="A12" s="4">
        <v>10</v>
      </c>
      <c r="B12" s="6">
        <v>0.20699999999999999</v>
      </c>
    </row>
    <row r="13" spans="1:2" x14ac:dyDescent="0.3">
      <c r="A13" s="4">
        <v>11</v>
      </c>
      <c r="B13" s="6">
        <v>0.20699999999999999</v>
      </c>
    </row>
    <row r="14" spans="1:2" x14ac:dyDescent="0.3">
      <c r="A14" s="4">
        <v>12</v>
      </c>
      <c r="B14" s="6">
        <v>0.20699999999999999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
  <sheetViews>
    <sheetView workbookViewId="0"/>
  </sheetViews>
  <sheetFormatPr baseColWidth="10" defaultColWidth="9.109375" defaultRowHeight="14.4" x14ac:dyDescent="0.3"/>
  <sheetData>
    <row r="1" spans="1:3" x14ac:dyDescent="0.3">
      <c r="A1" s="1" t="s">
        <v>81</v>
      </c>
      <c r="B1" s="1" t="s">
        <v>84</v>
      </c>
      <c r="C1" s="1" t="s">
        <v>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
  <sheetViews>
    <sheetView workbookViewId="0"/>
  </sheetViews>
  <sheetFormatPr baseColWidth="10" defaultColWidth="9.109375" defaultRowHeight="14.4" x14ac:dyDescent="0.3"/>
  <sheetData>
    <row r="1" spans="1:3" x14ac:dyDescent="0.3">
      <c r="A1" s="1" t="s">
        <v>81</v>
      </c>
      <c r="B1" s="1" t="s">
        <v>86</v>
      </c>
      <c r="C1" s="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Oitzinger</cp:lastModifiedBy>
  <dcterms:created xsi:type="dcterms:W3CDTF">2024-11-06T10:08:33Z</dcterms:created>
  <dcterms:modified xsi:type="dcterms:W3CDTF">2025-09-16T09:12:23Z</dcterms:modified>
</cp:coreProperties>
</file>