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3A190835-8D4D-42A6-AFF5-258C33D2A6B7}" xr6:coauthVersionLast="47" xr6:coauthVersionMax="47" xr10:uidLastSave="{00000000-0000-0000-0000-000000000000}"/>
  <bookViews>
    <workbookView xWindow="-108" yWindow="-108" windowWidth="23256" windowHeight="12456" tabRatio="796" activeTab="3"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<sst xmlns="http://schemas.openxmlformats.org/spreadsheetml/2006/main" count="292" uniqueCount="105">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</sst>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0">
    <xf numFmtId="0" fontId="0" fillId="0" borderId="0" xfId="0"/>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1" customWidth="1"/>
    <col min="2" max="2" width="17.33203125" style="31" bestFit="1" customWidth="1"/>
    <col min="3" max="3" width="74.88671875" style="31" bestFit="1" customWidth="1"/>
    <col min="4" max="16384" width="11.44140625" style="31"/>
  </cols>
  <sheetData>
    <row r="1" spans="1:3">
      <c r="A1" s="29" t="s">
        <v>59</v>
      </c>
      <c r="B1" s="30" t="s">
        <v>61</v>
      </c>
      <c r="C1" s="30" t="s">
        <v>62</v>
      </c>
    </row>
    <row r="2" spans="1:3">
      <c r="A2" s="32" t="s">
        <v>65</v>
      </c>
      <c r="B2" s="36">
        <v>2024</v>
      </c>
      <c r="C2" s="28" t="s">
        <v>66</v>
      </c>
    </row>
    <row r="3" spans="1:3">
      <c r="A3" s="32" t="s">
        <v>67</v>
      </c>
      <c r="B3" s="36">
        <v>0.03</v>
      </c>
      <c r="C3" s="28" t="s">
        <v>68</v>
      </c>
    </row>
    <row r="4" spans="1:3" ht="43.2">
      <c r="A4" s="32" t="s">
        <v>60</v>
      </c>
      <c r="B4" s="58" t="s">
        <v>27</v>
      </c>
      <c r="C4" s="28" t="s">
        <v>69</v>
      </c>
    </row>
    <row r="5" spans="1:3">
      <c r="A5" s="32" t="s">
        <v>75</v>
      </c>
      <c r="B5" s="37" t="s">
        <v>27</v>
      </c>
      <c r="C5" s="28" t="s">
        <v>70</v>
      </c>
    </row>
    <row r="6" spans="1:3" ht="28.8">
      <c r="A6" s="32" t="s">
        <v>71</v>
      </c>
      <c r="B6" s="57" t="s">
        <v>27</v>
      </c>
      <c r="C6" s="28" t="s">
        <v>72</v>
      </c>
    </row>
    <row r="7" spans="1:3">
      <c r="B7" s="57"/>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1" t="s">
        <v>56</v>
      </c>
    </row>
    <row r="2" spans="1:2">
      <c r="A2" s="3" t="s">
        <v>93</v>
      </c>
      <c r="B2" s="6">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E18" sqref="E18"/>
    </sheetView>
  </sheetViews>
  <sheetFormatPr baseColWidth="10" defaultColWidth="11.44140625" defaultRowHeight="14.4"/>
  <cols>
    <col min="1" max="1" width="10.6640625" style="2" customWidth="1"/>
    <col min="2" max="2" width="13.5546875" style="2" bestFit="1" customWidth="1"/>
    <col min="3" max="3" width="10.6640625" style="2" customWidth="1"/>
    <col min="4" max="4" width="10.6640625" style="8" customWidth="1"/>
    <col min="5" max="5" width="16.33203125" style="8" customWidth="1"/>
    <col min="6" max="6" width="13.88671875" style="9" bestFit="1" customWidth="1"/>
    <col min="7" max="16384" width="11.44140625" style="2"/>
  </cols>
  <sheetData>
    <row r="1" spans="1:6" customFormat="1">
      <c r="A1" t="s">
        <v>43</v>
      </c>
      <c r="B1" t="s">
        <v>38</v>
      </c>
      <c r="C1" t="s">
        <v>2</v>
      </c>
      <c r="D1" s="11" t="s">
        <v>6</v>
      </c>
      <c r="E1" s="11" t="s">
        <v>7</v>
      </c>
      <c r="F1" s="10" t="s">
        <v>63</v>
      </c>
    </row>
    <row r="2" spans="1:6">
      <c r="A2" s="3" t="s">
        <v>93</v>
      </c>
      <c r="B2" s="3" t="s">
        <v>1</v>
      </c>
      <c r="C2" s="3" t="s">
        <v>3</v>
      </c>
      <c r="D2" s="27" t="e">
        <f>NA()</f>
        <v>#N/A</v>
      </c>
      <c r="E2" s="27" t="e">
        <f>NA()</f>
        <v>#N/A</v>
      </c>
      <c r="F2" s="27" t="e">
        <f>NA()</f>
        <v>#N/A</v>
      </c>
    </row>
    <row r="3" spans="1:6">
      <c r="A3" s="3" t="s">
        <v>93</v>
      </c>
      <c r="B3" s="3" t="s">
        <v>35</v>
      </c>
      <c r="C3" s="3" t="s">
        <v>4</v>
      </c>
      <c r="D3" s="27" t="e">
        <f>NA()</f>
        <v>#N/A</v>
      </c>
      <c r="E3" s="27" t="e">
        <f>NA()</f>
        <v>#N/A</v>
      </c>
      <c r="F3" s="27" t="e">
        <f>NA()</f>
        <v>#N/A</v>
      </c>
    </row>
    <row r="4" spans="1:6">
      <c r="A4" s="3" t="s">
        <v>93</v>
      </c>
      <c r="B4" s="3" t="s">
        <v>36</v>
      </c>
      <c r="C4" s="3" t="s">
        <v>5</v>
      </c>
      <c r="D4">
        <v>8.64</v>
      </c>
      <c r="E4">
        <v>372611941.46341461</v>
      </c>
      <c r="F4" s="7" t="s">
        <v>27</v>
      </c>
    </row>
    <row r="5" spans="1:6">
      <c r="A5" s="3" t="s">
        <v>93</v>
      </c>
      <c r="B5" s="3" t="s">
        <v>103</v>
      </c>
      <c r="C5" s="3" t="s">
        <v>5</v>
      </c>
      <c r="D5">
        <v>22.68</v>
      </c>
      <c r="E5" s="6" t="s">
        <v>27</v>
      </c>
      <c r="F5" s="7" t="s">
        <v>27</v>
      </c>
    </row>
    <row r="6" spans="1:6">
      <c r="A6" s="3" t="s">
        <v>93</v>
      </c>
      <c r="B6" s="3" t="s">
        <v>25</v>
      </c>
      <c r="C6" s="3" t="s">
        <v>26</v>
      </c>
      <c r="D6">
        <v>65</v>
      </c>
      <c r="E6" s="6" t="s">
        <v>27</v>
      </c>
      <c r="F6" s="6" t="s">
        <v>27</v>
      </c>
    </row>
    <row r="7" spans="1:6">
      <c r="A7" s="3" t="s">
        <v>93</v>
      </c>
      <c r="B7" s="3" t="s">
        <v>90</v>
      </c>
      <c r="C7" s="3" t="s">
        <v>5</v>
      </c>
      <c r="D7">
        <v>67.680000000000007</v>
      </c>
      <c r="E7" s="6" t="s">
        <v>27</v>
      </c>
      <c r="F7" s="7" t="s">
        <v>27</v>
      </c>
    </row>
    <row r="8" spans="1:6">
      <c r="A8" s="3" t="s">
        <v>93</v>
      </c>
      <c r="B8" s="3" t="s">
        <v>91</v>
      </c>
      <c r="C8" s="3" t="s">
        <v>5</v>
      </c>
      <c r="D8">
        <v>6.12</v>
      </c>
      <c r="E8" s="6" t="s">
        <v>27</v>
      </c>
      <c r="F8" s="7" t="s">
        <v>27</v>
      </c>
    </row>
    <row r="9" spans="1:6">
      <c r="A9" s="3" t="s">
        <v>93</v>
      </c>
      <c r="B9" s="3" t="s">
        <v>92</v>
      </c>
      <c r="C9" s="3" t="s">
        <v>5</v>
      </c>
      <c r="D9">
        <v>6.48</v>
      </c>
      <c r="E9">
        <v>240351818.66666669</v>
      </c>
      <c r="F9" s="7" t="s">
        <v>27</v>
      </c>
    </row>
    <row r="10" spans="1:6">
      <c r="A10" s="3" t="s">
        <v>93</v>
      </c>
      <c r="B10" s="3" t="s">
        <v>97</v>
      </c>
      <c r="C10" s="3" t="s">
        <v>5</v>
      </c>
      <c r="D10">
        <v>33.119999999999997</v>
      </c>
      <c r="E10">
        <v>27775463.399999999</v>
      </c>
      <c r="F10" s="7" t="s">
        <v>27</v>
      </c>
    </row>
    <row r="11" spans="1:6">
      <c r="A11" s="3" t="s">
        <v>93</v>
      </c>
      <c r="B11" s="3" t="s">
        <v>104</v>
      </c>
      <c r="C11" s="3" t="s">
        <v>5</v>
      </c>
      <c r="D11">
        <v>5</v>
      </c>
      <c r="E11">
        <v>184548562.5</v>
      </c>
      <c r="F11" s="7"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tabSelected="1" workbookViewId="0">
      <selection activeCell="D6" sqref="D6"/>
    </sheetView>
  </sheetViews>
  <sheetFormatPr baseColWidth="10" defaultColWidth="11.44140625" defaultRowHeight="14.4"/>
  <cols>
    <col min="1" max="1" width="10.6640625" style="2" customWidth="1"/>
    <col min="2" max="2" width="16.33203125" style="2" bestFit="1" customWidth="1"/>
    <col min="3" max="5" width="10.6640625" style="19" customWidth="1"/>
    <col min="6" max="6" width="20.109375" style="19" customWidth="1"/>
    <col min="7" max="7" width="18.109375" style="19" customWidth="1"/>
    <col min="8" max="8" width="10.6640625" style="2" customWidth="1"/>
    <col min="9" max="9" width="24" style="19" customWidth="1"/>
    <col min="10" max="10" width="10.6640625" style="19" customWidth="1"/>
    <col min="11" max="11" width="10.6640625" style="21" customWidth="1"/>
    <col min="12" max="12" width="16.109375" style="2" bestFit="1" customWidth="1"/>
    <col min="13" max="13" width="10.5546875" style="2" customWidth="1"/>
    <col min="14" max="14" width="14.88671875" style="22" bestFit="1" customWidth="1"/>
    <col min="15" max="15" width="14.88671875" style="2" bestFit="1" customWidth="1"/>
    <col min="16" max="16384" width="11.44140625" style="2"/>
  </cols>
  <sheetData>
    <row r="1" spans="1:15" customFormat="1">
      <c r="A1" t="s">
        <v>43</v>
      </c>
      <c r="B1" t="s">
        <v>42</v>
      </c>
      <c r="C1" s="16" t="s">
        <v>8</v>
      </c>
      <c r="D1" s="16" t="s">
        <v>73</v>
      </c>
      <c r="E1" s="16" t="s">
        <v>9</v>
      </c>
      <c r="F1" s="16" t="s">
        <v>10</v>
      </c>
      <c r="G1" s="16" t="s">
        <v>49</v>
      </c>
      <c r="H1" s="35" t="s">
        <v>55</v>
      </c>
      <c r="I1" s="16" t="s">
        <v>12</v>
      </c>
      <c r="J1" s="16" t="s">
        <v>13</v>
      </c>
      <c r="K1" s="18" t="s">
        <v>14</v>
      </c>
      <c r="L1" s="35" t="s">
        <v>74</v>
      </c>
      <c r="M1" s="15" t="s">
        <v>15</v>
      </c>
      <c r="N1" s="15" t="s">
        <v>16</v>
      </c>
      <c r="O1" s="15" t="s">
        <v>57</v>
      </c>
    </row>
    <row r="2" spans="1:15">
      <c r="A2" s="2" t="s">
        <v>93</v>
      </c>
      <c r="B2" s="2" t="s">
        <v>86</v>
      </c>
      <c r="C2" s="19">
        <v>56122</v>
      </c>
      <c r="D2" s="19">
        <v>6</v>
      </c>
      <c r="E2" s="19">
        <v>0</v>
      </c>
      <c r="F2" s="19">
        <v>56122</v>
      </c>
      <c r="G2" s="49" t="s">
        <v>27</v>
      </c>
      <c r="H2" s="50">
        <v>0</v>
      </c>
      <c r="I2" s="53">
        <v>1784013.3447999998</v>
      </c>
      <c r="J2" s="54">
        <v>28544.213516800002</v>
      </c>
      <c r="K2" s="51">
        <v>2.7</v>
      </c>
      <c r="L2" s="52">
        <v>0</v>
      </c>
      <c r="M2" s="41">
        <v>7.0999999999999994E-2</v>
      </c>
      <c r="N2" s="52">
        <v>40</v>
      </c>
      <c r="O2" s="27" t="e">
        <v>#N/A</v>
      </c>
    </row>
    <row r="3" spans="1:15">
      <c r="A3" s="2" t="s">
        <v>93</v>
      </c>
      <c r="B3" s="2" t="s">
        <v>98</v>
      </c>
      <c r="C3" s="19">
        <v>43599</v>
      </c>
      <c r="D3" s="19">
        <v>6</v>
      </c>
      <c r="E3" s="19">
        <v>0</v>
      </c>
      <c r="F3" s="19">
        <v>43599</v>
      </c>
      <c r="G3" s="49" t="s">
        <v>27</v>
      </c>
      <c r="H3" s="50">
        <v>0</v>
      </c>
      <c r="I3" s="51">
        <v>2230016.6809999999</v>
      </c>
      <c r="J3" s="51">
        <v>52182.390330800001</v>
      </c>
      <c r="K3" s="52">
        <v>4.5999999999999996</v>
      </c>
      <c r="L3" s="52">
        <v>0</v>
      </c>
      <c r="M3" s="41">
        <v>7.0999999999999994E-2</v>
      </c>
      <c r="N3" s="52">
        <v>40</v>
      </c>
      <c r="O3" s="27" t="e">
        <v>#N/A</v>
      </c>
    </row>
    <row r="4" spans="1:15">
      <c r="A4" s="2" t="s">
        <v>93</v>
      </c>
      <c r="B4" s="2" t="s">
        <v>87</v>
      </c>
      <c r="C4" s="19">
        <v>187303</v>
      </c>
      <c r="D4" s="19">
        <v>25</v>
      </c>
      <c r="E4" s="19">
        <v>0</v>
      </c>
      <c r="F4" s="19">
        <v>999999</v>
      </c>
      <c r="G4" s="49" t="s">
        <v>27</v>
      </c>
      <c r="H4" s="2">
        <v>0</v>
      </c>
      <c r="I4" s="51">
        <v>802808.92800000007</v>
      </c>
      <c r="J4" s="51">
        <v>16725.186000000002</v>
      </c>
      <c r="K4" s="52">
        <v>2.6</v>
      </c>
      <c r="L4" s="53">
        <v>0</v>
      </c>
      <c r="M4" s="41">
        <v>7.0999999999999994E-2</v>
      </c>
      <c r="N4" s="52">
        <v>25</v>
      </c>
      <c r="O4" s="27" t="e">
        <v>#N/A</v>
      </c>
    </row>
    <row r="5" spans="1:15">
      <c r="A5" s="2" t="s">
        <v>93</v>
      </c>
      <c r="B5" s="2" t="s">
        <v>99</v>
      </c>
      <c r="C5" s="19">
        <v>13483</v>
      </c>
      <c r="D5" s="19">
        <v>10</v>
      </c>
      <c r="E5" s="19">
        <v>0</v>
      </c>
      <c r="F5" s="19">
        <v>13483</v>
      </c>
      <c r="G5" s="49" t="s">
        <v>27</v>
      </c>
      <c r="H5" s="2">
        <v>0</v>
      </c>
      <c r="I5">
        <v>5648000</v>
      </c>
      <c r="J5" s="59">
        <v>16725.186000000002</v>
      </c>
      <c r="K5">
        <v>2.6</v>
      </c>
      <c r="L5" s="53">
        <v>0</v>
      </c>
      <c r="M5" s="41">
        <v>7.0999999999999994E-2</v>
      </c>
      <c r="N5" s="52">
        <v>25</v>
      </c>
      <c r="O5" s="27" t="e">
        <v>#N/A</v>
      </c>
    </row>
    <row r="6" spans="1:15">
      <c r="A6" s="2" t="s">
        <v>93</v>
      </c>
      <c r="B6" s="2" t="s">
        <v>100</v>
      </c>
      <c r="C6" s="19">
        <v>14578</v>
      </c>
      <c r="D6" s="19">
        <v>5</v>
      </c>
      <c r="E6" s="19">
        <v>0</v>
      </c>
      <c r="F6" s="19">
        <v>14578</v>
      </c>
      <c r="G6" s="49" t="s">
        <v>27</v>
      </c>
      <c r="H6" s="2">
        <v>0</v>
      </c>
      <c r="I6">
        <v>5648000</v>
      </c>
      <c r="J6" s="59">
        <v>16725.186000000002</v>
      </c>
      <c r="K6">
        <v>2.6</v>
      </c>
      <c r="L6" s="53">
        <v>0</v>
      </c>
      <c r="M6" s="41">
        <v>7.0999999999999994E-2</v>
      </c>
      <c r="N6" s="52">
        <v>25</v>
      </c>
      <c r="O6" s="27" t="e">
        <v>#N/A</v>
      </c>
    </row>
    <row r="7" spans="1:15">
      <c r="A7" s="2" t="s">
        <v>93</v>
      </c>
      <c r="B7" s="2" t="s">
        <v>101</v>
      </c>
      <c r="C7" s="19">
        <v>0</v>
      </c>
      <c r="D7" s="19">
        <v>0</v>
      </c>
      <c r="E7" s="19">
        <v>0</v>
      </c>
      <c r="F7" s="19">
        <v>100000</v>
      </c>
      <c r="G7" s="49" t="s">
        <v>27</v>
      </c>
      <c r="H7" s="50">
        <v>0.5</v>
      </c>
      <c r="I7" s="52">
        <v>3791028.3572399998</v>
      </c>
      <c r="J7" s="52">
        <v>84183.129702000006</v>
      </c>
      <c r="K7" s="52">
        <v>6.75</v>
      </c>
      <c r="L7" s="53">
        <v>0</v>
      </c>
      <c r="M7" s="41">
        <v>7.0999999999999994E-2</v>
      </c>
      <c r="N7" s="52">
        <v>40</v>
      </c>
      <c r="O7" s="27" t="e">
        <v>#N/A</v>
      </c>
    </row>
    <row r="8" spans="1:15">
      <c r="A8" s="2" t="s">
        <v>93</v>
      </c>
      <c r="B8" s="2" t="s">
        <v>102</v>
      </c>
      <c r="C8" s="19">
        <v>0</v>
      </c>
      <c r="D8" s="19">
        <v>0</v>
      </c>
      <c r="E8" s="19">
        <v>0</v>
      </c>
      <c r="F8" s="19">
        <v>100000</v>
      </c>
      <c r="G8" s="49" t="s">
        <v>27</v>
      </c>
      <c r="H8" s="50">
        <v>0.65</v>
      </c>
      <c r="I8" s="52">
        <v>4014030.0248799999</v>
      </c>
      <c r="J8" s="52">
        <v>76489.572146799997</v>
      </c>
      <c r="K8" s="52">
        <v>6.96</v>
      </c>
      <c r="L8" s="53">
        <v>0</v>
      </c>
      <c r="M8" s="41">
        <v>7.0999999999999994E-2</v>
      </c>
      <c r="N8" s="52">
        <v>40</v>
      </c>
      <c r="O8" s="27" t="e">
        <v>#N/A</v>
      </c>
    </row>
    <row r="9" spans="1:15">
      <c r="A9" s="2" t="s">
        <v>93</v>
      </c>
      <c r="B9" s="2" t="s">
        <v>96</v>
      </c>
      <c r="C9" s="19">
        <v>0</v>
      </c>
      <c r="D9" s="19">
        <v>0</v>
      </c>
      <c r="E9" s="19">
        <v>0</v>
      </c>
      <c r="F9" s="19">
        <v>100000</v>
      </c>
      <c r="G9" s="49" t="s">
        <v>27</v>
      </c>
      <c r="H9" s="2">
        <v>0</v>
      </c>
      <c r="I9" s="52">
        <v>1951271.6999999997</v>
      </c>
      <c r="J9" s="52">
        <v>45715.5</v>
      </c>
      <c r="K9" s="52">
        <v>3.46</v>
      </c>
      <c r="L9" s="53">
        <v>0</v>
      </c>
      <c r="M9" s="41">
        <v>7.0999999999999994E-2</v>
      </c>
      <c r="N9" s="52">
        <v>25</v>
      </c>
      <c r="O9" s="27" t="e">
        <v>#N/A</v>
      </c>
    </row>
    <row r="10" spans="1:15">
      <c r="A10" s="2" t="s">
        <v>93</v>
      </c>
      <c r="B10" s="48" t="s">
        <v>88</v>
      </c>
      <c r="C10" s="19">
        <v>94198</v>
      </c>
      <c r="D10" s="19">
        <v>55</v>
      </c>
      <c r="E10" s="19">
        <v>0</v>
      </c>
      <c r="F10" s="19">
        <v>94198</v>
      </c>
      <c r="G10" s="49" t="s">
        <v>27</v>
      </c>
      <c r="H10" s="2">
        <v>0.7</v>
      </c>
      <c r="I10" s="51">
        <v>5909565.7200000007</v>
      </c>
      <c r="J10" s="54">
        <v>133801.48800000001</v>
      </c>
      <c r="K10" s="51">
        <v>7.1</v>
      </c>
      <c r="L10" s="52">
        <v>0</v>
      </c>
      <c r="M10" s="41">
        <v>7.0999999999999994E-2</v>
      </c>
      <c r="N10" s="52">
        <v>60</v>
      </c>
      <c r="O10" s="27" t="e">
        <v>#N/A</v>
      </c>
    </row>
    <row r="11" spans="1:15">
      <c r="A11" s="2" t="s">
        <v>93</v>
      </c>
      <c r="B11" s="48" t="s">
        <v>84</v>
      </c>
      <c r="C11" s="19">
        <v>46703</v>
      </c>
      <c r="D11" s="19">
        <v>30</v>
      </c>
      <c r="E11" s="19">
        <v>0</v>
      </c>
      <c r="F11" s="19">
        <v>46703</v>
      </c>
      <c r="G11" s="49" t="s">
        <v>27</v>
      </c>
      <c r="H11" s="2">
        <v>0.3</v>
      </c>
      <c r="I11" s="51">
        <v>2731780.3800000004</v>
      </c>
      <c r="J11" s="51">
        <v>9923.6103600000006</v>
      </c>
      <c r="K11" s="51">
        <v>0</v>
      </c>
      <c r="L11" s="52">
        <v>0</v>
      </c>
      <c r="M11" s="41">
        <v>7.0999999999999994E-2</v>
      </c>
      <c r="N11" s="52">
        <v>60</v>
      </c>
      <c r="O11" s="27" t="e">
        <v>#N/A</v>
      </c>
    </row>
    <row r="12" spans="1:15">
      <c r="A12" s="2" t="s">
        <v>93</v>
      </c>
      <c r="B12" s="48" t="s">
        <v>85</v>
      </c>
      <c r="C12" s="19">
        <v>61218</v>
      </c>
      <c r="D12" s="19">
        <v>30</v>
      </c>
      <c r="E12" s="19">
        <v>0</v>
      </c>
      <c r="F12" s="19">
        <v>61218</v>
      </c>
      <c r="G12" s="49" t="s">
        <v>27</v>
      </c>
      <c r="H12" s="2">
        <v>0.3</v>
      </c>
      <c r="I12" s="52">
        <v>3345037.2</v>
      </c>
      <c r="J12" s="52">
        <v>28432.799999999999</v>
      </c>
      <c r="K12" s="52">
        <v>0.35699999999999998</v>
      </c>
      <c r="L12" s="52">
        <v>0</v>
      </c>
      <c r="M12" s="41">
        <v>7.0999999999999994E-2</v>
      </c>
      <c r="N12" s="52">
        <v>50</v>
      </c>
      <c r="O12" s="27" t="e">
        <v>#N/A</v>
      </c>
    </row>
    <row r="13" spans="1:15">
      <c r="A13" s="2" t="s">
        <v>93</v>
      </c>
      <c r="B13" s="48" t="s">
        <v>89</v>
      </c>
      <c r="C13" s="19">
        <v>18651</v>
      </c>
      <c r="D13" s="19">
        <v>10</v>
      </c>
      <c r="E13" s="19">
        <v>0</v>
      </c>
      <c r="F13" s="19">
        <v>999999</v>
      </c>
      <c r="G13" s="49" t="s">
        <v>27</v>
      </c>
      <c r="H13" s="2">
        <v>0</v>
      </c>
      <c r="I13" s="55">
        <v>5648000</v>
      </c>
      <c r="J13" s="55">
        <v>0</v>
      </c>
      <c r="K13" s="55">
        <v>44.2</v>
      </c>
      <c r="L13" s="52">
        <v>0</v>
      </c>
      <c r="M13" s="41">
        <v>7.0999999999999994E-2</v>
      </c>
      <c r="N13" s="52">
        <v>25</v>
      </c>
      <c r="O13" s="27"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D2" sqref="D2"/>
    </sheetView>
  </sheetViews>
  <sheetFormatPr baseColWidth="10" defaultColWidth="11.44140625" defaultRowHeight="14.4"/>
  <cols>
    <col min="1" max="1" width="16.33203125" style="2" bestFit="1" customWidth="1"/>
    <col min="2" max="2" width="13.5546875" style="2" bestFit="1" customWidth="1"/>
    <col min="3" max="3" width="11.44140625" style="2" bestFit="1" customWidth="1"/>
    <col min="4" max="4" width="20.6640625" style="20" customWidth="1"/>
    <col min="5" max="5" width="18.5546875" style="20" customWidth="1"/>
    <col min="6" max="16384" width="11.44140625" style="2"/>
  </cols>
  <sheetData>
    <row r="1" spans="1:5" customFormat="1">
      <c r="A1" t="s">
        <v>42</v>
      </c>
      <c r="B1" t="s">
        <v>38</v>
      </c>
      <c r="C1" t="s">
        <v>37</v>
      </c>
      <c r="D1" s="17" t="s">
        <v>41</v>
      </c>
      <c r="E1" s="17" t="s">
        <v>54</v>
      </c>
    </row>
    <row r="2" spans="1:5">
      <c r="A2" s="2" t="s">
        <v>98</v>
      </c>
      <c r="B2" s="3" t="s">
        <v>36</v>
      </c>
      <c r="C2" s="3" t="s">
        <v>39</v>
      </c>
      <c r="D2" s="23">
        <v>2.4390243902439024</v>
      </c>
      <c r="E2" s="23">
        <v>2.4390243902439024</v>
      </c>
    </row>
    <row r="3" spans="1:5">
      <c r="A3" s="2" t="s">
        <v>98</v>
      </c>
      <c r="B3" s="3" t="s">
        <v>35</v>
      </c>
      <c r="C3" s="3" t="s">
        <v>40</v>
      </c>
      <c r="D3" s="23">
        <v>1</v>
      </c>
      <c r="E3" s="23">
        <v>1</v>
      </c>
    </row>
    <row r="4" spans="1:5">
      <c r="A4" s="2" t="s">
        <v>98</v>
      </c>
      <c r="B4" s="3" t="s">
        <v>25</v>
      </c>
      <c r="C4" s="3" t="s">
        <v>40</v>
      </c>
      <c r="D4" s="23">
        <v>0.88536585365853659</v>
      </c>
      <c r="E4" s="23">
        <v>0.88536585365853659</v>
      </c>
    </row>
    <row r="5" spans="1:5">
      <c r="A5" s="56" t="s">
        <v>87</v>
      </c>
      <c r="B5" s="3" t="s">
        <v>103</v>
      </c>
      <c r="C5" s="3" t="s">
        <v>39</v>
      </c>
      <c r="D5" s="23">
        <v>2.04</v>
      </c>
      <c r="E5" s="23">
        <v>2.04</v>
      </c>
    </row>
    <row r="6" spans="1:5">
      <c r="A6" s="56" t="s">
        <v>87</v>
      </c>
      <c r="B6" s="3" t="s">
        <v>35</v>
      </c>
      <c r="C6" s="3" t="s">
        <v>40</v>
      </c>
      <c r="D6" s="23">
        <v>1</v>
      </c>
      <c r="E6" s="23">
        <v>1</v>
      </c>
    </row>
    <row r="7" spans="1:5">
      <c r="A7" s="56" t="s">
        <v>87</v>
      </c>
      <c r="B7" s="3" t="s">
        <v>25</v>
      </c>
      <c r="C7" s="3" t="s">
        <v>40</v>
      </c>
      <c r="D7" s="23">
        <v>0.41208</v>
      </c>
      <c r="E7" s="23">
        <v>0.41208</v>
      </c>
    </row>
    <row r="8" spans="1:5">
      <c r="A8" s="56" t="s">
        <v>89</v>
      </c>
      <c r="B8" s="3" t="s">
        <v>90</v>
      </c>
      <c r="C8" s="3" t="s">
        <v>39</v>
      </c>
      <c r="D8" s="23">
        <v>2.8571428571428572</v>
      </c>
      <c r="E8" s="23">
        <v>2.8571428571428572</v>
      </c>
    </row>
    <row r="9" spans="1:5">
      <c r="A9" s="56" t="s">
        <v>89</v>
      </c>
      <c r="B9" s="3" t="s">
        <v>35</v>
      </c>
      <c r="C9" s="3" t="s">
        <v>40</v>
      </c>
      <c r="D9" s="23">
        <v>1</v>
      </c>
      <c r="E9" s="23">
        <v>1</v>
      </c>
    </row>
    <row r="10" spans="1:5">
      <c r="A10" s="56" t="s">
        <v>89</v>
      </c>
      <c r="B10" s="3" t="s">
        <v>25</v>
      </c>
      <c r="C10" s="3" t="s">
        <v>40</v>
      </c>
      <c r="D10" s="23">
        <v>0</v>
      </c>
      <c r="E10" s="23">
        <v>0</v>
      </c>
    </row>
    <row r="11" spans="1:5">
      <c r="A11" s="56" t="s">
        <v>88</v>
      </c>
      <c r="B11" s="3" t="s">
        <v>91</v>
      </c>
      <c r="C11" s="3" t="s">
        <v>39</v>
      </c>
      <c r="D11" s="23">
        <v>2.6315789473684212</v>
      </c>
      <c r="E11" s="23">
        <v>2.6315789473684212</v>
      </c>
    </row>
    <row r="12" spans="1:5">
      <c r="A12" s="56" t="s">
        <v>88</v>
      </c>
      <c r="B12" s="3" t="s">
        <v>35</v>
      </c>
      <c r="C12" s="3" t="s">
        <v>40</v>
      </c>
      <c r="D12" s="23">
        <v>1</v>
      </c>
      <c r="E12" s="23">
        <v>1</v>
      </c>
    </row>
    <row r="13" spans="1:5">
      <c r="A13" s="56" t="s">
        <v>86</v>
      </c>
      <c r="B13" s="3" t="s">
        <v>92</v>
      </c>
      <c r="C13" s="3" t="s">
        <v>39</v>
      </c>
      <c r="D13" s="23">
        <v>2.2222222222222223</v>
      </c>
      <c r="E13" s="23">
        <v>2.2222222222222223</v>
      </c>
    </row>
    <row r="14" spans="1:5">
      <c r="A14" s="56" t="s">
        <v>86</v>
      </c>
      <c r="B14" s="3" t="s">
        <v>35</v>
      </c>
      <c r="C14" s="3" t="s">
        <v>40</v>
      </c>
      <c r="D14" s="23">
        <v>1</v>
      </c>
      <c r="E14" s="23">
        <v>1</v>
      </c>
    </row>
    <row r="15" spans="1:5">
      <c r="A15" s="56" t="s">
        <v>86</v>
      </c>
      <c r="B15" s="3" t="s">
        <v>25</v>
      </c>
      <c r="C15" s="3" t="s">
        <v>40</v>
      </c>
      <c r="D15" s="23">
        <v>0.75955555555555554</v>
      </c>
      <c r="E15" s="23">
        <v>0.75955555555555554</v>
      </c>
    </row>
    <row r="16" spans="1:5">
      <c r="A16" s="56" t="s">
        <v>84</v>
      </c>
      <c r="B16" s="3" t="s">
        <v>1</v>
      </c>
      <c r="C16" s="3" t="s">
        <v>39</v>
      </c>
      <c r="D16" s="23">
        <v>1</v>
      </c>
      <c r="E16" s="23">
        <v>1</v>
      </c>
    </row>
    <row r="17" spans="1:5">
      <c r="A17" s="56" t="s">
        <v>84</v>
      </c>
      <c r="B17" s="3" t="s">
        <v>35</v>
      </c>
      <c r="C17" s="3" t="s">
        <v>40</v>
      </c>
      <c r="D17" s="23">
        <v>1</v>
      </c>
      <c r="E17" s="23">
        <v>1</v>
      </c>
    </row>
    <row r="18" spans="1:5">
      <c r="A18" s="56" t="s">
        <v>85</v>
      </c>
      <c r="B18" s="3" t="s">
        <v>1</v>
      </c>
      <c r="C18" s="3" t="s">
        <v>39</v>
      </c>
      <c r="D18" s="23">
        <v>1</v>
      </c>
      <c r="E18" s="23">
        <v>1</v>
      </c>
    </row>
    <row r="19" spans="1:5">
      <c r="A19" s="56" t="s">
        <v>85</v>
      </c>
      <c r="B19" s="3" t="s">
        <v>35</v>
      </c>
      <c r="C19" s="3" t="s">
        <v>40</v>
      </c>
      <c r="D19" s="23">
        <v>1</v>
      </c>
      <c r="E19" s="23">
        <v>1</v>
      </c>
    </row>
    <row r="20" spans="1:5">
      <c r="A20" s="2" t="s">
        <v>101</v>
      </c>
      <c r="B20" s="3" t="s">
        <v>92</v>
      </c>
      <c r="C20" s="3" t="s">
        <v>39</v>
      </c>
      <c r="D20" s="23">
        <v>2.7777777777777777</v>
      </c>
      <c r="E20" s="23">
        <v>2.7777777777777777</v>
      </c>
    </row>
    <row r="21" spans="1:5">
      <c r="A21" s="2" t="s">
        <v>101</v>
      </c>
      <c r="B21" s="3" t="s">
        <v>35</v>
      </c>
      <c r="C21" s="3" t="s">
        <v>40</v>
      </c>
      <c r="D21" s="23">
        <v>1</v>
      </c>
      <c r="E21" s="23">
        <v>1</v>
      </c>
    </row>
    <row r="22" spans="1:5">
      <c r="A22" s="2" t="s">
        <v>101</v>
      </c>
      <c r="B22" s="3" t="s">
        <v>25</v>
      </c>
      <c r="C22" s="3" t="s">
        <v>40</v>
      </c>
      <c r="D22" s="23">
        <v>9.4944444444444442E-2</v>
      </c>
      <c r="E22" s="23">
        <v>9.4944444444444442E-2</v>
      </c>
    </row>
    <row r="23" spans="1:5">
      <c r="A23" s="2" t="s">
        <v>102</v>
      </c>
      <c r="B23" s="3" t="s">
        <v>92</v>
      </c>
      <c r="C23" s="3" t="s">
        <v>39</v>
      </c>
      <c r="D23" s="23">
        <v>3.125</v>
      </c>
      <c r="E23" s="23">
        <v>3.125</v>
      </c>
    </row>
    <row r="24" spans="1:5">
      <c r="A24" s="2" t="s">
        <v>102</v>
      </c>
      <c r="B24" s="3" t="s">
        <v>35</v>
      </c>
      <c r="C24" s="3" t="s">
        <v>40</v>
      </c>
      <c r="D24" s="23">
        <v>1</v>
      </c>
      <c r="E24" s="23">
        <v>1</v>
      </c>
    </row>
    <row r="25" spans="1:5">
      <c r="A25" s="2" t="s">
        <v>102</v>
      </c>
      <c r="B25" s="3" t="s">
        <v>25</v>
      </c>
      <c r="C25" s="3" t="s">
        <v>40</v>
      </c>
      <c r="D25" s="23">
        <v>0.1134375</v>
      </c>
      <c r="E25" s="23">
        <v>0.1134375</v>
      </c>
    </row>
    <row r="26" spans="1:5">
      <c r="A26" s="56" t="s">
        <v>96</v>
      </c>
      <c r="B26" s="3" t="s">
        <v>103</v>
      </c>
      <c r="C26" s="3" t="s">
        <v>39</v>
      </c>
      <c r="D26" s="23">
        <v>2.5</v>
      </c>
      <c r="E26" s="23">
        <v>2.5</v>
      </c>
    </row>
    <row r="27" spans="1:5">
      <c r="A27" s="56" t="s">
        <v>96</v>
      </c>
      <c r="B27" s="3" t="s">
        <v>35</v>
      </c>
      <c r="C27" s="3" t="s">
        <v>40</v>
      </c>
      <c r="D27" s="23">
        <v>1</v>
      </c>
      <c r="E27" s="23">
        <v>1</v>
      </c>
    </row>
    <row r="28" spans="1:5">
      <c r="A28" s="56" t="s">
        <v>96</v>
      </c>
      <c r="B28" s="3" t="s">
        <v>25</v>
      </c>
      <c r="C28" s="3" t="s">
        <v>40</v>
      </c>
      <c r="D28" s="23">
        <v>5.1250000000000004E-2</v>
      </c>
      <c r="E28" s="23">
        <v>5.1250000000000004E-2</v>
      </c>
    </row>
    <row r="29" spans="1:5">
      <c r="A29" s="2" t="s">
        <v>99</v>
      </c>
      <c r="B29" s="3" t="s">
        <v>104</v>
      </c>
      <c r="C29" s="3" t="s">
        <v>39</v>
      </c>
      <c r="D29" s="23">
        <v>2.5</v>
      </c>
      <c r="E29" s="23">
        <v>2.5</v>
      </c>
    </row>
    <row r="30" spans="1:5">
      <c r="A30" s="2" t="s">
        <v>99</v>
      </c>
      <c r="B30" s="3" t="s">
        <v>35</v>
      </c>
      <c r="C30" s="3" t="s">
        <v>40</v>
      </c>
      <c r="D30" s="23">
        <v>1</v>
      </c>
      <c r="E30" s="23">
        <v>1</v>
      </c>
    </row>
    <row r="31" spans="1:5">
      <c r="A31" s="2" t="s">
        <v>99</v>
      </c>
      <c r="B31" s="3" t="s">
        <v>25</v>
      </c>
      <c r="C31" s="3" t="s">
        <v>40</v>
      </c>
      <c r="D31" s="23">
        <v>0.66749999999999998</v>
      </c>
      <c r="E31" s="23">
        <v>0.66749999999999998</v>
      </c>
    </row>
    <row r="32" spans="1:5">
      <c r="A32" s="2" t="s">
        <v>100</v>
      </c>
      <c r="B32" s="3" t="s">
        <v>97</v>
      </c>
      <c r="C32" s="3" t="s">
        <v>39</v>
      </c>
      <c r="D32" s="23">
        <v>2.5</v>
      </c>
      <c r="E32" s="23">
        <v>2.5</v>
      </c>
    </row>
    <row r="33" spans="1:5">
      <c r="A33" s="2" t="s">
        <v>100</v>
      </c>
      <c r="B33" s="3" t="s">
        <v>35</v>
      </c>
      <c r="C33" s="3" t="s">
        <v>40</v>
      </c>
      <c r="D33" s="23">
        <v>1</v>
      </c>
      <c r="E33" s="23">
        <v>1</v>
      </c>
    </row>
    <row r="34" spans="1:5">
      <c r="A34" s="2" t="s">
        <v>100</v>
      </c>
      <c r="B34" s="3" t="s">
        <v>25</v>
      </c>
      <c r="C34" s="3" t="s">
        <v>40</v>
      </c>
      <c r="D34" s="23">
        <v>0.66749999999999998</v>
      </c>
      <c r="E34" s="23">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0" customWidth="1"/>
    <col min="7" max="7" width="11.6640625" style="19" bestFit="1" customWidth="1"/>
    <col min="8" max="8" width="10.6640625" style="19" customWidth="1"/>
    <col min="9" max="9" width="10.6640625" style="22" customWidth="1"/>
    <col min="10" max="13" width="10.6640625" style="19" customWidth="1"/>
    <col min="14" max="14" width="14.88671875" style="22"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7" t="s">
        <v>11</v>
      </c>
      <c r="F1" s="17" t="s">
        <v>73</v>
      </c>
      <c r="G1" s="16" t="s">
        <v>12</v>
      </c>
      <c r="H1" s="16" t="s">
        <v>13</v>
      </c>
      <c r="I1" s="15" t="s">
        <v>14</v>
      </c>
      <c r="J1" s="16" t="s">
        <v>8</v>
      </c>
      <c r="K1" s="16" t="s">
        <v>9</v>
      </c>
      <c r="L1" s="16" t="s">
        <v>10</v>
      </c>
      <c r="M1" s="15" t="s">
        <v>15</v>
      </c>
      <c r="N1" s="15" t="s">
        <v>16</v>
      </c>
      <c r="O1" s="15" t="s">
        <v>76</v>
      </c>
      <c r="P1" s="15" t="s">
        <v>77</v>
      </c>
      <c r="Q1" s="15"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2" customWidth="1"/>
    <col min="2" max="2" width="13.109375" style="2" customWidth="1"/>
    <col min="3" max="3" width="13.5546875" style="2" bestFit="1" customWidth="1"/>
    <col min="4" max="4" width="12.109375" style="19" bestFit="1" customWidth="1"/>
    <col min="5" max="5" width="10.5546875" style="19" bestFit="1" customWidth="1"/>
    <col min="6" max="6" width="11.109375" style="19" bestFit="1" customWidth="1"/>
    <col min="7" max="7" width="12.44140625" style="19" bestFit="1" customWidth="1"/>
    <col min="8" max="8" width="10.88671875" style="19" bestFit="1" customWidth="1"/>
    <col min="9" max="9" width="11.44140625" style="19" bestFit="1" customWidth="1"/>
    <col min="10" max="11" width="10.6640625" style="22" customWidth="1"/>
    <col min="12" max="12" width="12.44140625" style="19" bestFit="1" customWidth="1"/>
    <col min="13" max="13" width="12.109375" style="22" bestFit="1" customWidth="1"/>
    <col min="14" max="14" width="12" style="19" bestFit="1" customWidth="1"/>
    <col min="15" max="15" width="11.6640625" style="22" bestFit="1" customWidth="1"/>
    <col min="16" max="16" width="12.44140625" style="22" bestFit="1" customWidth="1"/>
    <col min="17" max="19" width="12.109375" style="22" customWidth="1"/>
    <col min="20" max="20" width="14.88671875" style="22" bestFit="1" customWidth="1"/>
    <col min="21" max="21" width="10.6640625" style="22" customWidth="1"/>
    <col min="22" max="22" width="12.109375" style="22" bestFit="1" customWidth="1"/>
    <col min="23" max="16384" width="11.44140625" style="2"/>
  </cols>
  <sheetData>
    <row r="1" spans="1:23">
      <c r="A1" s="2" t="s">
        <v>43</v>
      </c>
      <c r="B1" s="2" t="s">
        <v>44</v>
      </c>
      <c r="C1" s="2" t="s">
        <v>38</v>
      </c>
      <c r="D1" s="16" t="s">
        <v>17</v>
      </c>
      <c r="E1" s="16" t="s">
        <v>19</v>
      </c>
      <c r="F1" s="16" t="s">
        <v>21</v>
      </c>
      <c r="G1" s="16" t="s">
        <v>18</v>
      </c>
      <c r="H1" s="16" t="s">
        <v>20</v>
      </c>
      <c r="I1" s="16" t="s">
        <v>22</v>
      </c>
      <c r="J1" s="15" t="s">
        <v>23</v>
      </c>
      <c r="K1" s="15" t="s">
        <v>24</v>
      </c>
      <c r="L1" s="16" t="s">
        <v>29</v>
      </c>
      <c r="M1" s="15" t="s">
        <v>28</v>
      </c>
      <c r="N1" s="16" t="s">
        <v>30</v>
      </c>
      <c r="O1" s="15" t="s">
        <v>31</v>
      </c>
      <c r="P1" s="15" t="s">
        <v>32</v>
      </c>
      <c r="Q1" s="15" t="s">
        <v>33</v>
      </c>
      <c r="R1" s="15" t="s">
        <v>73</v>
      </c>
      <c r="S1" s="15" t="s">
        <v>15</v>
      </c>
      <c r="T1" s="15" t="s">
        <v>16</v>
      </c>
      <c r="U1" s="15" t="s">
        <v>34</v>
      </c>
      <c r="V1" s="15" t="s">
        <v>58</v>
      </c>
      <c r="W1" s="35" t="s">
        <v>64</v>
      </c>
    </row>
    <row r="2" spans="1:23">
      <c r="A2" s="2" t="s">
        <v>93</v>
      </c>
      <c r="B2" s="40" t="s">
        <v>81</v>
      </c>
      <c r="C2" s="40" t="s">
        <v>35</v>
      </c>
      <c r="D2" s="38">
        <v>0</v>
      </c>
      <c r="E2" s="38">
        <v>0</v>
      </c>
      <c r="F2" s="38" t="s">
        <v>27</v>
      </c>
      <c r="G2" s="38">
        <v>0</v>
      </c>
      <c r="H2" s="38">
        <v>0</v>
      </c>
      <c r="I2" s="38" t="s">
        <v>27</v>
      </c>
      <c r="J2" s="43">
        <v>0.66</v>
      </c>
      <c r="K2" s="42">
        <v>0.3</v>
      </c>
      <c r="L2" s="43">
        <v>565000</v>
      </c>
      <c r="M2" s="24">
        <v>0</v>
      </c>
      <c r="N2" s="43">
        <v>12000</v>
      </c>
      <c r="O2" s="24">
        <v>0</v>
      </c>
      <c r="P2" s="24">
        <v>0</v>
      </c>
      <c r="Q2" s="24">
        <v>0</v>
      </c>
      <c r="R2" s="24">
        <v>0</v>
      </c>
      <c r="S2" s="41">
        <v>7.0999999999999994E-2</v>
      </c>
      <c r="T2" s="43">
        <v>25</v>
      </c>
      <c r="U2" s="24">
        <v>0.5</v>
      </c>
      <c r="V2" s="39">
        <v>3.4999999999999999E-6</v>
      </c>
      <c r="W2" s="24"/>
    </row>
    <row r="3" spans="1:23">
      <c r="A3" s="2" t="s">
        <v>93</v>
      </c>
      <c r="B3" s="40" t="s">
        <v>82</v>
      </c>
      <c r="C3" s="40" t="s">
        <v>35</v>
      </c>
      <c r="D3" s="38">
        <v>0</v>
      </c>
      <c r="E3" s="38">
        <v>0</v>
      </c>
      <c r="F3" s="38" t="s">
        <v>27</v>
      </c>
      <c r="G3" s="38">
        <v>0</v>
      </c>
      <c r="H3" s="38">
        <v>0</v>
      </c>
      <c r="I3" s="38" t="s">
        <v>27</v>
      </c>
      <c r="J3" s="44">
        <v>0.9</v>
      </c>
      <c r="K3" s="44">
        <v>0.9</v>
      </c>
      <c r="L3" s="43">
        <v>4412341</v>
      </c>
      <c r="M3" s="43">
        <v>0</v>
      </c>
      <c r="N3" s="43">
        <v>34383</v>
      </c>
      <c r="O3" s="43">
        <f>0.05*M3</f>
        <v>0</v>
      </c>
      <c r="P3" s="43">
        <v>8.1999999999999993</v>
      </c>
      <c r="Q3" s="24">
        <v>0</v>
      </c>
      <c r="R3" s="24">
        <v>0</v>
      </c>
      <c r="S3" s="41">
        <v>7.0999999999999994E-2</v>
      </c>
      <c r="T3" s="43">
        <v>25</v>
      </c>
      <c r="U3" s="24">
        <v>0.5</v>
      </c>
      <c r="V3" s="45">
        <v>0</v>
      </c>
      <c r="W3" s="24"/>
    </row>
    <row r="4" spans="1:23">
      <c r="A4" s="2" t="s">
        <v>93</v>
      </c>
      <c r="B4" s="46" t="s">
        <v>83</v>
      </c>
      <c r="C4" s="40" t="s">
        <v>35</v>
      </c>
      <c r="D4" s="38">
        <v>0</v>
      </c>
      <c r="E4" s="38">
        <v>0</v>
      </c>
      <c r="F4" s="38" t="s">
        <v>27</v>
      </c>
      <c r="G4" s="38">
        <v>0</v>
      </c>
      <c r="H4" s="38">
        <v>0</v>
      </c>
      <c r="I4" s="38" t="s">
        <v>27</v>
      </c>
      <c r="J4" s="47">
        <v>0.86</v>
      </c>
      <c r="K4" s="47">
        <v>0.86</v>
      </c>
      <c r="L4" s="43">
        <v>0</v>
      </c>
      <c r="M4" s="43">
        <v>520000</v>
      </c>
      <c r="N4" s="43">
        <v>0</v>
      </c>
      <c r="O4" s="43">
        <v>5000</v>
      </c>
      <c r="P4" s="43">
        <v>0.4</v>
      </c>
      <c r="Q4" s="24">
        <v>0</v>
      </c>
      <c r="R4" s="24">
        <v>0</v>
      </c>
      <c r="S4" s="41">
        <v>7.0999999999999994E-2</v>
      </c>
      <c r="T4" s="47">
        <v>15</v>
      </c>
      <c r="U4" s="24">
        <v>0.5</v>
      </c>
      <c r="V4" s="24">
        <v>0</v>
      </c>
      <c r="W4" s="24"/>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4" bestFit="1" customWidth="1"/>
    <col min="5" max="5" width="8.44140625" bestFit="1" customWidth="1"/>
    <col min="6" max="7" width="14" bestFit="1" customWidth="1"/>
  </cols>
  <sheetData>
    <row r="1" spans="1:7">
      <c r="A1" s="2" t="s">
        <v>43</v>
      </c>
      <c r="B1" s="2" t="s">
        <v>38</v>
      </c>
      <c r="C1" s="16" t="s">
        <v>50</v>
      </c>
      <c r="D1" s="33" t="s">
        <v>11</v>
      </c>
      <c r="E1" s="16" t="s">
        <v>51</v>
      </c>
      <c r="F1" s="16" t="s">
        <v>52</v>
      </c>
      <c r="G1" s="16"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1"/>
    <col min="2" max="2" width="12.6640625" style="1" bestFit="1" customWidth="1"/>
    <col min="3" max="16384" width="11.44140625" style="1"/>
  </cols>
  <sheetData>
    <row r="1" spans="1:2">
      <c r="A1" s="12" t="s">
        <v>0</v>
      </c>
      <c r="B1" s="5" t="s">
        <v>94</v>
      </c>
    </row>
    <row r="2" spans="1:2">
      <c r="A2" s="4">
        <v>0</v>
      </c>
      <c r="B2" s="25">
        <v>0</v>
      </c>
    </row>
    <row r="3" spans="1:2">
      <c r="A3" s="4">
        <v>1</v>
      </c>
      <c r="B3">
        <v>209666667</v>
      </c>
    </row>
    <row r="4" spans="1:2">
      <c r="A4" s="4">
        <v>2</v>
      </c>
      <c r="B4">
        <v>209666667</v>
      </c>
    </row>
    <row r="5" spans="1:2">
      <c r="A5" s="4">
        <v>3</v>
      </c>
      <c r="B5">
        <v>209666667</v>
      </c>
    </row>
    <row r="6" spans="1:2">
      <c r="A6" s="4">
        <v>4</v>
      </c>
      <c r="B6">
        <v>209666667</v>
      </c>
    </row>
    <row r="7" spans="1:2">
      <c r="A7" s="4">
        <v>5</v>
      </c>
      <c r="B7">
        <v>209666667</v>
      </c>
    </row>
    <row r="8" spans="1:2">
      <c r="A8" s="4">
        <v>6</v>
      </c>
      <c r="B8">
        <v>209666667</v>
      </c>
    </row>
    <row r="9" spans="1:2">
      <c r="A9" s="4">
        <v>7</v>
      </c>
      <c r="B9">
        <v>209666667</v>
      </c>
    </row>
    <row r="10" spans="1:2">
      <c r="A10" s="4">
        <v>8</v>
      </c>
      <c r="B10">
        <v>209666667</v>
      </c>
    </row>
    <row r="11" spans="1:2">
      <c r="A11" s="4">
        <v>9</v>
      </c>
      <c r="B11">
        <v>209666667</v>
      </c>
    </row>
    <row r="12" spans="1:2">
      <c r="A12" s="4">
        <v>10</v>
      </c>
      <c r="B12">
        <v>209666667</v>
      </c>
    </row>
    <row r="13" spans="1:2">
      <c r="A13" s="4">
        <v>11</v>
      </c>
      <c r="B13">
        <v>209666667</v>
      </c>
    </row>
    <row r="14" spans="1:2">
      <c r="A14" s="4">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sqref="A1:A1048576"/>
    </sheetView>
  </sheetViews>
  <sheetFormatPr baseColWidth="10" defaultColWidth="11.44140625" defaultRowHeight="14.4"/>
  <cols>
    <col min="1" max="16384" width="11.44140625" style="1"/>
  </cols>
  <sheetData>
    <row r="1" spans="1:2" s="14" customFormat="1">
      <c r="A1" s="12" t="s">
        <v>0</v>
      </c>
      <c r="B1" s="13" t="s">
        <v>95</v>
      </c>
    </row>
    <row r="2" spans="1:2">
      <c r="A2" s="4">
        <v>0</v>
      </c>
      <c r="B2" s="26">
        <v>0</v>
      </c>
    </row>
    <row r="3" spans="1:2">
      <c r="A3" s="4">
        <v>1</v>
      </c>
      <c r="B3" s="26">
        <v>0.33750000000000002</v>
      </c>
    </row>
    <row r="4" spans="1:2">
      <c r="A4" s="4">
        <v>2</v>
      </c>
      <c r="B4" s="26">
        <v>0.33750000000000002</v>
      </c>
    </row>
    <row r="5" spans="1:2">
      <c r="A5" s="4">
        <v>3</v>
      </c>
      <c r="B5" s="26">
        <v>0.33750000000000002</v>
      </c>
    </row>
    <row r="6" spans="1:2">
      <c r="A6" s="4">
        <v>4</v>
      </c>
      <c r="B6" s="26">
        <v>0.33750000000000002</v>
      </c>
    </row>
    <row r="7" spans="1:2">
      <c r="A7" s="4">
        <v>5</v>
      </c>
      <c r="B7" s="26">
        <v>0.33750000000000002</v>
      </c>
    </row>
    <row r="8" spans="1:2">
      <c r="A8" s="4">
        <v>6</v>
      </c>
      <c r="B8" s="26">
        <v>0.33750000000000002</v>
      </c>
    </row>
    <row r="9" spans="1:2">
      <c r="A9" s="4">
        <v>7</v>
      </c>
      <c r="B9" s="26">
        <v>0.33750000000000002</v>
      </c>
    </row>
    <row r="10" spans="1:2">
      <c r="A10" s="4">
        <v>8</v>
      </c>
      <c r="B10" s="26">
        <v>0.33750000000000002</v>
      </c>
    </row>
    <row r="11" spans="1:2">
      <c r="A11" s="4">
        <v>9</v>
      </c>
      <c r="B11" s="26">
        <v>0.33750000000000002</v>
      </c>
    </row>
    <row r="12" spans="1:2">
      <c r="A12" s="4">
        <v>10</v>
      </c>
      <c r="B12" s="26">
        <v>0.33750000000000002</v>
      </c>
    </row>
    <row r="13" spans="1:2">
      <c r="A13" s="4">
        <v>11</v>
      </c>
      <c r="B13" s="26">
        <v>0.33750000000000002</v>
      </c>
    </row>
    <row r="14" spans="1:2">
      <c r="A14" s="4">
        <v>12</v>
      </c>
      <c r="B14" s="26">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1"/>
  </cols>
  <sheetData>
    <row r="1" spans="1:3" s="14" customFormat="1">
      <c r="A1" s="14" t="s">
        <v>0</v>
      </c>
      <c r="B1" s="14" t="s">
        <v>79</v>
      </c>
      <c r="C1" s="14"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14"/>
  <sheetViews>
    <sheetView workbookViewId="0">
      <selection activeCell="N17" sqref="N17"/>
    </sheetView>
  </sheetViews>
  <sheetFormatPr baseColWidth="10" defaultColWidth="11.44140625" defaultRowHeight="14.4"/>
  <cols>
    <col min="1" max="1" width="11.44140625" style="1"/>
  </cols>
  <sheetData>
    <row r="1" spans="1:2">
      <c r="A1" s="12" t="s">
        <v>0</v>
      </c>
      <c r="B1" s="5"/>
    </row>
    <row r="2" spans="1:2">
      <c r="A2" s="4">
        <v>0</v>
      </c>
    </row>
    <row r="3" spans="1:2">
      <c r="A3" s="4">
        <v>1</v>
      </c>
    </row>
    <row r="4" spans="1:2">
      <c r="A4" s="4">
        <v>2</v>
      </c>
    </row>
    <row r="5" spans="1:2">
      <c r="A5" s="4">
        <v>3</v>
      </c>
    </row>
    <row r="6" spans="1:2">
      <c r="A6" s="4">
        <v>4</v>
      </c>
    </row>
    <row r="7" spans="1:2">
      <c r="A7" s="4">
        <v>5</v>
      </c>
    </row>
    <row r="8" spans="1:2">
      <c r="A8" s="4">
        <v>6</v>
      </c>
    </row>
    <row r="9" spans="1:2">
      <c r="A9" s="4">
        <v>7</v>
      </c>
    </row>
    <row r="10" spans="1:2">
      <c r="A10" s="4">
        <v>8</v>
      </c>
    </row>
    <row r="11" spans="1:2">
      <c r="A11" s="4">
        <v>9</v>
      </c>
    </row>
    <row r="12" spans="1:2">
      <c r="A12" s="4">
        <v>10</v>
      </c>
    </row>
    <row r="13" spans="1:2">
      <c r="A13" s="4">
        <v>11</v>
      </c>
    </row>
    <row r="14" spans="1:2">
      <c r="A14" s="4">
        <v>12</v>
      </c>
    </row>
  </sheetData>
  <dataValidations count="1">
    <dataValidation allowBlank="1" showInputMessage="1" showErrorMessage="1" promptTitle="Demand" prompt="Demand (MWh) of commodity Co in site Sit for each time step. Column title: &quot;Co.Sit&quot;" sqref="B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2025-10-10T09:47:06Z</dcterms:modified>
</cp:coreProperties>
</file>