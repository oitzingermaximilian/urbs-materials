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11E2FD60-D69D-44E9-9FEF-6E9362103348}" xr6:coauthVersionLast="47" xr6:coauthVersionMax="47" xr10:uidLastSave="{00000000-0000-0000-0000-000000000000}"/>
  <bookViews>
    <workbookView xWindow="28680" yWindow="-5445" windowWidth="38640" windowHeight="21120" activeTab="2"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E3" i="3"/>
  <c r="D3" i="3"/>
  <c r="F2" i="3"/>
  <c r="E2" i="3"/>
  <c r="D2" i="3"/>
  <c r="E34" i="5"/>
  <c r="E33" i="5"/>
  <c r="E31" i="5"/>
  <c r="E30" i="5"/>
  <c r="E32" i="5" s="1"/>
  <c r="E28" i="5"/>
  <c r="E27" i="5"/>
  <c r="E29" i="5" s="1"/>
  <c r="E25" i="5"/>
  <c r="E24" i="5"/>
  <c r="E20" i="5"/>
  <c r="E22" i="5" s="1"/>
  <c r="E19" i="5"/>
  <c r="E18" i="5"/>
  <c r="E21" i="5" s="1"/>
  <c r="E17" i="5"/>
  <c r="E16" i="5"/>
  <c r="E15" i="5"/>
  <c r="E14" i="5"/>
  <c r="E12" i="5"/>
  <c r="E11" i="5"/>
  <c r="E10" i="5"/>
  <c r="E9" i="5"/>
  <c r="E8" i="5"/>
  <c r="E7" i="5"/>
  <c r="E6" i="5"/>
  <c r="E3" i="5"/>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<sst xmlns="http://schemas.openxmlformats.org/spreadsheetml/2006/main" count="282" uniqueCount="97">
  <si>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</si>
  <si>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</si>
  <si>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</si>
  <si>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</si>
  <si>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</si>
  <si>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</si>
  <si>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</si>
  <si>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</si>
  <si>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</si>
  <si>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</si>
  <si>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</si>
  <si>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</si>
  <si>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</si>
  <si>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</si>
  <si>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</si>
  <si>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</si>
  <si>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</si>
  <si>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</si>
  <si>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</si>
  <si>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</si>
  <si>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</si>
  <si>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</si>
  <si>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</si>
  <si>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</si>
  <si>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</si>
  <si>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</si>
  <si>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</si>
  <si>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</si>
  <si>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</si>
  <si>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</si>
  <si>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</si>
  <si>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</si>
  <si>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</si>
  <si>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</si>
  <si>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</si>
  <si>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</si>
  <si>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</si>
  <si>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</si>
  <si>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</si>
  <si>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</si>
  <si>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</si>
  <si>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</si>
  <si>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</si>
  <si>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</si>
  <si>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</si>
  <si>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</si>
  <si>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</si>
  <si>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</si>
  <si>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</si>
  <si>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</si>
  <si>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</si>
  <si>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</si>
  <si>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</si>
  <si>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</si>
  <si>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</si>
  <si>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</si>
  <si>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</si>
  <si>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</si>
  <si>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</si>
  <si>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</si>
  <si>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</si>
  <si>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</si>
  <si>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</si>
  <si>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</si>
  <si>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</si>
  <si>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</si>
  <si>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</si>
  <si>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</si>
  <si>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</si>
  <si>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</si>
  <si>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</si>
  <si>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</si>
  <si>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</si>
  <si>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</si>
  <si>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</si>
  <si>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</si>
  <si>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</si>
  <si>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</si>
  <si>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</si>
  <si>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</si>
  <si>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</si>
  <si>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</si>
  <si>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</si>
  <si>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</si>
  <si>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</si>
  <si>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</si>
  <si>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</si>
  <si>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</si>
  <si>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</si>
  <si>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Lignite Plant</t>
  </si>
  <si>
    <t>Gas</t>
  </si>
  <si>
    <t>Coal Plant CCUS</t>
  </si>
  <si>
    <t>Lignite Plant CCUS</t>
  </si>
  <si>
    <t>Other non-res</t>
  </si>
  <si>
    <t>Slack</t>
  </si>
  <si>
    <t>Oil Plant</t>
  </si>
  <si>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</sst>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2" fontId="0" fillId="9" borderId="0" xfId="0" applyNumberFormat="1" applyFill="1" applyAlignment="1">
      <alignment horizontal="right" indent="2"/>
    </xf>
    <xf numFmtId="2" fontId="0" fillId="0" borderId="0" xfId="0" applyNumberFormat="1" applyAlignment="1">
      <alignment horizontal="right" indent="2"/>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3" fontId="0" fillId="0" borderId="0" xfId="0" applyNumberFormat="1" applyAlignment="1">
      <alignment horizontal="right"/>
    </xf>
    <xf numFmtId="0" fontId="0" fillId="0" borderId="0" xfId="0" applyAlignment="1">
      <alignment horizontal="right"/>
    </xf>
  </cellXfs>
  <cellStyles count="1">
    <cellStyle name="Standard" xfId="0" builtinId="0"/>
  </cellStyles>
  <dxfs count="56">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6" sqref="E16"/>
    </sheetView>
  </sheetViews>
  <sheetFormatPr baseColWidth="10" defaultColWidth="9.109375" defaultRowHeight="14.4" x14ac:dyDescent="0.3"/>
  <sheetData>
    <row r="1" spans="1:3" x14ac:dyDescent="0.3">
      <c r="A1" s="1" t="s">
        <v>0</v>
      </c>
      <c r="B1" s="1" t="s">
        <v>1</v>
      </c>
      <c r="C1" s="1" t="s">
        <v>2</v>
      </c>
    </row>
    <row r="2" spans="1:3" x14ac:dyDescent="0.3">
      <c r="A2" t="s">
        <v>3</v>
      </c>
      <c r="B2">
        <v>2043</v>
      </c>
      <c r="C2" t="s">
        <v>4</v>
      </c>
    </row>
    <row r="3" spans="1:3" x14ac:dyDescent="0.3">
      <c r="A3" t="s">
        <v>5</v>
      </c>
      <c r="B3" s="8">
        <v>11400000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tabSelected="1" workbookViewId="0">
      <selection activeCell="G24" sqref="G24"/>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43" customWidth="1"/>
    <col min="6" max="6" width="13.88671875" style="44"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90</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96</v>
      </c>
      <c r="C10" s="11" t="s">
        <v>21</v>
      </c>
      <c r="D10">
        <v>32.04</v>
      </c>
      <c r="E10" s="25" t="s">
        <v>22</v>
      </c>
      <c r="F10" s="26" t="s">
        <v>22</v>
      </c>
    </row>
    <row r="11" spans="1:6" x14ac:dyDescent="0.3">
      <c r="A11" s="11" t="s">
        <v>9</v>
      </c>
      <c r="B11" s="11" t="s">
        <v>94</v>
      </c>
      <c r="C11" s="11" t="s">
        <v>21</v>
      </c>
      <c r="D11">
        <v>32.04</v>
      </c>
      <c r="E11" s="25" t="s">
        <v>22</v>
      </c>
      <c r="F11" s="26" t="s">
        <v>22</v>
      </c>
    </row>
  </sheetData>
  <conditionalFormatting sqref="B8:B11">
    <cfRule type="expression" dxfId="1" priority="1">
      <formula>NOT(EXACT(INDIRECT("Z"&amp;ROW()-1&amp;"S1",FALSE()), INDIRECT("Z"&amp;ROW()&amp;"S1",FALSE())))</formula>
    </cfRule>
  </conditionalFormatting>
  <conditionalFormatting sqref="B2:B11">
    <cfRule type="duplicateValues" dxfId="0"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ADCB4A39-C1E4-4323-8578-F72B2D09171A}"/>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5F5EEA96-00F7-462A-94BB-048340736588}"/>
    <dataValidation allowBlank="1" showInputMessage="1" showErrorMessage="1" promptTitle="Maximum commodity use per hour" prompt="For stock commodities, this value limits the energy use per hour (MW)._x000a_" sqref="F1" xr:uid="{0454E4E1-AD93-402B-92E9-884BDFBC1F96}"/>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89</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95</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91</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92</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17" priority="14">
      <formula>NOT(EXACT(INDIRECT("Z"&amp;ROW()-1&amp;"S1",FALSE()), INDIRECT("Z"&amp;ROW()&amp;"S1",FALSE())))</formula>
    </cfRule>
  </conditionalFormatting>
  <conditionalFormatting sqref="A1:XFD1 A14:F15 J14:XFD15 A16:XFD1048576 N13:XFD13">
    <cfRule type="expression" dxfId="16" priority="16">
      <formula>NOT(EXACT(INDIRECT("Z"&amp;ROW()-1&amp;"S1",FALSE()), INDIRECT("Z"&amp;ROW()&amp;"S1",FALSE())))</formula>
    </cfRule>
  </conditionalFormatting>
  <conditionalFormatting sqref="N12:XFD12">
    <cfRule type="expression" dxfId="15" priority="15">
      <formula>NOT(EXACT(INDIRECT("Z"&amp;ROW()-1&amp;"S1",FALSE()), INDIRECT("Z"&amp;ROW()&amp;"S1",FALSE())))</formula>
    </cfRule>
  </conditionalFormatting>
  <conditionalFormatting sqref="C2:D13 F9:F13 F4:F6">
    <cfRule type="expression" dxfId="14" priority="13">
      <formula>NOT(EXACT(INDIRECT("Z"&amp;ROW()-1&amp;"S1",FALSE()), INDIRECT("Z"&amp;ROW()&amp;"S1",FALSE())))</formula>
    </cfRule>
  </conditionalFormatting>
  <conditionalFormatting sqref="E2:E4 E12:E13">
    <cfRule type="expression" dxfId="13" priority="12">
      <formula>NOT(EXACT(INDIRECT("Z"&amp;ROW()-1&amp;"S1",FALSE()), INDIRECT("Z"&amp;ROW()&amp;"S1",FALSE())))</formula>
    </cfRule>
  </conditionalFormatting>
  <conditionalFormatting sqref="F2">
    <cfRule type="expression" dxfId="12" priority="11">
      <formula>NOT(EXACT(INDIRECT("Z"&amp;ROW()-1&amp;"S1",FALSE()), INDIRECT("Z"&amp;ROW()&amp;"S1",FALSE())))</formula>
    </cfRule>
  </conditionalFormatting>
  <conditionalFormatting sqref="F7">
    <cfRule type="expression" dxfId="11" priority="10">
      <formula>NOT(EXACT(INDIRECT("Z"&amp;ROW()-1&amp;"S1",FALSE()), INDIRECT("Z"&amp;ROW()&amp;"S1",FALSE())))</formula>
    </cfRule>
  </conditionalFormatting>
  <conditionalFormatting sqref="B2:B9">
    <cfRule type="expression" dxfId="10" priority="9">
      <formula>NOT(EXACT(INDIRECT("Z"&amp;ROW()-1&amp;"S1",FALSE()), INDIRECT("Z"&amp;ROW()&amp;"S1",FALSE())))</formula>
    </cfRule>
  </conditionalFormatting>
  <conditionalFormatting sqref="A2:A4">
    <cfRule type="expression" dxfId="9" priority="8">
      <formula>NOT(EXACT(INDIRECT("Z"&amp;ROW()-1&amp;"S1",FALSE()), INDIRECT("Z"&amp;ROW()&amp;"S1",FALSE())))</formula>
    </cfRule>
  </conditionalFormatting>
  <conditionalFormatting sqref="A2:A13">
    <cfRule type="expression" dxfId="8" priority="7">
      <formula>NOT(EXACT(INDIRECT("Z"&amp;ROW()-1&amp;"S1",FALSE()), INDIRECT("Z"&amp;ROW()&amp;"S1",FALSE())))</formula>
    </cfRule>
  </conditionalFormatting>
  <conditionalFormatting sqref="B10">
    <cfRule type="expression" dxfId="7" priority="6">
      <formula>NOT(EXACT(INDIRECT("Z"&amp;ROW()-1&amp;"S1",FALSE()), INDIRECT("Z"&amp;ROW()&amp;"S1",FALSE())))</formula>
    </cfRule>
  </conditionalFormatting>
  <conditionalFormatting sqref="B11:B12">
    <cfRule type="expression" dxfId="6" priority="5">
      <formula>NOT(EXACT(INDIRECT("Z"&amp;ROW()-1&amp;"S1",FALSE()), INDIRECT("Z"&amp;ROW()&amp;"S1",FALSE())))</formula>
    </cfRule>
  </conditionalFormatting>
  <conditionalFormatting sqref="B11:B12">
    <cfRule type="expression" dxfId="5" priority="4">
      <formula>NOT(EXACT(INDIRECT("Z"&amp;ROW()-1&amp;"S1",FALSE()), INDIRECT("Z"&amp;ROW()&amp;"S1",FALSE())))</formula>
    </cfRule>
  </conditionalFormatting>
  <conditionalFormatting sqref="B13">
    <cfRule type="expression" dxfId="4" priority="3">
      <formula>NOT(EXACT(INDIRECT("Z"&amp;ROW()-1&amp;"S1",FALSE()), INDIRECT("Z"&amp;ROW()&amp;"S1",FALSE())))</formula>
    </cfRule>
  </conditionalFormatting>
  <conditionalFormatting sqref="M2">
    <cfRule type="expression" dxfId="3" priority="2">
      <formula>NOT(EXACT(INDIRECT("Z"&amp;ROW()-1&amp;"S1",FALSE()), INDIRECT("Z"&amp;ROW()&amp;"S1",FALSE())))</formula>
    </cfRule>
  </conditionalFormatting>
  <conditionalFormatting sqref="G11:I11">
    <cfRule type="expression" dxfId="2"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7DEEBE55-9A49-4E9F-8486-D4B54337CB85}"/>
    <dataValidation allowBlank="1" showInputMessage="1" showErrorMessage="1" promptTitle="Weighted average cost of capital" prompt="Percentage (%) of costs for capital after taxes. Used to calculate annuity factor for investment costs." sqref="K1" xr:uid="{EE6B552C-E28A-4E5D-9AF6-20C6C300004E}"/>
    <dataValidation allowBlank="1" showInputMessage="1" showErrorMessage="1" promptTitle="Area use per capacity (m^2/MW) " prompt="If a process requires area set value here. If no area use is to be considered set NV(). " sqref="M1" xr:uid="{417A047F-965F-4B3C-BD23-A55CF4AB8FC4}"/>
    <dataValidation allowBlank="1" showInputMessage="1" showErrorMessage="1" promptTitle="Minimum load fraction" prompt="This value sets the minimum possible fraction of the process capacity which the process can run at." sqref="F1" xr:uid="{9B888BA7-DEF2-427C-9126-6101729FFCF1}"/>
    <dataValidation allowBlank="1" showInputMessage="1" showErrorMessage="1" promptTitle="Maximal power gradient (1/h)" prompt="Maximum allowed power gradient relative to power throughput capacity. Set value to inf or greater than 1/dt to disable it." sqref="E1" xr:uid="{15A8E5C4-7C06-44D0-9369-50D3000B93C3}"/>
    <dataValidation allowBlank="1" showInputMessage="1" showErrorMessage="1" promptTitle="Depreciation period (a)" prompt="Economic lifetime (more conservative than technical lifetime) of a process investment in years (a). Used to calculate annuity factor for investment costs." sqref="L1" xr:uid="{4D894E92-9B7F-4D67-B2DC-E6E203BC9535}"/>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200DFEDC-0798-4C01-9449-B43CB2FAB5B7}"/>
    <dataValidation allowBlank="1" showInputMessage="1" showErrorMessage="1" promptTitle="Annual fix cost (€/MW/a)" prompt="Operation independent costs for existing and new capacities per MW throughput power." sqref="H1" xr:uid="{2B6E60ED-13E7-4A60-B5F2-DD4F52426043}"/>
    <dataValidation allowBlank="1" showInputMessage="1" showErrorMessage="1" promptTitle="Investment cost (€/MW)" prompt="Total investement cost for adding capacity. Is annualized in the model using the annuity factor derived from 'wacc' and 'depreciation'." sqref="G1" xr:uid="{27419081-1275-498F-AA0A-57DA0F264950}"/>
    <dataValidation allowBlank="1" showInputMessage="1" showErrorMessage="1" promptTitle="Maximum capacity (MW)" prompt="Maximum allowed power throughput capacity per process. Must be bigger than or equal to max('cap-lo', 'inst-cap')." sqref="D1" xr:uid="{E7A20745-76EE-4DB2-8D74-5F7C4980D934}"/>
    <dataValidation allowBlank="1" showInputMessage="1" showErrorMessage="1" promptTitle="Minimum capacity (MW)" prompt="Minimum required power throughput capacity that is allowed per process. Must be smaller or equal to 'cap-up', but can be bigger than 'inst-cap' to force investment." sqref="C1" xr:uid="{44CC71D4-D079-46DE-AFC9-B98D4B12B256}"/>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workbookViewId="0">
      <selection activeCell="F46" sqref="F46"/>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31" customWidth="1"/>
    <col min="5" max="5" width="18.5546875" style="31" customWidth="1"/>
    <col min="6" max="16384" width="11.44140625" style="13"/>
  </cols>
  <sheetData>
    <row r="1" spans="1:5" x14ac:dyDescent="0.3">
      <c r="A1" t="s">
        <v>28</v>
      </c>
      <c r="B1" t="s">
        <v>11</v>
      </c>
      <c r="C1" t="s">
        <v>46</v>
      </c>
      <c r="D1" s="30" t="s">
        <v>47</v>
      </c>
      <c r="E1" s="30" t="s">
        <v>48</v>
      </c>
    </row>
    <row r="2" spans="1:5" x14ac:dyDescent="0.3">
      <c r="A2" s="13" t="s">
        <v>89</v>
      </c>
      <c r="B2" s="11" t="s">
        <v>20</v>
      </c>
      <c r="C2" s="11" t="s">
        <v>49</v>
      </c>
      <c r="D2" s="12">
        <v>1</v>
      </c>
      <c r="E2" s="12">
        <v>2</v>
      </c>
    </row>
    <row r="3" spans="1:5" x14ac:dyDescent="0.3">
      <c r="A3" s="13" t="s">
        <v>89</v>
      </c>
      <c r="B3" s="11" t="s">
        <v>18</v>
      </c>
      <c r="C3" s="11" t="s">
        <v>50</v>
      </c>
      <c r="D3" s="27">
        <v>0.43</v>
      </c>
      <c r="E3" s="12" t="e">
        <f>NA()</f>
        <v>#N/A</v>
      </c>
    </row>
    <row r="4" spans="1:5" x14ac:dyDescent="0.3">
      <c r="A4" s="13" t="s">
        <v>89</v>
      </c>
      <c r="B4" s="11" t="s">
        <v>23</v>
      </c>
      <c r="C4" s="11" t="s">
        <v>50</v>
      </c>
      <c r="D4" s="12">
        <v>0.36299999999999999</v>
      </c>
      <c r="E4" s="12">
        <v>0.8</v>
      </c>
    </row>
    <row r="5" spans="1:5" x14ac:dyDescent="0.3">
      <c r="A5" s="10" t="s">
        <v>43</v>
      </c>
      <c r="B5" s="11" t="s">
        <v>90</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91</v>
      </c>
      <c r="B20" s="11" t="s">
        <v>27</v>
      </c>
      <c r="C20" s="11" t="s">
        <v>49</v>
      </c>
      <c r="D20" s="12">
        <v>1</v>
      </c>
      <c r="E20" s="12" t="e">
        <f>NA()</f>
        <v>#N/A</v>
      </c>
    </row>
    <row r="21" spans="1:5" x14ac:dyDescent="0.3">
      <c r="A21" s="13" t="s">
        <v>91</v>
      </c>
      <c r="B21" s="11" t="s">
        <v>18</v>
      </c>
      <c r="C21" s="11" t="s">
        <v>50</v>
      </c>
      <c r="D21" s="12">
        <v>0.34</v>
      </c>
      <c r="E21" s="12" t="e">
        <f>D21*E18</f>
        <v>#N/A</v>
      </c>
    </row>
    <row r="22" spans="1:5" x14ac:dyDescent="0.3">
      <c r="A22" s="13" t="s">
        <v>91</v>
      </c>
      <c r="B22" s="11" t="s">
        <v>23</v>
      </c>
      <c r="C22" s="11" t="s">
        <v>50</v>
      </c>
      <c r="D22" s="12">
        <v>3.6299999999999999E-2</v>
      </c>
      <c r="E22" s="12" t="e">
        <f>D22*E20</f>
        <v>#N/A</v>
      </c>
    </row>
    <row r="23" spans="1:5" x14ac:dyDescent="0.3">
      <c r="A23" s="13" t="s">
        <v>92</v>
      </c>
      <c r="B23" s="11" t="s">
        <v>27</v>
      </c>
      <c r="C23" s="11" t="s">
        <v>49</v>
      </c>
      <c r="D23" s="12">
        <v>1</v>
      </c>
      <c r="E23" s="12">
        <v>1.2</v>
      </c>
    </row>
    <row r="24" spans="1:5" x14ac:dyDescent="0.3">
      <c r="A24" s="13" t="s">
        <v>92</v>
      </c>
      <c r="B24" s="11" t="s">
        <v>18</v>
      </c>
      <c r="C24" s="11" t="s">
        <v>50</v>
      </c>
      <c r="D24" s="12">
        <v>0.49</v>
      </c>
      <c r="E24" s="12" t="e">
        <f>NA()</f>
        <v>#N/A</v>
      </c>
    </row>
    <row r="25" spans="1:5" x14ac:dyDescent="0.3">
      <c r="A25" s="13" t="s">
        <v>92</v>
      </c>
      <c r="B25" s="11" t="s">
        <v>23</v>
      </c>
      <c r="C25" s="11" t="s">
        <v>50</v>
      </c>
      <c r="D25" s="12">
        <v>1.2500000000000001E-2</v>
      </c>
      <c r="E25" s="12" t="e">
        <f>NA()</f>
        <v>#N/A</v>
      </c>
    </row>
    <row r="26" spans="1:5" x14ac:dyDescent="0.3">
      <c r="A26" s="10" t="s">
        <v>88</v>
      </c>
      <c r="B26" s="11" t="s">
        <v>90</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94</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95</v>
      </c>
      <c r="B32" s="11" t="s">
        <v>96</v>
      </c>
      <c r="C32" s="11" t="s">
        <v>49</v>
      </c>
      <c r="D32" s="12">
        <v>1</v>
      </c>
      <c r="E32" s="12" t="e">
        <f>D32*E30</f>
        <v>#N/A</v>
      </c>
    </row>
    <row r="33" spans="1:5" x14ac:dyDescent="0.3">
      <c r="A33" s="13" t="s">
        <v>95</v>
      </c>
      <c r="B33" s="11" t="s">
        <v>18</v>
      </c>
      <c r="C33" s="11" t="s">
        <v>50</v>
      </c>
      <c r="D33" s="12">
        <v>0.4</v>
      </c>
      <c r="E33" s="12" t="e">
        <f>NA()</f>
        <v>#N/A</v>
      </c>
    </row>
    <row r="34" spans="1:5" x14ac:dyDescent="0.3">
      <c r="A34" s="13" t="s">
        <v>95</v>
      </c>
      <c r="B34" s="11" t="s">
        <v>23</v>
      </c>
      <c r="C34" s="11" t="s">
        <v>50</v>
      </c>
      <c r="D34" s="12">
        <v>0.26700000000000002</v>
      </c>
      <c r="E34" s="12" t="e">
        <f>NA()</f>
        <v>#N/A</v>
      </c>
    </row>
  </sheetData>
  <conditionalFormatting sqref="A2:C4 E2:XFD19 A30:C31 E30:E31">
    <cfRule type="expression" dxfId="50" priority="61">
      <formula>NOT(EXACT(INDIRECT("Z"&amp;ROW()-1&amp;"S1",FALSE()), INDIRECT("Z"&amp;ROW()&amp;"S1",FALSE())))</formula>
    </cfRule>
  </conditionalFormatting>
  <conditionalFormatting sqref="A29:E29">
    <cfRule type="expression" dxfId="49" priority="58">
      <formula>NOT(EXACT(INDIRECT("Z"&amp;ROW()-1&amp;"S1",FALSE()), INDIRECT("Z"&amp;ROW()&amp;"S1",FALSE())))</formula>
    </cfRule>
  </conditionalFormatting>
  <conditionalFormatting sqref="A1:XFD1 A5 C5 A6:C19">
    <cfRule type="expression" dxfId="48" priority="73">
      <formula>NOT(EXACT(INDIRECT("Z"&amp;ROW()-1&amp;"S1",FALSE()), INDIRECT("Z"&amp;ROW()&amp;"S1",FALSE())))</formula>
    </cfRule>
  </conditionalFormatting>
  <conditionalFormatting sqref="A20:XFD25 A26 C26:XFD26 A27:XFD28 F29:XFD31 A32:XFD33 A35:XFD1048576 F34:XFD34">
    <cfRule type="expression" dxfId="47" priority="62">
      <formula>NOT(EXACT(INDIRECT("Z"&amp;ROW()-1&amp;"S1",FALSE()), INDIRECT("Z"&amp;ROW()&amp;"S1",FALSE())))</formula>
    </cfRule>
  </conditionalFormatting>
  <conditionalFormatting sqref="D2 D4:D5 D8:D13 D15:D19">
    <cfRule type="expression" dxfId="46"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{481F103E-FC2C-4BA1-85BF-684B28D788DD}</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{D4CB5E16-4084-4656-B7F2-D3739929C7F1}</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45"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44" priority="54">
      <formula>NOT(EXACT(INDIRECT("Z"&amp;ROW()-1&amp;"S1",FALSE()), INDIRECT("Z"&amp;ROW()&amp;"S1",FALSE())))</formula>
    </cfRule>
  </conditionalFormatting>
  <conditionalFormatting sqref="A20:C25 A27:C28 A32:E32">
    <cfRule type="expression" dxfId="43"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42" priority="47">
      <formula>NOT(EXACT(INDIRECT("Z"&amp;ROW()-1&amp;"S1",FALSE()), INDIRECT("Z"&amp;ROW()&amp;"S1",FALSE())))</formula>
    </cfRule>
  </conditionalFormatting>
  <conditionalFormatting sqref="B21:C25 C26 B27:C27">
    <cfRule type="expression" dxfId="41" priority="44">
      <formula>NOT(EXACT(INDIRECT("Z"&amp;ROW()-1&amp;"S1",FALSE()), INDIRECT("Z"&amp;ROW()&amp;"S1",FALSE())))</formula>
    </cfRule>
  </conditionalFormatting>
  <conditionalFormatting sqref="B20:C20 A26:A28">
    <cfRule type="expression" dxfId="40" priority="45">
      <formula>NOT(EXACT(INDIRECT("Z"&amp;ROW()-1&amp;"S1",FALSE()), INDIRECT("Z"&amp;ROW()&amp;"S1",FALSE())))</formula>
    </cfRule>
  </conditionalFormatting>
  <conditionalFormatting sqref="C5">
    <cfRule type="expression" dxfId="39"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{2BE88792-E3B2-4AD6-AF90-24E81F588C6C}</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{7763DBC2-7576-46A0-B2C4-55E1B94F8E73}</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{D955C514-AA72-4362-A37C-6E7230DD9EFE}</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{5C85D81E-48BF-467B-A8D7-802429D696FB}</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{7BF2A2C2-6DB6-402F-AE8B-1A104C7F69FD}</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{0FC249BE-7946-4E3C-89AE-4AD0E7571A99}</x14:id>
        </ext>
      </extLst>
    </cfRule>
  </conditionalFormatting>
  <conditionalFormatting sqref="E29:E34">
    <cfRule type="expression" dxfId="38" priority="41">
      <formula>NOT(EXACT(INDIRECT("Z"&amp;ROW()-1&amp;"S1",FALSE()), INDIRECT("Z"&amp;ROW()&amp;"S1",FALSE())))</formula>
    </cfRule>
  </conditionalFormatting>
  <conditionalFormatting sqref="B28:C28">
    <cfRule type="expression" dxfId="37" priority="43">
      <formula>NOT(EXACT(INDIRECT("Z"&amp;ROW()-1&amp;"S1",FALSE()), INDIRECT("Z"&amp;ROW()&amp;"S1",FALSE())))</formula>
    </cfRule>
  </conditionalFormatting>
  <conditionalFormatting sqref="A2:A4">
    <cfRule type="expression" dxfId="36" priority="40">
      <formula>NOT(EXACT(INDIRECT("Z"&amp;ROW()-1&amp;"S1",FALSE()), INDIRECT("Z"&amp;ROW()&amp;"S1",FALSE())))</formula>
    </cfRule>
  </conditionalFormatting>
  <conditionalFormatting sqref="A29:A31">
    <cfRule type="expression" dxfId="35" priority="39">
      <formula>NOT(EXACT(INDIRECT("Z"&amp;ROW()-1&amp;"S1",FALSE()), INDIRECT("Z"&amp;ROW()&amp;"S1",FALSE())))</formula>
    </cfRule>
  </conditionalFormatting>
  <conditionalFormatting sqref="A32:A34">
    <cfRule type="expression" dxfId="34" priority="38">
      <formula>NOT(EXACT(INDIRECT("Z"&amp;ROW()-1&amp;"S1",FALSE()), INDIRECT("Z"&amp;ROW()&amp;"S1",FALSE())))</formula>
    </cfRule>
  </conditionalFormatting>
  <conditionalFormatting sqref="C29 B30:C30">
    <cfRule type="expression" dxfId="33"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{1F504552-9E28-4324-8242-8140E12CDD6F}</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{88E6E3F9-DD01-4981-9FB9-F9E965965B9E}</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{C1B02174-2748-4864-A0D6-CA4B1E33322F}</x14:id>
        </ext>
      </extLst>
    </cfRule>
  </conditionalFormatting>
  <conditionalFormatting sqref="B31:C31">
    <cfRule type="expression" dxfId="32" priority="33">
      <formula>NOT(EXACT(INDIRECT("Z"&amp;ROW()-1&amp;"S1",FALSE()), INDIRECT("Z"&amp;ROW()&amp;"S1",FALSE())))</formula>
    </cfRule>
  </conditionalFormatting>
  <conditionalFormatting sqref="C32 B33:C33">
    <cfRule type="expression" dxfId="31"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{BEEF4E51-DFF3-4D20-ABFE-21E6D68985B9}</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{45BAB9C8-3F34-4E8F-BEBE-5AC7ED4394D5}</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{6FAF87EF-E9F0-48B9-9B5A-128C38830E78}</x14:id>
        </ext>
      </extLst>
    </cfRule>
  </conditionalFormatting>
  <conditionalFormatting sqref="B34:C34">
    <cfRule type="expression" dxfId="30" priority="28">
      <formula>NOT(EXACT(INDIRECT("Z"&amp;ROW()-1&amp;"S1",FALSE()), INDIRECT("Z"&amp;ROW()&amp;"S1",FALSE())))</formula>
    </cfRule>
  </conditionalFormatting>
  <conditionalFormatting sqref="A20:A22">
    <cfRule type="expression" dxfId="29" priority="27">
      <formula>NOT(EXACT(INDIRECT("Z"&amp;ROW()-1&amp;"S1",FALSE()), INDIRECT("Z"&amp;ROW()&amp;"S1",FALSE())))</formula>
    </cfRule>
  </conditionalFormatting>
  <conditionalFormatting sqref="A23:A25">
    <cfRule type="expression" dxfId="28" priority="26">
      <formula>NOT(EXACT(INDIRECT("Z"&amp;ROW()-1&amp;"S1",FALSE()), INDIRECT("Z"&amp;ROW()&amp;"S1",FALSE())))</formula>
    </cfRule>
  </conditionalFormatting>
  <conditionalFormatting sqref="D29:D34">
    <cfRule type="expression" dxfId="27"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{E64F0457-6083-429E-8BB2-59F608709509}</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{E3D0143E-7A9E-4974-973D-3A0E46A154CD}</x14:id>
        </ext>
      </extLst>
    </cfRule>
  </conditionalFormatting>
  <conditionalFormatting sqref="E27:E28">
    <cfRule type="expression" dxfId="26" priority="19">
      <formula>NOT(EXACT(INDIRECT("Z"&amp;ROW()-1&amp;"S1",FALSE()), INDIRECT("Z"&amp;ROW()&amp;"S1",FALSE())))</formula>
    </cfRule>
  </conditionalFormatting>
  <conditionalFormatting sqref="D26:E26">
    <cfRule type="expression" dxfId="25" priority="16">
      <formula>NOT(EXACT(INDIRECT("Z"&amp;ROW()-1&amp;"S1",FALSE()), INDIRECT("Z"&amp;ROW()&amp;"S1",FALSE())))</formula>
    </cfRule>
  </conditionalFormatting>
  <conditionalFormatting sqref="D20:E25">
    <cfRule type="expression" dxfId="24"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{4AE84194-6335-4FBE-AAAC-E972E749D2D0}</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{225DCAF9-85CE-479D-A442-A6F1C48660CB}</x14:id>
        </ext>
      </extLst>
    </cfRule>
  </conditionalFormatting>
  <conditionalFormatting sqref="E2:E4">
    <cfRule type="expression" dxfId="23" priority="11">
      <formula>NOT(EXACT(INDIRECT("Z"&amp;ROW()-1&amp;"S1",FALSE()), INDIRECT("Z"&amp;ROW()&amp;"S1",FALSE())))</formula>
    </cfRule>
  </conditionalFormatting>
  <conditionalFormatting sqref="D2 D4">
    <cfRule type="expression" dxfId="22"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21" priority="7">
      <formula>NOT(EXACT(INDIRECT("Z"&amp;ROW()-1&amp;"S1",FALSE()), INDIRECT("Z"&amp;ROW()&amp;"S1",FALSE())))</formula>
    </cfRule>
  </conditionalFormatting>
  <conditionalFormatting sqref="D5">
    <cfRule type="expression" dxfId="20"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9" priority="1">
      <formula>NOT(EXACT(INDIRECT("Z"&amp;ROW()-1&amp;"S1",FALSE()), INDIRECT("Z"&amp;ROW()&amp;"S1",FALSE())))</formula>
    </cfRule>
  </conditionalFormatting>
  <conditionalFormatting sqref="D13 D15">
    <cfRule type="expression" dxfId="18"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9E7C4F9F-1A83-4FCF-8A13-06BF957EE333}"/>
    <dataValidation allowBlank="1" showInputMessage="1" showErrorMessage="1" promptTitle="Ratio at minimum operation point" prompt="Input/Output ratio at point of minimum operation (min-fract in 'Process' sheet)._x000a__x000a_All values have to be larger/equal to ratio!" sqref="E1" xr:uid="{8AB91A8B-1A3A-4AB9-97E6-2B816C0A85BA}"/>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481F103E-FC2C-4BA1-85BF-684B28D788DD}">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D4CB5E16-4084-4656-B7F2-D3739929C7F1}">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2BE88792-E3B2-4AD6-AF90-24E81F588C6C}">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7763DBC2-7576-46A0-B2C4-55E1B94F8E73}">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D955C514-AA72-4362-A37C-6E7230DD9EFE}">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5C85D81E-48BF-467B-A8D7-802429D696FB}">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7BF2A2C2-6DB6-402F-AE8B-1A104C7F69FD}">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0FC249BE-7946-4E3C-89AE-4AD0E7571A99}">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1F504552-9E28-4324-8242-8140E12CDD6F}">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88E6E3F9-DD01-4981-9FB9-F9E965965B9E}">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C1B02174-2748-4864-A0D6-CA4B1E33322F}">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BEEF4E51-DFF3-4D20-ABFE-21E6D68985B9}">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45BAB9C8-3F34-4E8F-BEBE-5AC7ED4394D5}">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6FAF87EF-E9F0-48B9-9B5A-128C38830E78}">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E64F0457-6083-429E-8BB2-59F608709509}">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E3D0143E-7A9E-4974-973D-3A0E46A154CD}">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4AE84194-6335-4FBE-AAAC-E972E749D2D0}">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225DCAF9-85CE-479D-A442-A6F1C48660CB}">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E11" sqref="E11"/>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s="9">
        <v>486000000</v>
      </c>
    </row>
    <row r="4" spans="1:2" x14ac:dyDescent="0.3">
      <c r="A4">
        <v>2</v>
      </c>
      <c r="B4" s="9">
        <v>486000000</v>
      </c>
    </row>
    <row r="5" spans="1:2" x14ac:dyDescent="0.3">
      <c r="A5">
        <v>3</v>
      </c>
      <c r="B5" s="9">
        <v>486000000</v>
      </c>
    </row>
    <row r="6" spans="1:2" x14ac:dyDescent="0.3">
      <c r="A6">
        <v>4</v>
      </c>
      <c r="B6" s="9">
        <v>486000000</v>
      </c>
    </row>
    <row r="7" spans="1:2" x14ac:dyDescent="0.3">
      <c r="A7">
        <v>5</v>
      </c>
      <c r="B7" s="9">
        <v>486000000</v>
      </c>
    </row>
    <row r="8" spans="1:2" x14ac:dyDescent="0.3">
      <c r="A8">
        <v>6</v>
      </c>
      <c r="B8" s="9">
        <v>486000000</v>
      </c>
    </row>
    <row r="9" spans="1:2" x14ac:dyDescent="0.3">
      <c r="A9">
        <v>7</v>
      </c>
      <c r="B9" s="9">
        <v>486000000</v>
      </c>
    </row>
    <row r="10" spans="1:2" x14ac:dyDescent="0.3">
      <c r="A10">
        <v>8</v>
      </c>
      <c r="B10" s="9">
        <v>486000000</v>
      </c>
    </row>
    <row r="11" spans="1:2" x14ac:dyDescent="0.3">
      <c r="A11">
        <v>9</v>
      </c>
      <c r="B11" s="9">
        <v>486000000</v>
      </c>
    </row>
    <row r="12" spans="1:2" x14ac:dyDescent="0.3">
      <c r="A12">
        <v>10</v>
      </c>
      <c r="B12" s="9">
        <v>486000000</v>
      </c>
    </row>
    <row r="13" spans="1:2" x14ac:dyDescent="0.3">
      <c r="A13">
        <v>11</v>
      </c>
      <c r="B13" s="9">
        <v>486000000</v>
      </c>
    </row>
    <row r="14" spans="1:2" x14ac:dyDescent="0.3">
      <c r="A14">
        <v>12</v>
      </c>
      <c r="B14" s="9">
        <v>486000000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I17" sqref="I17"/>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2024-11-06T10:11:34Z</dcterms:created>
  <dcterms:modified xsi:type="dcterms:W3CDTF">2025-09-16T09:21:32Z</dcterms:modified>
</cp:coreProperties>
</file>