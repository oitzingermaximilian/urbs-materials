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DCF8EB5E-D3C3-4DA0-9C3E-AF1B36D3EA89}"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8" i="5"/>
  <c r="E27" i="5"/>
  <c r="E29" i="5" s="1"/>
  <c r="E25" i="5"/>
  <c r="E23" i="5"/>
  <c r="E20" i="5"/>
  <c r="E22" i="5" s="1"/>
  <c r="E19" i="5"/>
  <c r="E21" i="5" s="1"/>
  <c r="E24" i="5" s="1"/>
  <c r="E18" i="5"/>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<sst xmlns="http://schemas.openxmlformats.org/spreadsheetml/2006/main" count="282" uniqueCount="97">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</sst>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cellXfs>
  <cellStyles count="1">
    <cellStyle name="Standard" xfId="0" builtinId="0"/>
  </cellStyles>
  <dxfs count="50">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F11" sqref="F11"/>
    </sheetView>
  </sheetViews>
  <sheetFormatPr baseColWidth="10" defaultColWidth="9.109375" defaultRowHeight="14.4" x14ac:dyDescent="0.3"/>
  <sheetData>
    <row r="1" spans="1:3" x14ac:dyDescent="0.3">
      <c r="A1" s="1" t="s">
        <v>0</v>
      </c>
      <c r="B1" s="1" t="s">
        <v>1</v>
      </c>
      <c r="C1" s="1" t="s">
        <v>2</v>
      </c>
    </row>
    <row r="2" spans="1:3" x14ac:dyDescent="0.3">
      <c r="A2" t="s">
        <v>3</v>
      </c>
      <c r="B2">
        <v>2037</v>
      </c>
      <c r="C2" t="s">
        <v>4</v>
      </c>
    </row>
    <row r="3" spans="1:3" x14ac:dyDescent="0.3">
      <c r="A3" t="s">
        <v>5</v>
      </c>
      <c r="B3" s="8">
        <v>98480000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activeCell="F24" sqref="F24"/>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90</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96</v>
      </c>
      <c r="C10" s="10" t="s">
        <v>21</v>
      </c>
      <c r="D10">
        <v>32.04</v>
      </c>
      <c r="E10" s="23" t="s">
        <v>22</v>
      </c>
      <c r="F10" s="24" t="s">
        <v>22</v>
      </c>
    </row>
    <row r="11" spans="1:6" x14ac:dyDescent="0.3">
      <c r="A11" s="10" t="s">
        <v>9</v>
      </c>
      <c r="B11" s="10" t="s">
        <v>94</v>
      </c>
      <c r="C11" s="10" t="s">
        <v>21</v>
      </c>
      <c r="D11">
        <v>32.04</v>
      </c>
      <c r="E11" s="23" t="s">
        <v>22</v>
      </c>
      <c r="F11" s="24"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3A7532DA-EDE8-48D8-AE4C-C2524DFB1B12}"/>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7274496B-8768-41B9-BE7A-B12FAAAA8A7E}"/>
    <dataValidation allowBlank="1" showInputMessage="1" showErrorMessage="1" promptTitle="Maximum commodity use per hour" prompt="For stock commodities, this value limits the energy use per hour (MW)._x000a_" sqref="F1" xr:uid="{47B8E1DB-D9A8-4BD8-AAD7-ED4C1639CC8E}"/>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7" customWidth="1"/>
    <col min="10" max="10" width="16.109375" style="12" bestFit="1" customWidth="1"/>
    <col min="11" max="11" width="10.5546875" style="12" customWidth="1"/>
    <col min="12" max="12" width="14.88671875" style="38" bestFit="1" customWidth="1"/>
    <col min="13" max="13" width="14.88671875" style="12" bestFit="1" customWidth="1"/>
    <col min="14" max="16384" width="11.44140625" style="12"/>
  </cols>
  <sheetData>
    <row r="1" spans="1:13" x14ac:dyDescent="0.3">
      <c r="A1" t="s">
        <v>10</v>
      </c>
      <c r="B1" t="s">
        <v>28</v>
      </c>
      <c r="C1" s="30" t="s">
        <v>29</v>
      </c>
      <c r="D1" s="30" t="s">
        <v>30</v>
      </c>
      <c r="E1" s="30" t="s">
        <v>31</v>
      </c>
      <c r="F1" s="31" t="s">
        <v>32</v>
      </c>
      <c r="G1" s="30" t="s">
        <v>33</v>
      </c>
      <c r="H1" s="30" t="s">
        <v>34</v>
      </c>
      <c r="I1" s="32" t="s">
        <v>35</v>
      </c>
      <c r="J1" s="31" t="s">
        <v>36</v>
      </c>
      <c r="K1" s="33" t="s">
        <v>37</v>
      </c>
      <c r="L1" s="33" t="s">
        <v>38</v>
      </c>
      <c r="M1" s="33" t="s">
        <v>39</v>
      </c>
    </row>
    <row r="2" spans="1:13" x14ac:dyDescent="0.3">
      <c r="A2" s="12" t="s">
        <v>9</v>
      </c>
      <c r="B2" s="12" t="s">
        <v>42</v>
      </c>
      <c r="C2" s="20">
        <v>0</v>
      </c>
      <c r="D2" s="20">
        <v>56122</v>
      </c>
      <c r="E2" s="14" t="s">
        <v>22</v>
      </c>
      <c r="F2" s="15">
        <v>0.5</v>
      </c>
      <c r="G2" s="17">
        <v>1784013.3448000001</v>
      </c>
      <c r="H2" s="34">
        <v>28544.213516799999</v>
      </c>
      <c r="I2" s="26">
        <v>2.7</v>
      </c>
      <c r="J2" s="16">
        <v>0</v>
      </c>
      <c r="K2" s="27">
        <v>7.2999999999999995E-2</v>
      </c>
      <c r="L2" s="16">
        <v>40</v>
      </c>
      <c r="M2" s="19" t="e">
        <v>#N/A</v>
      </c>
    </row>
    <row r="3" spans="1:13" x14ac:dyDescent="0.3">
      <c r="A3" s="12" t="s">
        <v>9</v>
      </c>
      <c r="B3" s="12" t="s">
        <v>89</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5">
        <v>16725.186000000002</v>
      </c>
      <c r="I5">
        <v>2.6</v>
      </c>
      <c r="J5" s="17">
        <v>0</v>
      </c>
      <c r="K5" s="18">
        <v>7.0999999999999994E-2</v>
      </c>
      <c r="L5" s="16">
        <v>25</v>
      </c>
      <c r="M5" s="19" t="e">
        <v>#N/A</v>
      </c>
    </row>
    <row r="6" spans="1:13" x14ac:dyDescent="0.3">
      <c r="A6" s="12" t="s">
        <v>9</v>
      </c>
      <c r="B6" s="12" t="s">
        <v>95</v>
      </c>
      <c r="C6" s="20">
        <v>0</v>
      </c>
      <c r="D6" s="20">
        <v>14578</v>
      </c>
      <c r="E6" s="14" t="s">
        <v>22</v>
      </c>
      <c r="F6" s="12">
        <v>0</v>
      </c>
      <c r="G6">
        <v>5648000</v>
      </c>
      <c r="H6" s="35">
        <v>16725.186000000002</v>
      </c>
      <c r="I6">
        <v>2.6</v>
      </c>
      <c r="J6" s="17">
        <v>0</v>
      </c>
      <c r="K6" s="18">
        <v>7.0999999999999994E-2</v>
      </c>
      <c r="L6" s="16">
        <v>25</v>
      </c>
      <c r="M6" s="19" t="e">
        <v>#N/A</v>
      </c>
    </row>
    <row r="7" spans="1:13" x14ac:dyDescent="0.3">
      <c r="A7" s="12" t="s">
        <v>9</v>
      </c>
      <c r="B7" s="12" t="s">
        <v>91</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92</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4">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6">
        <v>5648000</v>
      </c>
      <c r="H13" s="36">
        <v>0</v>
      </c>
      <c r="I13" s="36">
        <v>53.2</v>
      </c>
      <c r="J13" s="16">
        <v>0</v>
      </c>
      <c r="K13" s="18">
        <v>7.0999999999999994E-2</v>
      </c>
      <c r="L13" s="16">
        <v>25</v>
      </c>
      <c r="M13" s="19" t="e">
        <v>#N/A</v>
      </c>
    </row>
  </sheetData>
  <conditionalFormatting sqref="P2:XFD4">
    <cfRule type="expression" dxfId="18" priority="15">
      <formula>NOT(EXACT(INDIRECT("Z"&amp;ROW()-1&amp;"S1",FALSE()), INDIRECT("Z"&amp;ROW()&amp;"S1",FALSE())))</formula>
    </cfRule>
  </conditionalFormatting>
  <conditionalFormatting sqref="A1:XFD1 A14:F14 L14:XFD14 A15:XFD1048576 N13:XFD13">
    <cfRule type="expression" dxfId="17" priority="17">
      <formula>NOT(EXACT(INDIRECT("Z"&amp;ROW()-1&amp;"S1",FALSE()), INDIRECT("Z"&amp;ROW()&amp;"S1",FALSE())))</formula>
    </cfRule>
  </conditionalFormatting>
  <conditionalFormatting sqref="N12:XFD12">
    <cfRule type="expression" dxfId="16" priority="16">
      <formula>NOT(EXACT(INDIRECT("Z"&amp;ROW()-1&amp;"S1",FALSE()), INDIRECT("Z"&amp;ROW()&amp;"S1",FALSE())))</formula>
    </cfRule>
  </conditionalFormatting>
  <conditionalFormatting sqref="C2:D13 F9:F13 F4:F6">
    <cfRule type="expression" dxfId="15" priority="14">
      <formula>NOT(EXACT(INDIRECT("Z"&amp;ROW()-1&amp;"S1",FALSE()), INDIRECT("Z"&amp;ROW()&amp;"S1",FALSE())))</formula>
    </cfRule>
  </conditionalFormatting>
  <conditionalFormatting sqref="E2:E4 E12:E13">
    <cfRule type="expression" dxfId="14" priority="13">
      <formula>NOT(EXACT(INDIRECT("Z"&amp;ROW()-1&amp;"S1",FALSE()), INDIRECT("Z"&amp;ROW()&amp;"S1",FALSE())))</formula>
    </cfRule>
  </conditionalFormatting>
  <conditionalFormatting sqref="F2">
    <cfRule type="expression" dxfId="13" priority="12">
      <formula>NOT(EXACT(INDIRECT("Z"&amp;ROW()-1&amp;"S1",FALSE()), INDIRECT("Z"&amp;ROW()&amp;"S1",FALSE())))</formula>
    </cfRule>
  </conditionalFormatting>
  <conditionalFormatting sqref="F7">
    <cfRule type="expression" dxfId="12" priority="11">
      <formula>NOT(EXACT(INDIRECT("Z"&amp;ROW()-1&amp;"S1",FALSE()), INDIRECT("Z"&amp;ROW()&amp;"S1",FALSE())))</formula>
    </cfRule>
  </conditionalFormatting>
  <conditionalFormatting sqref="B2:B9">
    <cfRule type="expression" dxfId="11" priority="10">
      <formula>NOT(EXACT(INDIRECT("Z"&amp;ROW()-1&amp;"S1",FALSE()), INDIRECT("Z"&amp;ROW()&amp;"S1",FALSE())))</formula>
    </cfRule>
  </conditionalFormatting>
  <conditionalFormatting sqref="A2:A4">
    <cfRule type="expression" dxfId="10" priority="9">
      <formula>NOT(EXACT(INDIRECT("Z"&amp;ROW()-1&amp;"S1",FALSE()), INDIRECT("Z"&amp;ROW()&amp;"S1",FALSE())))</formula>
    </cfRule>
  </conditionalFormatting>
  <conditionalFormatting sqref="A2:A13">
    <cfRule type="expression" dxfId="9" priority="8">
      <formula>NOT(EXACT(INDIRECT("Z"&amp;ROW()-1&amp;"S1",FALSE()), INDIRECT("Z"&amp;ROW()&amp;"S1",FALSE())))</formula>
    </cfRule>
  </conditionalFormatting>
  <conditionalFormatting sqref="B10">
    <cfRule type="expression" dxfId="8" priority="7">
      <formula>NOT(EXACT(INDIRECT("Z"&amp;ROW()-1&amp;"S1",FALSE()), INDIRECT("Z"&amp;ROW()&amp;"S1",FALSE())))</formula>
    </cfRule>
  </conditionalFormatting>
  <conditionalFormatting sqref="B11:B12">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3">
    <cfRule type="expression" dxfId="5" priority="4">
      <formula>NOT(EXACT(INDIRECT("Z"&amp;ROW()-1&amp;"S1",FALSE()), INDIRECT("Z"&amp;ROW()&amp;"S1",FALSE())))</formula>
    </cfRule>
  </conditionalFormatting>
  <conditionalFormatting sqref="M2">
    <cfRule type="expression" dxfId="4" priority="3">
      <formula>NOT(EXACT(INDIRECT("Z"&amp;ROW()-1&amp;"S1",FALSE()), INDIRECT("Z"&amp;ROW()&amp;"S1",FALSE())))</formula>
    </cfRule>
  </conditionalFormatting>
  <conditionalFormatting sqref="M11:M12">
    <cfRule type="expression" dxfId="3" priority="1">
      <formula>NOT(EXACT(INDIRECT("Z"&amp;ROW()-1&amp;"S1",FALSE()), INDIRECT("Z"&amp;ROW()&amp;"S1",FALSE())))</formula>
    </cfRule>
  </conditionalFormatting>
  <conditionalFormatting sqref="G11:I11">
    <cfRule type="expression" dxfId="2"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E7926312-8D9B-45D7-98B5-3E61CDBCFBFA}"/>
    <dataValidation allowBlank="1" showInputMessage="1" showErrorMessage="1" promptTitle="Weighted average cost of capital" prompt="Percentage (%) of costs for capital after taxes. Used to calculate annuity factor for investment costs." sqref="K1" xr:uid="{873556C1-C40D-4700-99E2-80126B38219C}"/>
    <dataValidation allowBlank="1" showInputMessage="1" showErrorMessage="1" promptTitle="Area use per capacity (m^2/MW) " prompt="If a process requires area set value here. If no area use is to be considered set NV(). " sqref="M1" xr:uid="{8649F96F-DB11-4730-8B28-0C9091A2B45C}"/>
    <dataValidation allowBlank="1" showInputMessage="1" showErrorMessage="1" promptTitle="Minimum load fraction" prompt="This value sets the minimum possible fraction of the process capacity which the process can run at." sqref="F1" xr:uid="{ACD4071B-2812-4ED0-9425-1F5438369757}"/>
    <dataValidation allowBlank="1" showInputMessage="1" showErrorMessage="1" promptTitle="Maximal power gradient (1/h)" prompt="Maximum allowed power gradient relative to power throughput capacity. Set value to inf or greater than 1/dt to disable it." sqref="E1" xr:uid="{3EA8F9C8-2232-4EF1-803A-5DD761AB31C8}"/>
    <dataValidation allowBlank="1" showInputMessage="1" showErrorMessage="1" promptTitle="Depreciation period (a)" prompt="Economic lifetime (more conservative than technical lifetime) of a process investment in years (a). Used to calculate annuity factor for investment costs." sqref="L1" xr:uid="{6538E4A3-C377-4283-9B19-BFEDA9F2B0C2}"/>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52C5A8EB-2B43-48BB-8338-0B1C2B663BC3}"/>
    <dataValidation allowBlank="1" showInputMessage="1" showErrorMessage="1" promptTitle="Annual fix cost (€/MW/a)" prompt="Operation independent costs for existing and new capacities per MW throughput power." sqref="H1" xr:uid="{C5C08FE0-CAB6-4884-A978-0D517F9BC93A}"/>
    <dataValidation allowBlank="1" showInputMessage="1" showErrorMessage="1" promptTitle="Investment cost (€/MW)" prompt="Total investement cost for adding capacity. Is annualized in the model using the annuity factor derived from 'wacc' and 'depreciation'." sqref="G1" xr:uid="{028D1FA4-A3FC-47B1-A941-D528D8602E7F}"/>
    <dataValidation allowBlank="1" showInputMessage="1" showErrorMessage="1" promptTitle="Maximum capacity (MW)" prompt="Maximum allowed power throughput capacity per process. Must be bigger than or equal to max('cap-lo', 'inst-cap')." sqref="D1" xr:uid="{FA846800-DEF2-4B01-883F-A8F4C41847D5}"/>
    <dataValidation allowBlank="1" showInputMessage="1" showErrorMessage="1" promptTitle="Minimum capacity (MW)" prompt="Minimum required power throughput capacity that is allowed per process. Must be smaller or equal to 'cap-up', but can be bigger than 'inst-cap' to force investment." sqref="C1" xr:uid="{DA28DD3A-E8CD-469C-A808-73CBE1B0A2AF}"/>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sqref="A1:XFD1048576"/>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29" customWidth="1"/>
    <col min="5" max="5" width="18.5546875" style="29" customWidth="1"/>
    <col min="6" max="16384" width="11.44140625" style="12"/>
  </cols>
  <sheetData>
    <row r="1" spans="1:5" x14ac:dyDescent="0.3">
      <c r="A1" t="s">
        <v>28</v>
      </c>
      <c r="B1" t="s">
        <v>11</v>
      </c>
      <c r="C1" t="s">
        <v>46</v>
      </c>
      <c r="D1" s="28" t="s">
        <v>47</v>
      </c>
      <c r="E1" s="28" t="s">
        <v>48</v>
      </c>
    </row>
    <row r="2" spans="1:5" x14ac:dyDescent="0.3">
      <c r="A2" s="12" t="s">
        <v>89</v>
      </c>
      <c r="B2" s="10" t="s">
        <v>20</v>
      </c>
      <c r="C2" s="10" t="s">
        <v>49</v>
      </c>
      <c r="D2" s="11">
        <v>1</v>
      </c>
      <c r="E2" s="11">
        <v>2</v>
      </c>
    </row>
    <row r="3" spans="1:5" x14ac:dyDescent="0.3">
      <c r="A3" s="12" t="s">
        <v>89</v>
      </c>
      <c r="B3" s="10" t="s">
        <v>18</v>
      </c>
      <c r="C3" s="10" t="s">
        <v>50</v>
      </c>
      <c r="D3" s="25">
        <v>0.42</v>
      </c>
      <c r="E3" s="11" t="e">
        <f>NA()</f>
        <v>#N/A</v>
      </c>
    </row>
    <row r="4" spans="1:5" x14ac:dyDescent="0.3">
      <c r="A4" s="12" t="s">
        <v>89</v>
      </c>
      <c r="B4" s="10" t="s">
        <v>23</v>
      </c>
      <c r="C4" s="10" t="s">
        <v>50</v>
      </c>
      <c r="D4" s="11">
        <v>0.36299999999999999</v>
      </c>
      <c r="E4" s="11">
        <v>0.8</v>
      </c>
    </row>
    <row r="5" spans="1:5" x14ac:dyDescent="0.3">
      <c r="A5" s="9" t="s">
        <v>43</v>
      </c>
      <c r="B5" s="10" t="s">
        <v>90</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91</v>
      </c>
      <c r="B20" s="10" t="s">
        <v>27</v>
      </c>
      <c r="C20" s="10" t="s">
        <v>49</v>
      </c>
      <c r="D20" s="11">
        <v>1</v>
      </c>
      <c r="E20" s="11" t="e">
        <f>NA()</f>
        <v>#N/A</v>
      </c>
    </row>
    <row r="21" spans="1:5" x14ac:dyDescent="0.3">
      <c r="A21" s="12" t="s">
        <v>91</v>
      </c>
      <c r="B21" s="10" t="s">
        <v>18</v>
      </c>
      <c r="C21" s="10" t="s">
        <v>50</v>
      </c>
      <c r="D21" s="11">
        <v>3.6999999999999998E-2</v>
      </c>
      <c r="E21" s="11" t="e">
        <f>D21*E19</f>
        <v>#N/A</v>
      </c>
    </row>
    <row r="22" spans="1:5" x14ac:dyDescent="0.3">
      <c r="A22" s="12" t="s">
        <v>91</v>
      </c>
      <c r="B22" s="10" t="s">
        <v>23</v>
      </c>
      <c r="C22" s="10" t="s">
        <v>50</v>
      </c>
      <c r="D22" s="11">
        <v>3.4180000000000002E-2</v>
      </c>
      <c r="E22" s="11" t="e">
        <f>D22*E20</f>
        <v>#N/A</v>
      </c>
    </row>
    <row r="23" spans="1:5" x14ac:dyDescent="0.3">
      <c r="A23" s="12" t="s">
        <v>92</v>
      </c>
      <c r="B23" s="10" t="s">
        <v>27</v>
      </c>
      <c r="C23" s="10" t="s">
        <v>49</v>
      </c>
      <c r="D23" s="11">
        <v>1</v>
      </c>
      <c r="E23" s="11" t="e">
        <f>NA()</f>
        <v>#N/A</v>
      </c>
    </row>
    <row r="24" spans="1:5" x14ac:dyDescent="0.3">
      <c r="A24" s="12" t="s">
        <v>92</v>
      </c>
      <c r="B24" s="10" t="s">
        <v>18</v>
      </c>
      <c r="C24" s="10" t="s">
        <v>50</v>
      </c>
      <c r="D24" s="11">
        <v>0.33</v>
      </c>
      <c r="E24" s="11" t="e">
        <f>D24*E21</f>
        <v>#N/A</v>
      </c>
    </row>
    <row r="25" spans="1:5" x14ac:dyDescent="0.3">
      <c r="A25" s="12" t="s">
        <v>92</v>
      </c>
      <c r="B25" s="10" t="s">
        <v>23</v>
      </c>
      <c r="C25" s="10" t="s">
        <v>50</v>
      </c>
      <c r="D25" s="11">
        <v>3.6299999999999999E-2</v>
      </c>
      <c r="E25" s="11" t="e">
        <f>D25*E23</f>
        <v>#N/A</v>
      </c>
    </row>
    <row r="26" spans="1:5" x14ac:dyDescent="0.3">
      <c r="A26" s="9" t="s">
        <v>88</v>
      </c>
      <c r="B26" s="10" t="s">
        <v>90</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94</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95</v>
      </c>
      <c r="B32" s="10" t="s">
        <v>96</v>
      </c>
      <c r="C32" s="10" t="s">
        <v>49</v>
      </c>
      <c r="D32" s="11">
        <v>1</v>
      </c>
      <c r="E32" s="11" t="e">
        <f>D32*E30</f>
        <v>#N/A</v>
      </c>
    </row>
    <row r="33" spans="1:5" x14ac:dyDescent="0.3">
      <c r="A33" s="12" t="s">
        <v>95</v>
      </c>
      <c r="B33" s="10" t="s">
        <v>18</v>
      </c>
      <c r="C33" s="10" t="s">
        <v>50</v>
      </c>
      <c r="D33" s="11">
        <v>0.4</v>
      </c>
      <c r="E33" s="11" t="e">
        <f>NA()</f>
        <v>#N/A</v>
      </c>
    </row>
    <row r="34" spans="1:5" x14ac:dyDescent="0.3">
      <c r="A34" s="12" t="s">
        <v>95</v>
      </c>
      <c r="B34" s="10" t="s">
        <v>23</v>
      </c>
      <c r="C34" s="10" t="s">
        <v>50</v>
      </c>
      <c r="D34" s="11">
        <v>0.26700000000000002</v>
      </c>
      <c r="E34" s="11" t="e">
        <f>NA()</f>
        <v>#N/A</v>
      </c>
    </row>
  </sheetData>
  <conditionalFormatting sqref="F2:XFD19">
    <cfRule type="expression" dxfId="44" priority="49">
      <formula>NOT(EXACT(INDIRECT("Z"&amp;ROW()-1&amp;"S1",FALSE()), INDIRECT("Z"&amp;ROW()&amp;"S1",FALSE())))</formula>
    </cfRule>
  </conditionalFormatting>
  <conditionalFormatting sqref="A1:XFD1">
    <cfRule type="expression" dxfId="43" priority="51">
      <formula>NOT(EXACT(INDIRECT("Z"&amp;ROW()-1&amp;"S1",FALSE()), INDIRECT("Z"&amp;ROW()&amp;"S1",FALSE())))</formula>
    </cfRule>
  </conditionalFormatting>
  <conditionalFormatting sqref="A20:XFD25 F26:XFD26 A27:XFD28 F29:XFD31 A32:XFD32 A66:XFD1048576 F33:XFD65">
    <cfRule type="expression" dxfId="42"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41" priority="43">
      <formula>NOT(EXACT(INDIRECT("Z"&amp;ROW()-1&amp;"S1",FALSE()), INDIRECT("Z"&amp;ROW()&amp;"S1",FALSE())))</formula>
    </cfRule>
  </conditionalFormatting>
  <conditionalFormatting sqref="B21:C25 C26 B27:C27">
    <cfRule type="expression" dxfId="40" priority="40">
      <formula>NOT(EXACT(INDIRECT("Z"&amp;ROW()-1&amp;"S1",FALSE()), INDIRECT("Z"&amp;ROW()&amp;"S1",FALSE())))</formula>
    </cfRule>
  </conditionalFormatting>
  <conditionalFormatting sqref="B20:C20 A26:A28">
    <cfRule type="expression" dxfId="39" priority="41">
      <formula>NOT(EXACT(INDIRECT("Z"&amp;ROW()-1&amp;"S1",FALSE()), INDIRECT("Z"&amp;ROW()&amp;"S1",FALSE())))</formula>
    </cfRule>
  </conditionalFormatting>
  <conditionalFormatting sqref="C5">
    <cfRule type="expression" dxfId="38"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{977577EB-D566-415D-AC3D-E5230698C12F}</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{DE14CBA5-98ED-43EC-97A8-B51142A00896}</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{2036754E-0EAB-439E-BB1D-924850407A73}</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{80CBDAFB-7C6E-455A-9C57-6C88528E83A4}</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{AFCC5A7F-39A8-4C38-A77F-2EE714476909}</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{89BC87AD-987D-4FA5-B9BE-8AE588AA4BE2}</x14:id>
        </ext>
      </extLst>
    </cfRule>
  </conditionalFormatting>
  <conditionalFormatting sqref="E29:E34">
    <cfRule type="expression" dxfId="37" priority="37">
      <formula>NOT(EXACT(INDIRECT("Z"&amp;ROW()-1&amp;"S1",FALSE()), INDIRECT("Z"&amp;ROW()&amp;"S1",FALSE())))</formula>
    </cfRule>
  </conditionalFormatting>
  <conditionalFormatting sqref="B28:C28">
    <cfRule type="expression" dxfId="36" priority="39">
      <formula>NOT(EXACT(INDIRECT("Z"&amp;ROW()-1&amp;"S1",FALSE()), INDIRECT("Z"&amp;ROW()&amp;"S1",FALSE())))</formula>
    </cfRule>
  </conditionalFormatting>
  <conditionalFormatting sqref="A2:A4">
    <cfRule type="expression" dxfId="35" priority="36">
      <formula>NOT(EXACT(INDIRECT("Z"&amp;ROW()-1&amp;"S1",FALSE()), INDIRECT("Z"&amp;ROW()&amp;"S1",FALSE())))</formula>
    </cfRule>
  </conditionalFormatting>
  <conditionalFormatting sqref="A29:A31">
    <cfRule type="expression" dxfId="34" priority="35">
      <formula>NOT(EXACT(INDIRECT("Z"&amp;ROW()-1&amp;"S1",FALSE()), INDIRECT("Z"&amp;ROW()&amp;"S1",FALSE())))</formula>
    </cfRule>
  </conditionalFormatting>
  <conditionalFormatting sqref="A32:A34">
    <cfRule type="expression" dxfId="33" priority="34">
      <formula>NOT(EXACT(INDIRECT("Z"&amp;ROW()-1&amp;"S1",FALSE()), INDIRECT("Z"&amp;ROW()&amp;"S1",FALSE())))</formula>
    </cfRule>
  </conditionalFormatting>
  <conditionalFormatting sqref="C29 B30:C30">
    <cfRule type="expression" dxfId="32"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{BA286AF9-5115-472C-BE0A-CCE1C14E2F88}</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{B1C2B86F-C1BD-4D58-B6C5-3C82C5F28E86}</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{1CDA2B11-652E-4184-9345-6CAA645D3E43}</x14:id>
        </ext>
      </extLst>
    </cfRule>
  </conditionalFormatting>
  <conditionalFormatting sqref="B31:C31">
    <cfRule type="expression" dxfId="31" priority="29">
      <formula>NOT(EXACT(INDIRECT("Z"&amp;ROW()-1&amp;"S1",FALSE()), INDIRECT("Z"&amp;ROW()&amp;"S1",FALSE())))</formula>
    </cfRule>
  </conditionalFormatting>
  <conditionalFormatting sqref="C32 B33:C33">
    <cfRule type="expression" dxfId="30"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{29BD2BF5-9E94-4E4E-8C55-AA16CB198982}</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{0D554D4A-29E1-4D23-BD89-6A1EE6C99415}</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{A5EC0948-133E-4CC7-8A93-C5E0B5E237D3}</x14:id>
        </ext>
      </extLst>
    </cfRule>
  </conditionalFormatting>
  <conditionalFormatting sqref="B34:C34">
    <cfRule type="expression" dxfId="29" priority="24">
      <formula>NOT(EXACT(INDIRECT("Z"&amp;ROW()-1&amp;"S1",FALSE()), INDIRECT("Z"&amp;ROW()&amp;"S1",FALSE())))</formula>
    </cfRule>
  </conditionalFormatting>
  <conditionalFormatting sqref="A20:A22">
    <cfRule type="expression" dxfId="28" priority="23">
      <formula>NOT(EXACT(INDIRECT("Z"&amp;ROW()-1&amp;"S1",FALSE()), INDIRECT("Z"&amp;ROW()&amp;"S1",FALSE())))</formula>
    </cfRule>
  </conditionalFormatting>
  <conditionalFormatting sqref="A23:A25">
    <cfRule type="expression" dxfId="27" priority="22">
      <formula>NOT(EXACT(INDIRECT("Z"&amp;ROW()-1&amp;"S1",FALSE()), INDIRECT("Z"&amp;ROW()&amp;"S1",FALSE())))</formula>
    </cfRule>
  </conditionalFormatting>
  <conditionalFormatting sqref="D29:D34">
    <cfRule type="expression" dxfId="26"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{6A0D417C-8203-49D6-8ADE-FDA7BC0F02FA}</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{94EFAC47-95D5-4EF0-8BFD-ABD5363A2ADE}</x14:id>
        </ext>
      </extLst>
    </cfRule>
  </conditionalFormatting>
  <conditionalFormatting sqref="E2:E4">
    <cfRule type="expression" dxfId="25" priority="14">
      <formula>NOT(EXACT(INDIRECT("Z"&amp;ROW()-1&amp;"S1",FALSE()), INDIRECT("Z"&amp;ROW()&amp;"S1",FALSE())))</formula>
    </cfRule>
  </conditionalFormatting>
  <conditionalFormatting sqref="D2 D4">
    <cfRule type="expression" dxfId="24"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23" priority="10">
      <formula>NOT(EXACT(INDIRECT("Z"&amp;ROW()-1&amp;"S1",FALSE()), INDIRECT("Z"&amp;ROW()&amp;"S1",FALSE())))</formula>
    </cfRule>
  </conditionalFormatting>
  <conditionalFormatting sqref="D5">
    <cfRule type="expression" dxfId="22"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1" priority="4">
      <formula>NOT(EXACT(INDIRECT("Z"&amp;ROW()-1&amp;"S1",FALSE()), INDIRECT("Z"&amp;ROW()&amp;"S1",FALSE())))</formula>
    </cfRule>
  </conditionalFormatting>
  <conditionalFormatting sqref="D13 D15">
    <cfRule type="expression" dxfId="20"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19"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A4F01102-C1CC-4A64-BFDD-CD674487EF50}"/>
    <dataValidation allowBlank="1" showInputMessage="1" showErrorMessage="1" promptTitle="Ratio at minimum operation point" prompt="Input/Output ratio at point of minimum operation (min-fract in 'Process' sheet)._x000a__x000a_All values have to be larger/equal to ratio!" sqref="E1" xr:uid="{CD624083-6DE2-45B8-B062-ED3D2F9EF36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77577EB-D566-415D-AC3D-E5230698C12F}">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DE14CBA5-98ED-43EC-97A8-B51142A00896}">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2036754E-0EAB-439E-BB1D-924850407A73}">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80CBDAFB-7C6E-455A-9C57-6C88528E83A4}">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AFCC5A7F-39A8-4C38-A77F-2EE714476909}">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89BC87AD-987D-4FA5-B9BE-8AE588AA4BE2}">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BA286AF9-5115-472C-BE0A-CCE1C14E2F88}">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B1C2B86F-C1BD-4D58-B6C5-3C82C5F28E86}">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1CDA2B11-652E-4184-9345-6CAA645D3E43}">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29BD2BF5-9E94-4E4E-8C55-AA16CB198982}">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0D554D4A-29E1-4D23-BD89-6A1EE6C9941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A5EC0948-133E-4CC7-8A93-C5E0B5E237D3}">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6A0D417C-8203-49D6-8ADE-FDA7BC0F02FA}">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94EFAC47-95D5-4EF0-8BFD-ABD5363A2ADE}">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I12" sqref="I12"/>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406359375</v>
      </c>
    </row>
    <row r="4" spans="1:2" x14ac:dyDescent="0.3">
      <c r="A4">
        <v>2</v>
      </c>
      <c r="B4">
        <v>406359375</v>
      </c>
    </row>
    <row r="5" spans="1:2" x14ac:dyDescent="0.3">
      <c r="A5">
        <v>3</v>
      </c>
      <c r="B5">
        <v>406359375</v>
      </c>
    </row>
    <row r="6" spans="1:2" x14ac:dyDescent="0.3">
      <c r="A6">
        <v>4</v>
      </c>
      <c r="B6">
        <v>406359375</v>
      </c>
    </row>
    <row r="7" spans="1:2" x14ac:dyDescent="0.3">
      <c r="A7">
        <v>5</v>
      </c>
      <c r="B7">
        <v>406359375</v>
      </c>
    </row>
    <row r="8" spans="1:2" x14ac:dyDescent="0.3">
      <c r="A8">
        <v>6</v>
      </c>
      <c r="B8">
        <v>406359375</v>
      </c>
    </row>
    <row r="9" spans="1:2" x14ac:dyDescent="0.3">
      <c r="A9">
        <v>7</v>
      </c>
      <c r="B9">
        <v>406359375</v>
      </c>
    </row>
    <row r="10" spans="1:2" x14ac:dyDescent="0.3">
      <c r="A10">
        <v>8</v>
      </c>
      <c r="B10">
        <v>406359375</v>
      </c>
    </row>
    <row r="11" spans="1:2" x14ac:dyDescent="0.3">
      <c r="A11">
        <v>9</v>
      </c>
      <c r="B11">
        <v>406359375</v>
      </c>
    </row>
    <row r="12" spans="1:2" x14ac:dyDescent="0.3">
      <c r="A12">
        <v>10</v>
      </c>
      <c r="B12">
        <v>406359375</v>
      </c>
    </row>
    <row r="13" spans="1:2" x14ac:dyDescent="0.3">
      <c r="A13">
        <v>11</v>
      </c>
      <c r="B13">
        <v>406359375</v>
      </c>
    </row>
    <row r="14" spans="1:2" x14ac:dyDescent="0.3">
      <c r="A14">
        <v>12</v>
      </c>
      <c r="B14">
        <v>406359375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2025-09-16T09:11:20Z</dcterms:modified>
</cp:coreProperties>
</file>