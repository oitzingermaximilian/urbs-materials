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F45D093D-FB9B-440A-B758-8CB8BC72F0D7}"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18" i="5"/>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<sst xmlns="http://schemas.openxmlformats.org/spreadsheetml/2006/main" count="282" uniqueCount="97">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</sst>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0" borderId="0" xfId="0" applyNumberFormat="1"/>
    <xf numFmtId="0" fontId="0" fillId="12" borderId="0" xfId="0" applyFill="1"/>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0">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G16" sqref="G16"/>
    </sheetView>
  </sheetViews>
  <sheetFormatPr baseColWidth="10" defaultColWidth="9.109375" defaultRowHeight="14.4" x14ac:dyDescent="0.3"/>
  <sheetData>
    <row r="1" spans="1:3" x14ac:dyDescent="0.3">
      <c r="A1" s="1" t="s">
        <v>0</v>
      </c>
      <c r="B1" s="1" t="s">
        <v>1</v>
      </c>
      <c r="C1" s="1" t="s">
        <v>2</v>
      </c>
    </row>
    <row r="2" spans="1:3" x14ac:dyDescent="0.3">
      <c r="A2" t="s">
        <v>3</v>
      </c>
      <c r="B2">
        <v>2036</v>
      </c>
      <c r="C2" t="s">
        <v>4</v>
      </c>
    </row>
    <row r="3" spans="1:3" x14ac:dyDescent="0.3">
      <c r="A3" t="s">
        <v>5</v>
      </c>
      <c r="B3" s="8">
        <v>129640000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2" sqref="A2:F11"/>
    </sheetView>
  </sheetViews>
  <sheetFormatPr baseColWidth="10" defaultColWidth="9.109375" defaultRowHeight="14.4" x14ac:dyDescent="0.3"/>
  <sheetData>
    <row r="1" spans="1:6" x14ac:dyDescent="0.3">
      <c r="A1" t="s">
        <v>10</v>
      </c>
      <c r="B1" t="s">
        <v>11</v>
      </c>
      <c r="C1" t="s">
        <v>12</v>
      </c>
      <c r="D1" s="21" t="s">
        <v>13</v>
      </c>
      <c r="E1" s="21" t="s">
        <v>14</v>
      </c>
      <c r="F1" s="22" t="s">
        <v>15</v>
      </c>
    </row>
    <row r="2" spans="1:6" x14ac:dyDescent="0.3">
      <c r="A2" s="10" t="s">
        <v>9</v>
      </c>
      <c r="B2" s="10" t="s">
        <v>17</v>
      </c>
      <c r="C2" s="10" t="s">
        <v>16</v>
      </c>
      <c r="D2" s="19" t="e">
        <f>NA()</f>
        <v>#N/A</v>
      </c>
      <c r="E2" s="19" t="e">
        <f>NA()</f>
        <v>#N/A</v>
      </c>
      <c r="F2" s="19" t="e">
        <f>NA()</f>
        <v>#N/A</v>
      </c>
    </row>
    <row r="3" spans="1:6" x14ac:dyDescent="0.3">
      <c r="A3" s="10" t="s">
        <v>9</v>
      </c>
      <c r="B3" s="10" t="s">
        <v>18</v>
      </c>
      <c r="C3" s="10" t="s">
        <v>19</v>
      </c>
      <c r="D3" s="19" t="e">
        <f>NA()</f>
        <v>#N/A</v>
      </c>
      <c r="E3" s="19" t="e">
        <f>NA()</f>
        <v>#N/A</v>
      </c>
      <c r="F3" s="19" t="e">
        <f>NA()</f>
        <v>#N/A</v>
      </c>
    </row>
    <row r="4" spans="1:6" x14ac:dyDescent="0.3">
      <c r="A4" s="10" t="s">
        <v>9</v>
      </c>
      <c r="B4" s="10" t="s">
        <v>20</v>
      </c>
      <c r="C4" s="10" t="s">
        <v>21</v>
      </c>
      <c r="D4">
        <v>8.64</v>
      </c>
      <c r="E4" s="23" t="s">
        <v>22</v>
      </c>
      <c r="F4" s="24" t="s">
        <v>22</v>
      </c>
    </row>
    <row r="5" spans="1:6" x14ac:dyDescent="0.3">
      <c r="A5" s="10" t="s">
        <v>9</v>
      </c>
      <c r="B5" s="10" t="s">
        <v>89</v>
      </c>
      <c r="C5" s="10" t="s">
        <v>21</v>
      </c>
      <c r="D5">
        <v>22.68</v>
      </c>
      <c r="E5" s="23" t="s">
        <v>22</v>
      </c>
      <c r="F5" s="24" t="s">
        <v>22</v>
      </c>
    </row>
    <row r="6" spans="1:6" x14ac:dyDescent="0.3">
      <c r="A6" s="10" t="s">
        <v>9</v>
      </c>
      <c r="B6" s="10" t="s">
        <v>23</v>
      </c>
      <c r="C6" s="10" t="s">
        <v>24</v>
      </c>
      <c r="D6">
        <v>113.4</v>
      </c>
      <c r="E6" s="23" t="s">
        <v>22</v>
      </c>
      <c r="F6" s="23" t="s">
        <v>22</v>
      </c>
    </row>
    <row r="7" spans="1:6" x14ac:dyDescent="0.3">
      <c r="A7" s="10" t="s">
        <v>9</v>
      </c>
      <c r="B7" s="10" t="s">
        <v>25</v>
      </c>
      <c r="C7" s="10" t="s">
        <v>21</v>
      </c>
      <c r="D7">
        <v>67.680000000000007</v>
      </c>
      <c r="E7" s="23" t="s">
        <v>22</v>
      </c>
      <c r="F7" s="24" t="s">
        <v>22</v>
      </c>
    </row>
    <row r="8" spans="1:6" x14ac:dyDescent="0.3">
      <c r="A8" s="10" t="s">
        <v>9</v>
      </c>
      <c r="B8" s="10" t="s">
        <v>26</v>
      </c>
      <c r="C8" s="10" t="s">
        <v>21</v>
      </c>
      <c r="D8">
        <v>6.12</v>
      </c>
      <c r="E8" s="23" t="s">
        <v>22</v>
      </c>
      <c r="F8" s="24" t="s">
        <v>22</v>
      </c>
    </row>
    <row r="9" spans="1:6" x14ac:dyDescent="0.3">
      <c r="A9" s="10" t="s">
        <v>9</v>
      </c>
      <c r="B9" s="10" t="s">
        <v>27</v>
      </c>
      <c r="C9" s="10" t="s">
        <v>21</v>
      </c>
      <c r="D9">
        <v>6.48</v>
      </c>
      <c r="E9" s="23" t="s">
        <v>22</v>
      </c>
      <c r="F9" s="24" t="s">
        <v>22</v>
      </c>
    </row>
    <row r="10" spans="1:6" x14ac:dyDescent="0.3">
      <c r="A10" s="10" t="s">
        <v>9</v>
      </c>
      <c r="B10" s="10" t="s">
        <v>90</v>
      </c>
      <c r="C10" s="10" t="s">
        <v>21</v>
      </c>
      <c r="D10">
        <v>32.04</v>
      </c>
      <c r="E10" s="23" t="s">
        <v>22</v>
      </c>
      <c r="F10" s="24" t="s">
        <v>22</v>
      </c>
    </row>
    <row r="11" spans="1:6" x14ac:dyDescent="0.3">
      <c r="A11" s="10" t="s">
        <v>9</v>
      </c>
      <c r="B11" s="10" t="s">
        <v>91</v>
      </c>
      <c r="C11" s="10" t="s">
        <v>21</v>
      </c>
      <c r="D11">
        <v>32.04</v>
      </c>
      <c r="E11" s="23" t="s">
        <v>22</v>
      </c>
      <c r="F11" s="24" t="s">
        <v>22</v>
      </c>
    </row>
  </sheetData>
  <conditionalFormatting sqref="B8:B11">
    <cfRule type="expression" dxfId="44" priority="1">
      <formula>NOT(EXACT(INDIRECT("Z"&amp;ROW()-1&amp;"S1",FALSE()), INDIRECT("Z"&amp;ROW()&amp;"S1",FALSE())))</formula>
    </cfRule>
  </conditionalFormatting>
  <conditionalFormatting sqref="B2:B11">
    <cfRule type="duplicateValues" dxfId="43"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3F1331A5-86E6-43E3-9678-3A890436CE99}"/>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C01E1ECF-75B4-4871-B40C-4628598BD950}"/>
    <dataValidation allowBlank="1" showInputMessage="1" showErrorMessage="1" promptTitle="Maximum commodity use per hour" prompt="For stock commodities, this value limits the energy use per hour (MW)._x000a_" sqref="F1" xr:uid="{F29EEF32-F782-49BE-BDAF-8BF10CEE472A}"/>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2" customWidth="1"/>
    <col min="2" max="2" width="16.33203125" style="12" bestFit="1" customWidth="1"/>
    <col min="3" max="3" width="10.6640625" style="20" customWidth="1"/>
    <col min="4" max="4" width="19.5546875" style="20" customWidth="1"/>
    <col min="5" max="5" width="15.109375" style="20" customWidth="1"/>
    <col min="6" max="6" width="10.6640625" style="12" customWidth="1"/>
    <col min="7" max="7" width="24" style="20" customWidth="1"/>
    <col min="8" max="8" width="10.6640625" style="20" customWidth="1"/>
    <col min="9" max="9" width="10.6640625" style="35" customWidth="1"/>
    <col min="10" max="10" width="16.109375" style="12" bestFit="1" customWidth="1"/>
    <col min="11" max="11" width="10.5546875" style="12" customWidth="1"/>
    <col min="12" max="12" width="14.88671875" style="36" bestFit="1" customWidth="1"/>
    <col min="13" max="13" width="14.88671875" style="12" bestFit="1" customWidth="1"/>
    <col min="14" max="16384" width="11.44140625" style="12"/>
  </cols>
  <sheetData>
    <row r="1" spans="1:13" x14ac:dyDescent="0.3">
      <c r="A1" t="s">
        <v>10</v>
      </c>
      <c r="B1" t="s">
        <v>28</v>
      </c>
      <c r="C1" s="28" t="s">
        <v>29</v>
      </c>
      <c r="D1" s="28" t="s">
        <v>30</v>
      </c>
      <c r="E1" s="28" t="s">
        <v>31</v>
      </c>
      <c r="F1" s="29" t="s">
        <v>32</v>
      </c>
      <c r="G1" s="28" t="s">
        <v>33</v>
      </c>
      <c r="H1" s="28" t="s">
        <v>34</v>
      </c>
      <c r="I1" s="30" t="s">
        <v>35</v>
      </c>
      <c r="J1" s="29" t="s">
        <v>36</v>
      </c>
      <c r="K1" s="31" t="s">
        <v>37</v>
      </c>
      <c r="L1" s="31" t="s">
        <v>38</v>
      </c>
      <c r="M1" s="31" t="s">
        <v>39</v>
      </c>
    </row>
    <row r="2" spans="1:13" x14ac:dyDescent="0.3">
      <c r="A2" s="12" t="s">
        <v>9</v>
      </c>
      <c r="B2" s="12" t="s">
        <v>42</v>
      </c>
      <c r="C2" s="20">
        <v>0</v>
      </c>
      <c r="D2" s="20">
        <v>56122</v>
      </c>
      <c r="E2" s="14" t="s">
        <v>22</v>
      </c>
      <c r="F2" s="15">
        <v>0.5</v>
      </c>
      <c r="G2" s="17">
        <v>1784013.3448000001</v>
      </c>
      <c r="H2" s="32">
        <v>28544.213516799999</v>
      </c>
      <c r="I2" s="26">
        <v>2.7</v>
      </c>
      <c r="J2" s="16">
        <v>0</v>
      </c>
      <c r="K2" s="27">
        <v>7.2999999999999995E-2</v>
      </c>
      <c r="L2" s="16">
        <v>40</v>
      </c>
      <c r="M2" s="19" t="e">
        <v>#N/A</v>
      </c>
    </row>
    <row r="3" spans="1:13" x14ac:dyDescent="0.3">
      <c r="A3" s="12" t="s">
        <v>9</v>
      </c>
      <c r="B3" s="12" t="s">
        <v>92</v>
      </c>
      <c r="C3" s="20">
        <v>0</v>
      </c>
      <c r="D3" s="20">
        <v>43599</v>
      </c>
      <c r="E3" s="14" t="s">
        <v>22</v>
      </c>
      <c r="F3" s="15">
        <v>0.65</v>
      </c>
      <c r="G3" s="26">
        <v>2230016.6809999999</v>
      </c>
      <c r="H3" s="26">
        <v>47276.353627999997</v>
      </c>
      <c r="I3" s="16">
        <v>4.5</v>
      </c>
      <c r="J3" s="16">
        <v>0</v>
      </c>
      <c r="K3" s="27">
        <v>7.2999999999999995E-2</v>
      </c>
      <c r="L3" s="16">
        <v>40</v>
      </c>
      <c r="M3" s="19" t="e">
        <v>#N/A</v>
      </c>
    </row>
    <row r="4" spans="1:13" x14ac:dyDescent="0.3">
      <c r="A4" s="12" t="s">
        <v>9</v>
      </c>
      <c r="B4" s="12" t="s">
        <v>43</v>
      </c>
      <c r="C4" s="20">
        <v>0</v>
      </c>
      <c r="D4" s="20">
        <v>999999</v>
      </c>
      <c r="E4" s="14" t="s">
        <v>22</v>
      </c>
      <c r="F4" s="12">
        <v>0</v>
      </c>
      <c r="G4" s="26">
        <v>769358.55599999998</v>
      </c>
      <c r="H4" s="26">
        <v>16725.186000000002</v>
      </c>
      <c r="I4" s="16">
        <v>2.6</v>
      </c>
      <c r="J4" s="17">
        <v>0</v>
      </c>
      <c r="K4" s="27">
        <v>7.2999999999999995E-2</v>
      </c>
      <c r="L4" s="16">
        <v>25</v>
      </c>
      <c r="M4" s="19" t="e">
        <v>#N/A</v>
      </c>
    </row>
    <row r="5" spans="1:13" x14ac:dyDescent="0.3">
      <c r="A5" s="12" t="s">
        <v>9</v>
      </c>
      <c r="B5" s="12" t="s">
        <v>93</v>
      </c>
      <c r="C5" s="20">
        <v>0</v>
      </c>
      <c r="D5" s="20">
        <v>13483</v>
      </c>
      <c r="E5" s="14" t="s">
        <v>22</v>
      </c>
      <c r="F5" s="12">
        <v>0</v>
      </c>
      <c r="G5">
        <v>5648000</v>
      </c>
      <c r="H5" s="33">
        <v>16725.186000000002</v>
      </c>
      <c r="I5">
        <v>2.6</v>
      </c>
      <c r="J5" s="17">
        <v>0</v>
      </c>
      <c r="K5" s="18">
        <v>7.0999999999999994E-2</v>
      </c>
      <c r="L5" s="16">
        <v>25</v>
      </c>
      <c r="M5" s="19" t="e">
        <v>#N/A</v>
      </c>
    </row>
    <row r="6" spans="1:13" x14ac:dyDescent="0.3">
      <c r="A6" s="12" t="s">
        <v>9</v>
      </c>
      <c r="B6" s="12" t="s">
        <v>94</v>
      </c>
      <c r="C6" s="20">
        <v>0</v>
      </c>
      <c r="D6" s="20">
        <v>14578</v>
      </c>
      <c r="E6" s="14" t="s">
        <v>22</v>
      </c>
      <c r="F6" s="12">
        <v>0</v>
      </c>
      <c r="G6">
        <v>5648000</v>
      </c>
      <c r="H6" s="33">
        <v>16725.186000000002</v>
      </c>
      <c r="I6">
        <v>2.6</v>
      </c>
      <c r="J6" s="17">
        <v>0</v>
      </c>
      <c r="K6" s="18">
        <v>7.0999999999999994E-2</v>
      </c>
      <c r="L6" s="16">
        <v>25</v>
      </c>
      <c r="M6" s="19" t="e">
        <v>#N/A</v>
      </c>
    </row>
    <row r="7" spans="1:13" x14ac:dyDescent="0.3">
      <c r="A7" s="12" t="s">
        <v>9</v>
      </c>
      <c r="B7" s="12" t="s">
        <v>95</v>
      </c>
      <c r="C7" s="20">
        <v>0</v>
      </c>
      <c r="D7" s="20">
        <v>100000</v>
      </c>
      <c r="E7" s="14" t="s">
        <v>22</v>
      </c>
      <c r="F7" s="15">
        <v>0.5</v>
      </c>
      <c r="G7" s="16">
        <v>3512276.2719999999</v>
      </c>
      <c r="H7" s="16">
        <v>72141.039619999996</v>
      </c>
      <c r="I7" s="16">
        <v>6.5</v>
      </c>
      <c r="J7" s="17">
        <v>0</v>
      </c>
      <c r="K7" s="18">
        <v>7.0999999999999994E-2</v>
      </c>
      <c r="L7" s="16">
        <v>40</v>
      </c>
      <c r="M7" s="19" t="e">
        <v>#N/A</v>
      </c>
    </row>
    <row r="8" spans="1:13" x14ac:dyDescent="0.3">
      <c r="A8" s="12" t="s">
        <v>9</v>
      </c>
      <c r="B8" s="12" t="s">
        <v>96</v>
      </c>
      <c r="C8" s="20">
        <v>0</v>
      </c>
      <c r="D8" s="20">
        <v>100000</v>
      </c>
      <c r="E8" s="14" t="s">
        <v>22</v>
      </c>
      <c r="F8" s="15">
        <v>0.65</v>
      </c>
      <c r="G8" s="16">
        <v>3813328.52428</v>
      </c>
      <c r="H8" s="16">
        <v>72475.542125599997</v>
      </c>
      <c r="I8" s="16">
        <v>6.7</v>
      </c>
      <c r="J8" s="17">
        <v>0</v>
      </c>
      <c r="K8" s="18">
        <v>7.0999999999999994E-2</v>
      </c>
      <c r="L8" s="16">
        <v>40</v>
      </c>
      <c r="M8" s="19" t="e">
        <v>#N/A</v>
      </c>
    </row>
    <row r="9" spans="1:13" x14ac:dyDescent="0.3">
      <c r="A9" s="12" t="s">
        <v>9</v>
      </c>
      <c r="B9" s="12" t="s">
        <v>88</v>
      </c>
      <c r="C9" s="20">
        <v>0</v>
      </c>
      <c r="D9" s="20">
        <v>100000</v>
      </c>
      <c r="E9" s="14" t="s">
        <v>22</v>
      </c>
      <c r="F9" s="12">
        <v>0</v>
      </c>
      <c r="G9" s="16">
        <v>1811895.1500000001</v>
      </c>
      <c r="H9" s="16">
        <v>42593.5</v>
      </c>
      <c r="I9" s="16">
        <v>3.33</v>
      </c>
      <c r="J9" s="17">
        <v>0</v>
      </c>
      <c r="K9" s="18">
        <v>7.0999999999999994E-2</v>
      </c>
      <c r="L9" s="16">
        <v>25</v>
      </c>
      <c r="M9" s="19" t="e">
        <v>#N/A</v>
      </c>
    </row>
    <row r="10" spans="1:13" x14ac:dyDescent="0.3">
      <c r="A10" s="12" t="s">
        <v>9</v>
      </c>
      <c r="B10" s="13" t="s">
        <v>44</v>
      </c>
      <c r="C10" s="20">
        <v>0</v>
      </c>
      <c r="D10" s="20">
        <v>94198</v>
      </c>
      <c r="E10" s="14" t="s">
        <v>22</v>
      </c>
      <c r="F10" s="12">
        <v>0</v>
      </c>
      <c r="G10" s="26">
        <v>5630812.6200000001</v>
      </c>
      <c r="H10" s="32">
        <v>128226.42600000001</v>
      </c>
      <c r="I10" s="26">
        <v>8.3000000000000007</v>
      </c>
      <c r="J10" s="16">
        <v>0</v>
      </c>
      <c r="K10" s="27">
        <v>7.2999999999999995E-2</v>
      </c>
      <c r="L10" s="16">
        <v>60</v>
      </c>
      <c r="M10" s="19" t="e">
        <v>#N/A</v>
      </c>
    </row>
    <row r="11" spans="1:13" x14ac:dyDescent="0.3">
      <c r="A11" s="12" t="s">
        <v>9</v>
      </c>
      <c r="B11" s="13" t="s">
        <v>40</v>
      </c>
      <c r="C11" s="20">
        <v>0</v>
      </c>
      <c r="D11" s="20">
        <v>46703</v>
      </c>
      <c r="E11" s="14" t="s">
        <v>22</v>
      </c>
      <c r="F11" s="12">
        <v>0</v>
      </c>
      <c r="G11" s="26">
        <v>2676029.7599999998</v>
      </c>
      <c r="H11" s="26">
        <v>9143.1016799999998</v>
      </c>
      <c r="I11" s="26">
        <v>0</v>
      </c>
      <c r="J11" s="16">
        <v>0</v>
      </c>
      <c r="K11" s="27">
        <v>7.2999999999999995E-2</v>
      </c>
      <c r="L11" s="16">
        <v>60</v>
      </c>
      <c r="M11" s="19" t="e">
        <v>#N/A</v>
      </c>
    </row>
    <row r="12" spans="1:13" x14ac:dyDescent="0.3">
      <c r="A12" s="12" t="s">
        <v>9</v>
      </c>
      <c r="B12" s="13" t="s">
        <v>41</v>
      </c>
      <c r="C12" s="20">
        <v>0</v>
      </c>
      <c r="D12" s="20">
        <v>61218</v>
      </c>
      <c r="E12" s="14" t="s">
        <v>22</v>
      </c>
      <c r="F12" s="12">
        <v>0</v>
      </c>
      <c r="G12" s="16">
        <v>3345037.2</v>
      </c>
      <c r="H12" s="16">
        <v>28432.799999999999</v>
      </c>
      <c r="I12" s="16">
        <v>0.35699999999999998</v>
      </c>
      <c r="J12" s="16">
        <v>0</v>
      </c>
      <c r="K12" s="27">
        <v>7.2999999999999995E-2</v>
      </c>
      <c r="L12" s="16">
        <v>50</v>
      </c>
      <c r="M12" s="19" t="e">
        <v>#N/A</v>
      </c>
    </row>
    <row r="13" spans="1:13" x14ac:dyDescent="0.3">
      <c r="A13" s="12" t="s">
        <v>9</v>
      </c>
      <c r="B13" s="13" t="s">
        <v>45</v>
      </c>
      <c r="C13" s="20">
        <v>0</v>
      </c>
      <c r="D13" s="20">
        <v>999999</v>
      </c>
      <c r="E13" s="14" t="s">
        <v>22</v>
      </c>
      <c r="F13" s="12">
        <v>0</v>
      </c>
      <c r="G13" s="34">
        <v>5648000</v>
      </c>
      <c r="H13" s="34">
        <v>0</v>
      </c>
      <c r="I13" s="34">
        <v>53.2</v>
      </c>
      <c r="J13" s="16">
        <v>0</v>
      </c>
      <c r="K13" s="18">
        <v>7.0999999999999994E-2</v>
      </c>
      <c r="L13" s="16">
        <v>25</v>
      </c>
      <c r="M13" s="19" t="e">
        <v>#N/A</v>
      </c>
    </row>
  </sheetData>
  <conditionalFormatting sqref="P2:XFD4">
    <cfRule type="expression" dxfId="42" priority="15">
      <formula>NOT(EXACT(INDIRECT("Z"&amp;ROW()-1&amp;"S1",FALSE()), INDIRECT("Z"&amp;ROW()&amp;"S1",FALSE())))</formula>
    </cfRule>
  </conditionalFormatting>
  <conditionalFormatting sqref="A1:XFD1 A14:F14 L14:XFD14 A15:XFD1048576 N13:XFD13">
    <cfRule type="expression" dxfId="41" priority="17">
      <formula>NOT(EXACT(INDIRECT("Z"&amp;ROW()-1&amp;"S1",FALSE()), INDIRECT("Z"&amp;ROW()&amp;"S1",FALSE())))</formula>
    </cfRule>
  </conditionalFormatting>
  <conditionalFormatting sqref="N12:XFD12">
    <cfRule type="expression" dxfId="40" priority="16">
      <formula>NOT(EXACT(INDIRECT("Z"&amp;ROW()-1&amp;"S1",FALSE()), INDIRECT("Z"&amp;ROW()&amp;"S1",FALSE())))</formula>
    </cfRule>
  </conditionalFormatting>
  <conditionalFormatting sqref="C2:D13 F9:F13 F4:F6">
    <cfRule type="expression" dxfId="39" priority="14">
      <formula>NOT(EXACT(INDIRECT("Z"&amp;ROW()-1&amp;"S1",FALSE()), INDIRECT("Z"&amp;ROW()&amp;"S1",FALSE())))</formula>
    </cfRule>
  </conditionalFormatting>
  <conditionalFormatting sqref="E2:E4 E12:E13">
    <cfRule type="expression" dxfId="38" priority="13">
      <formula>NOT(EXACT(INDIRECT("Z"&amp;ROW()-1&amp;"S1",FALSE()), INDIRECT("Z"&amp;ROW()&amp;"S1",FALSE())))</formula>
    </cfRule>
  </conditionalFormatting>
  <conditionalFormatting sqref="F2">
    <cfRule type="expression" dxfId="37" priority="12">
      <formula>NOT(EXACT(INDIRECT("Z"&amp;ROW()-1&amp;"S1",FALSE()), INDIRECT("Z"&amp;ROW()&amp;"S1",FALSE())))</formula>
    </cfRule>
  </conditionalFormatting>
  <conditionalFormatting sqref="F7">
    <cfRule type="expression" dxfId="36" priority="11">
      <formula>NOT(EXACT(INDIRECT("Z"&amp;ROW()-1&amp;"S1",FALSE()), INDIRECT("Z"&amp;ROW()&amp;"S1",FALSE())))</formula>
    </cfRule>
  </conditionalFormatting>
  <conditionalFormatting sqref="B2:B9">
    <cfRule type="expression" dxfId="35" priority="10">
      <formula>NOT(EXACT(INDIRECT("Z"&amp;ROW()-1&amp;"S1",FALSE()), INDIRECT("Z"&amp;ROW()&amp;"S1",FALSE())))</formula>
    </cfRule>
  </conditionalFormatting>
  <conditionalFormatting sqref="A2:A4">
    <cfRule type="expression" dxfId="34" priority="9">
      <formula>NOT(EXACT(INDIRECT("Z"&amp;ROW()-1&amp;"S1",FALSE()), INDIRECT("Z"&amp;ROW()&amp;"S1",FALSE())))</formula>
    </cfRule>
  </conditionalFormatting>
  <conditionalFormatting sqref="A2:A13">
    <cfRule type="expression" dxfId="33" priority="8">
      <formula>NOT(EXACT(INDIRECT("Z"&amp;ROW()-1&amp;"S1",FALSE()), INDIRECT("Z"&amp;ROW()&amp;"S1",FALSE())))</formula>
    </cfRule>
  </conditionalFormatting>
  <conditionalFormatting sqref="B10">
    <cfRule type="expression" dxfId="32" priority="7">
      <formula>NOT(EXACT(INDIRECT("Z"&amp;ROW()-1&amp;"S1",FALSE()), INDIRECT("Z"&amp;ROW()&amp;"S1",FALSE())))</formula>
    </cfRule>
  </conditionalFormatting>
  <conditionalFormatting sqref="B11:B12">
    <cfRule type="expression" dxfId="31" priority="6">
      <formula>NOT(EXACT(INDIRECT("Z"&amp;ROW()-1&amp;"S1",FALSE()), INDIRECT("Z"&amp;ROW()&amp;"S1",FALSE())))</formula>
    </cfRule>
  </conditionalFormatting>
  <conditionalFormatting sqref="B11:B12">
    <cfRule type="expression" dxfId="30" priority="5">
      <formula>NOT(EXACT(INDIRECT("Z"&amp;ROW()-1&amp;"S1",FALSE()), INDIRECT("Z"&amp;ROW()&amp;"S1",FALSE())))</formula>
    </cfRule>
  </conditionalFormatting>
  <conditionalFormatting sqref="B13">
    <cfRule type="expression" dxfId="29" priority="4">
      <formula>NOT(EXACT(INDIRECT("Z"&amp;ROW()-1&amp;"S1",FALSE()), INDIRECT("Z"&amp;ROW()&amp;"S1",FALSE())))</formula>
    </cfRule>
  </conditionalFormatting>
  <conditionalFormatting sqref="M2">
    <cfRule type="expression" dxfId="28" priority="3">
      <formula>NOT(EXACT(INDIRECT("Z"&amp;ROW()-1&amp;"S1",FALSE()), INDIRECT("Z"&amp;ROW()&amp;"S1",FALSE())))</formula>
    </cfRule>
  </conditionalFormatting>
  <conditionalFormatting sqref="M11:M12">
    <cfRule type="expression" dxfId="27" priority="1">
      <formula>NOT(EXACT(INDIRECT("Z"&amp;ROW()-1&amp;"S1",FALSE()), INDIRECT("Z"&amp;ROW()&amp;"S1",FALSE())))</formula>
    </cfRule>
  </conditionalFormatting>
  <conditionalFormatting sqref="G11:I11">
    <cfRule type="expression" dxfId="26" priority="2">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8F10A16D-3454-445E-BFE1-C0AE33B0162D}"/>
    <dataValidation allowBlank="1" showInputMessage="1" showErrorMessage="1" promptTitle="Weighted average cost of capital" prompt="Percentage (%) of costs for capital after taxes. Used to calculate annuity factor for investment costs." sqref="K1" xr:uid="{1258A8AB-E78A-4659-8152-ECE9B8363134}"/>
    <dataValidation allowBlank="1" showInputMessage="1" showErrorMessage="1" promptTitle="Area use per capacity (m^2/MW) " prompt="If a process requires area set value here. If no area use is to be considered set NV(). " sqref="M1" xr:uid="{26ED700E-8433-4269-8DEA-7D33F63A2DC1}"/>
    <dataValidation allowBlank="1" showInputMessage="1" showErrorMessage="1" promptTitle="Minimum load fraction" prompt="This value sets the minimum possible fraction of the process capacity which the process can run at." sqref="F1" xr:uid="{BBE81650-926B-44DE-900F-471B434FFB85}"/>
    <dataValidation allowBlank="1" showInputMessage="1" showErrorMessage="1" promptTitle="Maximal power gradient (1/h)" prompt="Maximum allowed power gradient relative to power throughput capacity. Set value to inf or greater than 1/dt to disable it." sqref="E1" xr:uid="{1A873985-FDE0-424E-88B1-DDC34D10DEC6}"/>
    <dataValidation allowBlank="1" showInputMessage="1" showErrorMessage="1" promptTitle="Depreciation period (a)" prompt="Economic lifetime (more conservative than technical lifetime) of a process investment in years (a). Used to calculate annuity factor for investment costs." sqref="L1" xr:uid="{6755C74F-6DDE-49D5-BC3B-5E2775E8837F}"/>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515FAA72-ECD5-42EC-AFA1-628A9CC000CE}"/>
    <dataValidation allowBlank="1" showInputMessage="1" showErrorMessage="1" promptTitle="Annual fix cost (€/MW/a)" prompt="Operation independent costs for existing and new capacities per MW throughput power." sqref="H1" xr:uid="{40552217-B1D5-48EC-85B0-30BD6E619890}"/>
    <dataValidation allowBlank="1" showInputMessage="1" showErrorMessage="1" promptTitle="Investment cost (€/MW)" prompt="Total investement cost for adding capacity. Is annualized in the model using the annuity factor derived from 'wacc' and 'depreciation'." sqref="G1" xr:uid="{E234FABF-4C4C-4167-8B55-5644523E9341}"/>
    <dataValidation allowBlank="1" showInputMessage="1" showErrorMessage="1" promptTitle="Maximum capacity (MW)" prompt="Maximum allowed power throughput capacity per process. Must be bigger than or equal to max('cap-lo', 'inst-cap')." sqref="D1" xr:uid="{9FBC65BC-822D-46AA-AE21-ABA2CD5799C4}"/>
    <dataValidation allowBlank="1" showInputMessage="1" showErrorMessage="1" promptTitle="Minimum capacity (MW)" prompt="Minimum required power throughput capacity that is allowed per process. Must be smaller or equal to 'cap-up', but can be bigger than 'inst-cap' to force investment." sqref="C1" xr:uid="{37E4A21E-5CC0-4D50-9FB2-5848E21FFF9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23" sqref="H23"/>
    </sheetView>
  </sheetViews>
  <sheetFormatPr baseColWidth="10" defaultColWidth="11.44140625" defaultRowHeight="14.4" x14ac:dyDescent="0.3"/>
  <cols>
    <col min="1" max="1" width="16.33203125" style="12" bestFit="1" customWidth="1"/>
    <col min="2" max="2" width="13.5546875" style="12" bestFit="1" customWidth="1"/>
    <col min="3" max="3" width="11.44140625" style="12" bestFit="1"/>
    <col min="4" max="4" width="20.6640625" style="38" customWidth="1"/>
    <col min="5" max="5" width="18.5546875" style="38" customWidth="1"/>
    <col min="6" max="16384" width="11.44140625" style="12"/>
  </cols>
  <sheetData>
    <row r="1" spans="1:5" x14ac:dyDescent="0.3">
      <c r="A1" t="s">
        <v>28</v>
      </c>
      <c r="B1" t="s">
        <v>11</v>
      </c>
      <c r="C1" t="s">
        <v>46</v>
      </c>
      <c r="D1" s="37" t="s">
        <v>47</v>
      </c>
      <c r="E1" s="37" t="s">
        <v>48</v>
      </c>
    </row>
    <row r="2" spans="1:5" x14ac:dyDescent="0.3">
      <c r="A2" s="12" t="s">
        <v>92</v>
      </c>
      <c r="B2" s="10" t="s">
        <v>20</v>
      </c>
      <c r="C2" s="10" t="s">
        <v>49</v>
      </c>
      <c r="D2" s="11">
        <v>1</v>
      </c>
      <c r="E2" s="11">
        <v>2</v>
      </c>
    </row>
    <row r="3" spans="1:5" x14ac:dyDescent="0.3">
      <c r="A3" s="12" t="s">
        <v>92</v>
      </c>
      <c r="B3" s="10" t="s">
        <v>18</v>
      </c>
      <c r="C3" s="10" t="s">
        <v>50</v>
      </c>
      <c r="D3" s="25">
        <v>0.42</v>
      </c>
      <c r="E3" s="11" t="e">
        <f>NA()</f>
        <v>#N/A</v>
      </c>
    </row>
    <row r="4" spans="1:5" x14ac:dyDescent="0.3">
      <c r="A4" s="12" t="s">
        <v>92</v>
      </c>
      <c r="B4" s="10" t="s">
        <v>23</v>
      </c>
      <c r="C4" s="10" t="s">
        <v>50</v>
      </c>
      <c r="D4" s="11">
        <v>0.36299999999999999</v>
      </c>
      <c r="E4" s="11">
        <v>0.8</v>
      </c>
    </row>
    <row r="5" spans="1:5" x14ac:dyDescent="0.3">
      <c r="A5" s="9" t="s">
        <v>43</v>
      </c>
      <c r="B5" s="10" t="s">
        <v>89</v>
      </c>
      <c r="C5" s="10" t="s">
        <v>49</v>
      </c>
      <c r="D5" s="11">
        <v>1</v>
      </c>
      <c r="E5" s="11">
        <v>1.2</v>
      </c>
    </row>
    <row r="6" spans="1:5" x14ac:dyDescent="0.3">
      <c r="A6" s="9" t="s">
        <v>43</v>
      </c>
      <c r="B6" s="10" t="s">
        <v>18</v>
      </c>
      <c r="C6" s="10" t="s">
        <v>50</v>
      </c>
      <c r="D6" s="25">
        <v>0.61</v>
      </c>
      <c r="E6" s="11" t="e">
        <f>NA()</f>
        <v>#N/A</v>
      </c>
    </row>
    <row r="7" spans="1:5" x14ac:dyDescent="0.3">
      <c r="A7" s="9" t="s">
        <v>43</v>
      </c>
      <c r="B7" s="10" t="s">
        <v>23</v>
      </c>
      <c r="C7" s="10" t="s">
        <v>50</v>
      </c>
      <c r="D7" s="7">
        <v>0.1855</v>
      </c>
      <c r="E7" s="11">
        <f>D7*E5</f>
        <v>0.22259999999999999</v>
      </c>
    </row>
    <row r="8" spans="1:5" x14ac:dyDescent="0.3">
      <c r="A8" s="9" t="s">
        <v>45</v>
      </c>
      <c r="B8" s="10" t="s">
        <v>25</v>
      </c>
      <c r="C8" s="10" t="s">
        <v>49</v>
      </c>
      <c r="D8" s="11">
        <v>1</v>
      </c>
      <c r="E8" s="11" t="e">
        <f>NA()</f>
        <v>#N/A</v>
      </c>
    </row>
    <row r="9" spans="1:5" x14ac:dyDescent="0.3">
      <c r="A9" s="9" t="s">
        <v>45</v>
      </c>
      <c r="B9" s="10" t="s">
        <v>18</v>
      </c>
      <c r="C9" s="10" t="s">
        <v>50</v>
      </c>
      <c r="D9" s="11">
        <v>0.35</v>
      </c>
      <c r="E9" s="11" t="e">
        <f>NA()</f>
        <v>#N/A</v>
      </c>
    </row>
    <row r="10" spans="1:5" x14ac:dyDescent="0.3">
      <c r="A10" s="9" t="s">
        <v>45</v>
      </c>
      <c r="B10" s="10" t="s">
        <v>23</v>
      </c>
      <c r="C10" s="10" t="s">
        <v>50</v>
      </c>
      <c r="D10" s="11">
        <v>0</v>
      </c>
      <c r="E10" s="11" t="e">
        <f>NA()</f>
        <v>#N/A</v>
      </c>
    </row>
    <row r="11" spans="1:5" x14ac:dyDescent="0.3">
      <c r="A11" s="9" t="s">
        <v>44</v>
      </c>
      <c r="B11" s="10" t="s">
        <v>26</v>
      </c>
      <c r="C11" s="10" t="s">
        <v>49</v>
      </c>
      <c r="D11" s="11">
        <v>1</v>
      </c>
      <c r="E11" s="11" t="e">
        <f>NA()</f>
        <v>#N/A</v>
      </c>
    </row>
    <row r="12" spans="1:5" x14ac:dyDescent="0.3">
      <c r="A12" s="9" t="s">
        <v>44</v>
      </c>
      <c r="B12" s="10" t="s">
        <v>18</v>
      </c>
      <c r="C12" s="10" t="s">
        <v>50</v>
      </c>
      <c r="D12" s="11">
        <v>0.38</v>
      </c>
      <c r="E12" s="11" t="e">
        <f>NA()</f>
        <v>#N/A</v>
      </c>
    </row>
    <row r="13" spans="1:5" x14ac:dyDescent="0.3">
      <c r="A13" s="9" t="s">
        <v>42</v>
      </c>
      <c r="B13" s="10" t="s">
        <v>27</v>
      </c>
      <c r="C13" s="10" t="s">
        <v>49</v>
      </c>
      <c r="D13" s="11">
        <v>1</v>
      </c>
      <c r="E13" s="11">
        <v>1.4</v>
      </c>
    </row>
    <row r="14" spans="1:5" x14ac:dyDescent="0.3">
      <c r="A14" s="9" t="s">
        <v>42</v>
      </c>
      <c r="B14" s="10" t="s">
        <v>18</v>
      </c>
      <c r="C14" s="10" t="s">
        <v>50</v>
      </c>
      <c r="D14" s="25">
        <v>0.46</v>
      </c>
      <c r="E14" s="11" t="e">
        <f>NA()</f>
        <v>#N/A</v>
      </c>
    </row>
    <row r="15" spans="1:5" x14ac:dyDescent="0.3">
      <c r="A15" s="9" t="s">
        <v>42</v>
      </c>
      <c r="B15" s="10" t="s">
        <v>23</v>
      </c>
      <c r="C15" s="10" t="s">
        <v>50</v>
      </c>
      <c r="D15" s="11">
        <v>0.34179999999999999</v>
      </c>
      <c r="E15" s="11">
        <f>D15*E13</f>
        <v>0.47851999999999995</v>
      </c>
    </row>
    <row r="16" spans="1:5" x14ac:dyDescent="0.3">
      <c r="A16" s="9" t="s">
        <v>40</v>
      </c>
      <c r="B16" s="10" t="s">
        <v>17</v>
      </c>
      <c r="C16" s="10" t="s">
        <v>49</v>
      </c>
      <c r="D16" s="11">
        <v>1</v>
      </c>
      <c r="E16" s="11" t="e">
        <f>NA()</f>
        <v>#N/A</v>
      </c>
    </row>
    <row r="17" spans="1:5" x14ac:dyDescent="0.3">
      <c r="A17" s="9" t="s">
        <v>40</v>
      </c>
      <c r="B17" s="10" t="s">
        <v>18</v>
      </c>
      <c r="C17" s="10" t="s">
        <v>50</v>
      </c>
      <c r="D17" s="11">
        <v>1</v>
      </c>
      <c r="E17" s="11" t="e">
        <f>NA()</f>
        <v>#N/A</v>
      </c>
    </row>
    <row r="18" spans="1:5" x14ac:dyDescent="0.3">
      <c r="A18" s="9" t="s">
        <v>41</v>
      </c>
      <c r="B18" s="10" t="s">
        <v>17</v>
      </c>
      <c r="C18" s="10" t="s">
        <v>49</v>
      </c>
      <c r="D18" s="11">
        <v>1</v>
      </c>
      <c r="E18" s="11" t="e">
        <f>NA()</f>
        <v>#N/A</v>
      </c>
    </row>
    <row r="19" spans="1:5" x14ac:dyDescent="0.3">
      <c r="A19" s="9" t="s">
        <v>41</v>
      </c>
      <c r="B19" s="10" t="s">
        <v>18</v>
      </c>
      <c r="C19" s="10" t="s">
        <v>50</v>
      </c>
      <c r="D19" s="11">
        <v>1</v>
      </c>
      <c r="E19" s="11" t="e">
        <f>NA()</f>
        <v>#N/A</v>
      </c>
    </row>
    <row r="20" spans="1:5" x14ac:dyDescent="0.3">
      <c r="A20" s="12" t="s">
        <v>95</v>
      </c>
      <c r="B20" s="10" t="s">
        <v>27</v>
      </c>
      <c r="C20" s="10" t="s">
        <v>49</v>
      </c>
      <c r="D20" s="11">
        <v>1</v>
      </c>
      <c r="E20" s="11" t="e">
        <f>NA()</f>
        <v>#N/A</v>
      </c>
    </row>
    <row r="21" spans="1:5" x14ac:dyDescent="0.3">
      <c r="A21" s="12" t="s">
        <v>95</v>
      </c>
      <c r="B21" s="10" t="s">
        <v>18</v>
      </c>
      <c r="C21" s="10" t="s">
        <v>50</v>
      </c>
      <c r="D21" s="11">
        <v>3.6999999999999998E-2</v>
      </c>
      <c r="E21" s="11" t="e">
        <f>D21*E19</f>
        <v>#N/A</v>
      </c>
    </row>
    <row r="22" spans="1:5" x14ac:dyDescent="0.3">
      <c r="A22" s="12" t="s">
        <v>95</v>
      </c>
      <c r="B22" s="10" t="s">
        <v>23</v>
      </c>
      <c r="C22" s="10" t="s">
        <v>50</v>
      </c>
      <c r="D22" s="11">
        <v>3.4180000000000002E-2</v>
      </c>
      <c r="E22" s="11" t="e">
        <f>D22*E20</f>
        <v>#N/A</v>
      </c>
    </row>
    <row r="23" spans="1:5" x14ac:dyDescent="0.3">
      <c r="A23" s="12" t="s">
        <v>96</v>
      </c>
      <c r="B23" s="10" t="s">
        <v>27</v>
      </c>
      <c r="C23" s="10" t="s">
        <v>49</v>
      </c>
      <c r="D23" s="11">
        <v>1</v>
      </c>
      <c r="E23" s="11" t="e">
        <f>NA()</f>
        <v>#N/A</v>
      </c>
    </row>
    <row r="24" spans="1:5" x14ac:dyDescent="0.3">
      <c r="A24" s="12" t="s">
        <v>96</v>
      </c>
      <c r="B24" s="10" t="s">
        <v>18</v>
      </c>
      <c r="C24" s="10" t="s">
        <v>50</v>
      </c>
      <c r="D24" s="11">
        <v>0.33</v>
      </c>
      <c r="E24" s="11" t="e">
        <f>D24*E21</f>
        <v>#N/A</v>
      </c>
    </row>
    <row r="25" spans="1:5" x14ac:dyDescent="0.3">
      <c r="A25" s="12" t="s">
        <v>96</v>
      </c>
      <c r="B25" s="10" t="s">
        <v>23</v>
      </c>
      <c r="C25" s="10" t="s">
        <v>50</v>
      </c>
      <c r="D25" s="11">
        <v>3.6299999999999999E-2</v>
      </c>
      <c r="E25" s="11" t="e">
        <f>D25*E23</f>
        <v>#N/A</v>
      </c>
    </row>
    <row r="26" spans="1:5" x14ac:dyDescent="0.3">
      <c r="A26" s="9" t="s">
        <v>88</v>
      </c>
      <c r="B26" s="10" t="s">
        <v>89</v>
      </c>
      <c r="C26" s="10" t="s">
        <v>49</v>
      </c>
      <c r="D26" s="11">
        <v>1</v>
      </c>
      <c r="E26" s="11">
        <v>1.2</v>
      </c>
    </row>
    <row r="27" spans="1:5" x14ac:dyDescent="0.3">
      <c r="A27" s="9" t="s">
        <v>88</v>
      </c>
      <c r="B27" s="10" t="s">
        <v>18</v>
      </c>
      <c r="C27" s="10" t="s">
        <v>50</v>
      </c>
      <c r="D27" s="11">
        <v>0.46</v>
      </c>
      <c r="E27" s="11" t="e">
        <f>NA()</f>
        <v>#N/A</v>
      </c>
    </row>
    <row r="28" spans="1:5" x14ac:dyDescent="0.3">
      <c r="A28" s="9" t="s">
        <v>88</v>
      </c>
      <c r="B28" s="10" t="s">
        <v>23</v>
      </c>
      <c r="C28" s="10" t="s">
        <v>50</v>
      </c>
      <c r="D28" s="11">
        <v>1.8550000000000001E-2</v>
      </c>
      <c r="E28" s="11" t="e">
        <f>NA()</f>
        <v>#N/A</v>
      </c>
    </row>
    <row r="29" spans="1:5" x14ac:dyDescent="0.3">
      <c r="A29" s="12" t="s">
        <v>93</v>
      </c>
      <c r="B29" s="10" t="s">
        <v>91</v>
      </c>
      <c r="C29" s="10" t="s">
        <v>49</v>
      </c>
      <c r="D29" s="11">
        <v>1</v>
      </c>
      <c r="E29" s="11" t="e">
        <f>D29*E27</f>
        <v>#N/A</v>
      </c>
    </row>
    <row r="30" spans="1:5" x14ac:dyDescent="0.3">
      <c r="A30" s="12" t="s">
        <v>93</v>
      </c>
      <c r="B30" s="10" t="s">
        <v>18</v>
      </c>
      <c r="C30" s="10" t="s">
        <v>50</v>
      </c>
      <c r="D30" s="11">
        <v>0.4</v>
      </c>
      <c r="E30" s="11" t="e">
        <f>NA()</f>
        <v>#N/A</v>
      </c>
    </row>
    <row r="31" spans="1:5" x14ac:dyDescent="0.3">
      <c r="A31" s="12" t="s">
        <v>93</v>
      </c>
      <c r="B31" s="10" t="s">
        <v>23</v>
      </c>
      <c r="C31" s="10" t="s">
        <v>50</v>
      </c>
      <c r="D31" s="11">
        <v>0.26700000000000002</v>
      </c>
      <c r="E31" s="11" t="e">
        <f>NA()</f>
        <v>#N/A</v>
      </c>
    </row>
    <row r="32" spans="1:5" x14ac:dyDescent="0.3">
      <c r="A32" s="12" t="s">
        <v>94</v>
      </c>
      <c r="B32" s="10" t="s">
        <v>90</v>
      </c>
      <c r="C32" s="10" t="s">
        <v>49</v>
      </c>
      <c r="D32" s="11">
        <v>1</v>
      </c>
      <c r="E32" s="11" t="e">
        <f>D32*E30</f>
        <v>#N/A</v>
      </c>
    </row>
    <row r="33" spans="1:5" x14ac:dyDescent="0.3">
      <c r="A33" s="12" t="s">
        <v>94</v>
      </c>
      <c r="B33" s="10" t="s">
        <v>18</v>
      </c>
      <c r="C33" s="10" t="s">
        <v>50</v>
      </c>
      <c r="D33" s="11">
        <v>0.4</v>
      </c>
      <c r="E33" s="11" t="e">
        <f>NA()</f>
        <v>#N/A</v>
      </c>
    </row>
    <row r="34" spans="1:5" x14ac:dyDescent="0.3">
      <c r="A34" s="12" t="s">
        <v>94</v>
      </c>
      <c r="B34" s="10" t="s">
        <v>23</v>
      </c>
      <c r="C34" s="10" t="s">
        <v>50</v>
      </c>
      <c r="D34" s="11">
        <v>0.26700000000000002</v>
      </c>
      <c r="E34" s="11" t="e">
        <f>NA()</f>
        <v>#N/A</v>
      </c>
    </row>
  </sheetData>
  <conditionalFormatting sqref="F2:XFD19">
    <cfRule type="expression" dxfId="25" priority="49">
      <formula>NOT(EXACT(INDIRECT("Z"&amp;ROW()-1&amp;"S1",FALSE()), INDIRECT("Z"&amp;ROW()&amp;"S1",FALSE())))</formula>
    </cfRule>
  </conditionalFormatting>
  <conditionalFormatting sqref="A1:XFD1">
    <cfRule type="expression" dxfId="24" priority="51">
      <formula>NOT(EXACT(INDIRECT("Z"&amp;ROW()-1&amp;"S1",FALSE()), INDIRECT("Z"&amp;ROW()&amp;"S1",FALSE())))</formula>
    </cfRule>
  </conditionalFormatting>
  <conditionalFormatting sqref="A20:XFD25 F26:XFD26 A27:XFD28 F29:XFD31 A32:XFD32 A66:XFD1048576 F33:XFD65">
    <cfRule type="expression" dxfId="23" priority="50">
      <formula>NOT(EXACT(INDIRECT("Z"&amp;ROW()-1&amp;"S1",FALSE()), INDIRECT("Z"&amp;ROW()&amp;"S1",FALSE())))</formula>
    </cfRule>
  </conditionalFormatting>
  <conditionalFormatting sqref="D1:E1">
    <cfRule type="dataBar" priority="52">
      <dataBar>
        <cfvo type="num" val="0"/>
        <cfvo type="num" val="2"/>
        <color rgb="FF638EC6"/>
      </dataBar>
    </cfRule>
  </conditionalFormatting>
  <conditionalFormatting sqref="D66:E1048576">
    <cfRule type="dataBar" priority="53">
      <dataBar>
        <cfvo type="num" val="0"/>
        <cfvo type="num" val="2"/>
        <color rgb="FF638EC6"/>
      </dataBar>
    </cfRule>
  </conditionalFormatting>
  <conditionalFormatting sqref="A5 A6:C19 D8:E12 B2:C4 D16:E19">
    <cfRule type="expression" dxfId="22" priority="43">
      <formula>NOT(EXACT(INDIRECT("Z"&amp;ROW()-1&amp;"S1",FALSE()), INDIRECT("Z"&amp;ROW()&amp;"S1",FALSE())))</formula>
    </cfRule>
  </conditionalFormatting>
  <conditionalFormatting sqref="B21:C25 C26 B27:C27">
    <cfRule type="expression" dxfId="21" priority="40">
      <formula>NOT(EXACT(INDIRECT("Z"&amp;ROW()-1&amp;"S1",FALSE()), INDIRECT("Z"&amp;ROW()&amp;"S1",FALSE())))</formula>
    </cfRule>
  </conditionalFormatting>
  <conditionalFormatting sqref="B20:C20 A26:A28">
    <cfRule type="expression" dxfId="20" priority="41">
      <formula>NOT(EXACT(INDIRECT("Z"&amp;ROW()-1&amp;"S1",FALSE()), INDIRECT("Z"&amp;ROW()&amp;"S1",FALSE())))</formula>
    </cfRule>
  </conditionalFormatting>
  <conditionalFormatting sqref="C5">
    <cfRule type="expression" dxfId="19" priority="38">
      <formula>NOT(EXACT(INDIRECT("Z"&amp;ROW()-1&amp;"S1",FALSE()), INDIRECT("Z"&amp;ROW()&amp;"S1",FALSE())))</formula>
    </cfRule>
  </conditionalFormatting>
  <conditionalFormatting sqref="D8:D10">
    <cfRule type="dataBar" priority="47">
      <dataBar>
        <cfvo type="num" val="0"/>
        <cfvo type="num" val="2"/>
        <color rgb="FF638EC6"/>
      </dataBar>
      <extLst>
        <ext xmlns:x14="http://schemas.microsoft.com/office/spreadsheetml/2009/9/main" uri="{B025F937-C7B1-47D3-B67F-A62EFF666E3E}">
          <x14:id>{CFA09638-D67F-436D-9688-967FB1A3AE42}</x14:id>
        </ext>
      </extLst>
    </cfRule>
  </conditionalFormatting>
  <conditionalFormatting sqref="D8:D12 D16:D19">
    <cfRule type="dataBar" priority="42">
      <dataBar>
        <cfvo type="num" val="0"/>
        <cfvo type="num" val="2"/>
        <color rgb="FF638EC6"/>
      </dataBar>
      <extLst>
        <ext xmlns:x14="http://schemas.microsoft.com/office/spreadsheetml/2009/9/main" uri="{B025F937-C7B1-47D3-B67F-A62EFF666E3E}">
          <x14:id>{513CF54B-E675-41E3-953B-65C114DC2050}</x14:id>
        </ext>
      </extLst>
    </cfRule>
  </conditionalFormatting>
  <conditionalFormatting sqref="D11:E12">
    <cfRule type="dataBar" priority="48">
      <dataBar>
        <cfvo type="num" val="0"/>
        <cfvo type="num" val="2"/>
        <color rgb="FF638EC6"/>
      </dataBar>
      <extLst>
        <ext xmlns:x14="http://schemas.microsoft.com/office/spreadsheetml/2009/9/main" uri="{B025F937-C7B1-47D3-B67F-A62EFF666E3E}">
          <x14:id>{E0685084-D759-4069-987C-866A60505BC2}</x14:id>
        </ext>
      </extLst>
    </cfRule>
  </conditionalFormatting>
  <conditionalFormatting sqref="D16:E17">
    <cfRule type="dataBar" priority="45">
      <dataBar>
        <cfvo type="num" val="0"/>
        <cfvo type="num" val="2"/>
        <color rgb="FF638EC6"/>
      </dataBar>
      <extLst>
        <ext xmlns:x14="http://schemas.microsoft.com/office/spreadsheetml/2009/9/main" uri="{B025F937-C7B1-47D3-B67F-A62EFF666E3E}">
          <x14:id>{ACFD7A07-6D46-43B9-AB2E-5EA402E836DF}</x14:id>
        </ext>
      </extLst>
    </cfRule>
  </conditionalFormatting>
  <conditionalFormatting sqref="D18:E19">
    <cfRule type="dataBar" priority="44">
      <dataBar>
        <cfvo type="num" val="0"/>
        <cfvo type="num" val="2"/>
        <color rgb="FF638EC6"/>
      </dataBar>
      <extLst>
        <ext xmlns:x14="http://schemas.microsoft.com/office/spreadsheetml/2009/9/main" uri="{B025F937-C7B1-47D3-B67F-A62EFF666E3E}">
          <x14:id>{BBE5AB19-9629-4922-9C57-96B5353443F8}</x14:id>
        </ext>
      </extLst>
    </cfRule>
  </conditionalFormatting>
  <conditionalFormatting sqref="E8:E10">
    <cfRule type="dataBar" priority="46">
      <dataBar>
        <cfvo type="num" val="0"/>
        <cfvo type="num" val="2"/>
        <color rgb="FF638EC6"/>
      </dataBar>
      <extLst>
        <ext xmlns:x14="http://schemas.microsoft.com/office/spreadsheetml/2009/9/main" uri="{B025F937-C7B1-47D3-B67F-A62EFF666E3E}">
          <x14:id>{7E473789-C2D7-4D20-A986-1F54E72416AB}</x14:id>
        </ext>
      </extLst>
    </cfRule>
  </conditionalFormatting>
  <conditionalFormatting sqref="E29:E34">
    <cfRule type="expression" dxfId="18" priority="37">
      <formula>NOT(EXACT(INDIRECT("Z"&amp;ROW()-1&amp;"S1",FALSE()), INDIRECT("Z"&amp;ROW()&amp;"S1",FALSE())))</formula>
    </cfRule>
  </conditionalFormatting>
  <conditionalFormatting sqref="B28:C28">
    <cfRule type="expression" dxfId="17" priority="39">
      <formula>NOT(EXACT(INDIRECT("Z"&amp;ROW()-1&amp;"S1",FALSE()), INDIRECT("Z"&amp;ROW()&amp;"S1",FALSE())))</formula>
    </cfRule>
  </conditionalFormatting>
  <conditionalFormatting sqref="A2:A4">
    <cfRule type="expression" dxfId="16" priority="36">
      <formula>NOT(EXACT(INDIRECT("Z"&amp;ROW()-1&amp;"S1",FALSE()), INDIRECT("Z"&amp;ROW()&amp;"S1",FALSE())))</formula>
    </cfRule>
  </conditionalFormatting>
  <conditionalFormatting sqref="A29:A31">
    <cfRule type="expression" dxfId="15" priority="35">
      <formula>NOT(EXACT(INDIRECT("Z"&amp;ROW()-1&amp;"S1",FALSE()), INDIRECT("Z"&amp;ROW()&amp;"S1",FALSE())))</formula>
    </cfRule>
  </conditionalFormatting>
  <conditionalFormatting sqref="A32:A34">
    <cfRule type="expression" dxfId="14" priority="34">
      <formula>NOT(EXACT(INDIRECT("Z"&amp;ROW()-1&amp;"S1",FALSE()), INDIRECT("Z"&amp;ROW()&amp;"S1",FALSE())))</formula>
    </cfRule>
  </conditionalFormatting>
  <conditionalFormatting sqref="C29 B30:C30">
    <cfRule type="expression" dxfId="13" priority="32">
      <formula>NOT(EXACT(INDIRECT("Z"&amp;ROW()-1&amp;"S1",FALSE()), INDIRECT("Z"&amp;ROW()&amp;"S1",FALSE())))</formula>
    </cfRule>
  </conditionalFormatting>
  <conditionalFormatting sqref="E29">
    <cfRule type="dataBar" priority="31">
      <dataBar>
        <cfvo type="num" val="0"/>
        <cfvo type="num" val="2"/>
        <color rgb="FF638EC6"/>
      </dataBar>
      <extLst>
        <ext xmlns:x14="http://schemas.microsoft.com/office/spreadsheetml/2009/9/main" uri="{B025F937-C7B1-47D3-B67F-A62EFF666E3E}">
          <x14:id>{FDB23A0B-8C50-4574-8644-2454CD49FCBD}</x14:id>
        </ext>
      </extLst>
    </cfRule>
  </conditionalFormatting>
  <conditionalFormatting sqref="E30">
    <cfRule type="dataBar" priority="33">
      <dataBar>
        <cfvo type="num" val="0"/>
        <cfvo type="num" val="2"/>
        <color rgb="FF638EC6"/>
      </dataBar>
      <extLst>
        <ext xmlns:x14="http://schemas.microsoft.com/office/spreadsheetml/2009/9/main" uri="{B025F937-C7B1-47D3-B67F-A62EFF666E3E}">
          <x14:id>{15A84AA1-477B-4DF9-B0B3-C62EDA071878}</x14:id>
        </ext>
      </extLst>
    </cfRule>
  </conditionalFormatting>
  <conditionalFormatting sqref="E31">
    <cfRule type="dataBar" priority="30">
      <dataBar>
        <cfvo type="num" val="0"/>
        <cfvo type="num" val="2"/>
        <color rgb="FF638EC6"/>
      </dataBar>
      <extLst>
        <ext xmlns:x14="http://schemas.microsoft.com/office/spreadsheetml/2009/9/main" uri="{B025F937-C7B1-47D3-B67F-A62EFF666E3E}">
          <x14:id>{194D59B9-6C9F-4B5E-A9EC-6201E1AA4168}</x14:id>
        </ext>
      </extLst>
    </cfRule>
  </conditionalFormatting>
  <conditionalFormatting sqref="B31:C31">
    <cfRule type="expression" dxfId="12" priority="29">
      <formula>NOT(EXACT(INDIRECT("Z"&amp;ROW()-1&amp;"S1",FALSE()), INDIRECT("Z"&amp;ROW()&amp;"S1",FALSE())))</formula>
    </cfRule>
  </conditionalFormatting>
  <conditionalFormatting sqref="C32 B33:C33">
    <cfRule type="expression" dxfId="11" priority="27">
      <formula>NOT(EXACT(INDIRECT("Z"&amp;ROW()-1&amp;"S1",FALSE()), INDIRECT("Z"&amp;ROW()&amp;"S1",FALSE())))</formula>
    </cfRule>
  </conditionalFormatting>
  <conditionalFormatting sqref="E32">
    <cfRule type="dataBar" priority="26">
      <dataBar>
        <cfvo type="num" val="0"/>
        <cfvo type="num" val="2"/>
        <color rgb="FF638EC6"/>
      </dataBar>
      <extLst>
        <ext xmlns:x14="http://schemas.microsoft.com/office/spreadsheetml/2009/9/main" uri="{B025F937-C7B1-47D3-B67F-A62EFF666E3E}">
          <x14:id>{9BD3286B-2645-45C8-ACC2-FA8CC7C31DA3}</x14:id>
        </ext>
      </extLst>
    </cfRule>
  </conditionalFormatting>
  <conditionalFormatting sqref="E33">
    <cfRule type="dataBar" priority="28">
      <dataBar>
        <cfvo type="num" val="0"/>
        <cfvo type="num" val="2"/>
        <color rgb="FF638EC6"/>
      </dataBar>
      <extLst>
        <ext xmlns:x14="http://schemas.microsoft.com/office/spreadsheetml/2009/9/main" uri="{B025F937-C7B1-47D3-B67F-A62EFF666E3E}">
          <x14:id>{ABD558A4-8198-4E39-A23D-C15929E64139}</x14:id>
        </ext>
      </extLst>
    </cfRule>
  </conditionalFormatting>
  <conditionalFormatting sqref="E34">
    <cfRule type="dataBar" priority="25">
      <dataBar>
        <cfvo type="num" val="0"/>
        <cfvo type="num" val="2"/>
        <color rgb="FF638EC6"/>
      </dataBar>
      <extLst>
        <ext xmlns:x14="http://schemas.microsoft.com/office/spreadsheetml/2009/9/main" uri="{B025F937-C7B1-47D3-B67F-A62EFF666E3E}">
          <x14:id>{3E01D06A-D1E7-47DB-B244-F0C6293D3B06}</x14:id>
        </ext>
      </extLst>
    </cfRule>
  </conditionalFormatting>
  <conditionalFormatting sqref="B34:C34">
    <cfRule type="expression" dxfId="10" priority="24">
      <formula>NOT(EXACT(INDIRECT("Z"&amp;ROW()-1&amp;"S1",FALSE()), INDIRECT("Z"&amp;ROW()&amp;"S1",FALSE())))</formula>
    </cfRule>
  </conditionalFormatting>
  <conditionalFormatting sqref="A20:A22">
    <cfRule type="expression" dxfId="9" priority="23">
      <formula>NOT(EXACT(INDIRECT("Z"&amp;ROW()-1&amp;"S1",FALSE()), INDIRECT("Z"&amp;ROW()&amp;"S1",FALSE())))</formula>
    </cfRule>
  </conditionalFormatting>
  <conditionalFormatting sqref="A23:A25">
    <cfRule type="expression" dxfId="8" priority="22">
      <formula>NOT(EXACT(INDIRECT("Z"&amp;ROW()-1&amp;"S1",FALSE()), INDIRECT("Z"&amp;ROW()&amp;"S1",FALSE())))</formula>
    </cfRule>
  </conditionalFormatting>
  <conditionalFormatting sqref="D29:D34">
    <cfRule type="expression" dxfId="7" priority="20">
      <formula>NOT(EXACT(INDIRECT("Z"&amp;ROW()-1&amp;"S1",FALSE()), INDIRECT("Z"&amp;ROW()&amp;"S1",FALSE())))</formula>
    </cfRule>
  </conditionalFormatting>
  <conditionalFormatting sqref="D29:D34">
    <cfRule type="dataBar" priority="19">
      <dataBar>
        <cfvo type="num" val="0"/>
        <cfvo type="num" val="2"/>
        <color rgb="FF638EC6"/>
      </dataBar>
      <extLst>
        <ext xmlns:x14="http://schemas.microsoft.com/office/spreadsheetml/2009/9/main" uri="{B025F937-C7B1-47D3-B67F-A62EFF666E3E}">
          <x14:id>{5A48E29F-A62E-493C-AD4A-0AEBBE4C4F72}</x14:id>
        </ext>
      </extLst>
    </cfRule>
  </conditionalFormatting>
  <conditionalFormatting sqref="D29:D34">
    <cfRule type="dataBar" priority="21">
      <dataBar>
        <cfvo type="num" val="0"/>
        <cfvo type="num" val="2"/>
        <color rgb="FF638EC6"/>
      </dataBar>
      <extLst>
        <ext xmlns:x14="http://schemas.microsoft.com/office/spreadsheetml/2009/9/main" uri="{B025F937-C7B1-47D3-B67F-A62EFF666E3E}">
          <x14:id>{ED9D408C-600B-447F-999D-98FB531F03BE}</x14:id>
        </ext>
      </extLst>
    </cfRule>
  </conditionalFormatting>
  <conditionalFormatting sqref="E2:E4">
    <cfRule type="expression" dxfId="6" priority="14">
      <formula>NOT(EXACT(INDIRECT("Z"&amp;ROW()-1&amp;"S1",FALSE()), INDIRECT("Z"&amp;ROW()&amp;"S1",FALSE())))</formula>
    </cfRule>
  </conditionalFormatting>
  <conditionalFormatting sqref="D2 D4">
    <cfRule type="expression" dxfId="5" priority="15">
      <formula>NOT(EXACT(INDIRECT("Z"&amp;ROW()-1&amp;"S1",FALSE()), INDIRECT("Z"&amp;ROW()&amp;"S1",FALSE())))</formula>
    </cfRule>
  </conditionalFormatting>
  <conditionalFormatting sqref="D4">
    <cfRule type="dataBar" priority="16">
      <dataBar>
        <cfvo type="num" val="0"/>
        <cfvo type="num" val="2"/>
        <color rgb="FF638EC6"/>
      </dataBar>
    </cfRule>
  </conditionalFormatting>
  <conditionalFormatting sqref="D4 D2">
    <cfRule type="dataBar" priority="18">
      <dataBar>
        <cfvo type="num" val="0"/>
        <cfvo type="num" val="2"/>
        <color rgb="FF638EC6"/>
      </dataBar>
    </cfRule>
  </conditionalFormatting>
  <conditionalFormatting sqref="E2:E4 D2">
    <cfRule type="dataBar" priority="17">
      <dataBar>
        <cfvo type="num" val="0"/>
        <cfvo type="num" val="2"/>
        <color rgb="FF638EC6"/>
      </dataBar>
    </cfRule>
  </conditionalFormatting>
  <conditionalFormatting sqref="E5:E7">
    <cfRule type="expression" dxfId="4" priority="10">
      <formula>NOT(EXACT(INDIRECT("Z"&amp;ROW()-1&amp;"S1",FALSE()), INDIRECT("Z"&amp;ROW()&amp;"S1",FALSE())))</formula>
    </cfRule>
  </conditionalFormatting>
  <conditionalFormatting sqref="D5">
    <cfRule type="expression" dxfId="3" priority="11">
      <formula>NOT(EXACT(INDIRECT("Z"&amp;ROW()-1&amp;"S1",FALSE()), INDIRECT("Z"&amp;ROW()&amp;"S1",FALSE())))</formula>
    </cfRule>
  </conditionalFormatting>
  <conditionalFormatting sqref="D5">
    <cfRule type="dataBar" priority="13">
      <dataBar>
        <cfvo type="num" val="0"/>
        <cfvo type="num" val="2"/>
        <color rgb="FF638EC6"/>
      </dataBar>
    </cfRule>
  </conditionalFormatting>
  <conditionalFormatting sqref="E5:E7 D5">
    <cfRule type="dataBar" priority="12">
      <dataBar>
        <cfvo type="num" val="0"/>
        <cfvo type="num" val="2"/>
        <color rgb="FF638EC6"/>
      </dataBar>
    </cfRule>
  </conditionalFormatting>
  <conditionalFormatting sqref="E13:E15">
    <cfRule type="expression" dxfId="2" priority="4">
      <formula>NOT(EXACT(INDIRECT("Z"&amp;ROW()-1&amp;"S1",FALSE()), INDIRECT("Z"&amp;ROW()&amp;"S1",FALSE())))</formula>
    </cfRule>
  </conditionalFormatting>
  <conditionalFormatting sqref="D13 D15">
    <cfRule type="expression" dxfId="1" priority="6">
      <formula>NOT(EXACT(INDIRECT("Z"&amp;ROW()-1&amp;"S1",FALSE()), INDIRECT("Z"&amp;ROW()&amp;"S1",FALSE())))</formula>
    </cfRule>
  </conditionalFormatting>
  <conditionalFormatting sqref="D15 D13">
    <cfRule type="dataBar" priority="8">
      <dataBar>
        <cfvo type="num" val="0"/>
        <cfvo type="num" val="2"/>
        <color rgb="FF638EC6"/>
      </dataBar>
    </cfRule>
  </conditionalFormatting>
  <conditionalFormatting sqref="D15 D13">
    <cfRule type="dataBar" priority="7">
      <dataBar>
        <cfvo type="num" val="0"/>
        <cfvo type="num" val="2"/>
        <color rgb="FF638EC6"/>
      </dataBar>
    </cfRule>
  </conditionalFormatting>
  <conditionalFormatting sqref="D15">
    <cfRule type="dataBar" priority="5">
      <dataBar>
        <cfvo type="num" val="0"/>
        <cfvo type="num" val="2"/>
        <color rgb="FF638EC6"/>
      </dataBar>
    </cfRule>
  </conditionalFormatting>
  <conditionalFormatting sqref="E13:E15">
    <cfRule type="dataBar" priority="9">
      <dataBar>
        <cfvo type="num" val="0"/>
        <cfvo type="num" val="2"/>
        <color rgb="FF638EC6"/>
      </dataBar>
    </cfRule>
  </conditionalFormatting>
  <conditionalFormatting sqref="D20:E28">
    <cfRule type="expression" dxfId="0" priority="1">
      <formula>NOT(EXACT(INDIRECT("Z"&amp;ROW()-1&amp;"S1",FALSE()), INDIRECT("Z"&amp;ROW()&amp;"S1",FALSE())))</formula>
    </cfRule>
  </conditionalFormatting>
  <conditionalFormatting sqref="D20:E28">
    <cfRule type="dataBar" priority="2">
      <dataBar>
        <cfvo type="num" val="0"/>
        <cfvo type="num" val="2"/>
        <color rgb="FF638EC6"/>
      </dataBar>
    </cfRule>
    <cfRule type="dataBar" priority="3">
      <dataBar>
        <cfvo type="num" val="0"/>
        <cfvo type="num" val="2"/>
        <color rgb="FF638EC6"/>
      </dataBar>
    </cfRule>
  </conditionalFormatting>
  <dataValidations count="2">
    <dataValidation allowBlank="1" showInputMessage="1" showErrorMessage="1" promptTitle="Ratio (1)" prompt="Input/output quantities, relative to process throughput" sqref="D1" xr:uid="{B8B437C8-F7B5-4032-9D98-05AF4CF13B5C}"/>
    <dataValidation allowBlank="1" showInputMessage="1" showErrorMessage="1" promptTitle="Ratio at minimum operation point" prompt="Input/Output ratio at point of minimum operation (min-fract in 'Process' sheet)._x000a__x000a_All values have to be larger/equal to ratio!" sqref="E1" xr:uid="{40C74C84-F075-42B1-B089-33CC33DF5C59}"/>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FA09638-D67F-436D-9688-967FB1A3AE42}">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513CF54B-E675-41E3-953B-65C114DC2050}">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E0685084-D759-4069-987C-866A60505BC2}">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ACFD7A07-6D46-43B9-AB2E-5EA402E836DF}">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BBE5AB19-9629-4922-9C57-96B5353443F8}">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7E473789-C2D7-4D20-A986-1F54E72416AB}">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FDB23A0B-8C50-4574-8644-2454CD49FCBD}">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15A84AA1-477B-4DF9-B0B3-C62EDA071878}">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194D59B9-6C9F-4B5E-A9EC-6201E1AA4168}">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9BD3286B-2645-45C8-ACC2-FA8CC7C31DA3}">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ABD558A4-8198-4E39-A23D-C15929E64139}">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3E01D06A-D1E7-47DB-B244-F0C6293D3B06}">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5A48E29F-A62E-493C-AD4A-0AEBBE4C4F72}">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ED9D408C-600B-447F-999D-98FB531F03BE}">
            <x14:dataBar minLength="0" maxLength="100" gradient="0">
              <x14:cfvo type="num">
                <xm:f>0</xm:f>
              </x14:cfvo>
              <x14:cfvo type="num">
                <xm:f>2</xm:f>
              </x14:cfvo>
              <x14:negativeFillColor rgb="FFFF0000"/>
              <x14:axisColor rgb="FF000000"/>
            </x14:dataBar>
          </x14:cfRule>
          <xm:sqref>D29:D34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B3" sqref="B3:B14"/>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v>391229167</v>
      </c>
    </row>
    <row r="4" spans="1:2" x14ac:dyDescent="0.3">
      <c r="A4">
        <v>2</v>
      </c>
      <c r="B4">
        <v>391229167</v>
      </c>
    </row>
    <row r="5" spans="1:2" x14ac:dyDescent="0.3">
      <c r="A5">
        <v>3</v>
      </c>
      <c r="B5">
        <v>391229167</v>
      </c>
    </row>
    <row r="6" spans="1:2" x14ac:dyDescent="0.3">
      <c r="A6">
        <v>4</v>
      </c>
      <c r="B6">
        <v>391229167</v>
      </c>
    </row>
    <row r="7" spans="1:2" x14ac:dyDescent="0.3">
      <c r="A7">
        <v>5</v>
      </c>
      <c r="B7">
        <v>391229167</v>
      </c>
    </row>
    <row r="8" spans="1:2" x14ac:dyDescent="0.3">
      <c r="A8">
        <v>6</v>
      </c>
      <c r="B8">
        <v>391229167</v>
      </c>
    </row>
    <row r="9" spans="1:2" x14ac:dyDescent="0.3">
      <c r="A9">
        <v>7</v>
      </c>
      <c r="B9">
        <v>391229167</v>
      </c>
    </row>
    <row r="10" spans="1:2" x14ac:dyDescent="0.3">
      <c r="A10">
        <v>8</v>
      </c>
      <c r="B10">
        <v>391229167</v>
      </c>
    </row>
    <row r="11" spans="1:2" x14ac:dyDescent="0.3">
      <c r="A11">
        <v>9</v>
      </c>
      <c r="B11">
        <v>391229167</v>
      </c>
    </row>
    <row r="12" spans="1:2" x14ac:dyDescent="0.3">
      <c r="A12">
        <v>10</v>
      </c>
      <c r="B12">
        <v>391229167</v>
      </c>
    </row>
    <row r="13" spans="1:2" x14ac:dyDescent="0.3">
      <c r="A13">
        <v>11</v>
      </c>
      <c r="B13">
        <v>391229167</v>
      </c>
    </row>
    <row r="14" spans="1:2" x14ac:dyDescent="0.3">
      <c r="A14">
        <v>12</v>
      </c>
      <c r="B14">
        <v>391229167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2024-11-06T10:08:33Z</dcterms:created>
  <dcterms:modified xsi:type="dcterms:W3CDTF">2025-09-16T09:10:49Z</dcterms:modified>
</cp:coreProperties>
</file>