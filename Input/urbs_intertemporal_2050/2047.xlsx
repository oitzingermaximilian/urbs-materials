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636ADE6E-6B04-4436-A67A-30449989027B}"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5" i="5"/>
  <c r="E24" i="5"/>
  <c r="E20" i="5"/>
  <c r="E22" i="5" s="1"/>
  <c r="E19" i="5"/>
  <c r="E18" i="5"/>
  <c r="E21" i="5" s="1"/>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<sst xmlns="http://schemas.openxmlformats.org/spreadsheetml/2006/main" count="282" uniqueCount="97">
  <si>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</si>
  <si>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</si>
  <si>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</si>
  <si>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</si>
  <si>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</si>
  <si>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</si>
  <si>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</si>
  <si>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</si>
  <si>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</si>
  <si>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</si>
  <si>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</si>
  <si>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</si>
  <si>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</si>
  <si>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</si>
  <si>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</si>
  <si>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</si>
  <si>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</si>
  <si>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</si>
  <si>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</si>
  <si>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</si>
  <si>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</si>
  <si>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</si>
  <si>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</si>
  <si>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</si>
  <si>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</si>
  <si>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</si>
  <si>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</si>
  <si>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</si>
  <si>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</si>
  <si>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</si>
  <si>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</si>
  <si>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</si>
  <si>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</si>
  <si>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</si>
  <si>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</si>
  <si>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</si>
  <si>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</si>
  <si>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</si>
  <si>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</si>
  <si>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</si>
  <si>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</si>
  <si>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</si>
  <si>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</si>
  <si>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</si>
  <si>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</si>
  <si>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</si>
  <si>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</si>
  <si>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</si>
  <si>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</si>
  <si>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</si>
  <si>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</si>
  <si>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</si>
  <si>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</si>
  <si>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</si>
  <si>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</si>
  <si>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</si>
  <si>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</si>
  <si>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</si>
  <si>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</si>
  <si>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</si>
  <si>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</si>
  <si>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</si>
  <si>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</si>
  <si>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</si>
  <si>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</si>
  <si>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</si>
  <si>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</si>
  <si>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</si>
  <si>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</si>
  <si>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</si>
  <si>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</si>
  <si>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</si>
  <si>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</si>
  <si>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</si>
  <si>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</si>
  <si>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</si>
  <si>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</si>
  <si>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</si>
  <si>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</si>
  <si>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</si>
  <si>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</si>
  <si>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</si>
  <si>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</si>
  <si>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</si>
  <si>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</si>
  <si>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</si>
  <si>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</si>
  <si>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</si>
  <si>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</si>
  <si>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Lignite Plant</t>
  </si>
  <si>
    <t>Other non-res</t>
  </si>
  <si>
    <t>Oil Plant</t>
  </si>
  <si>
    <t>Coal Plant CCUS</t>
  </si>
  <si>
    <t>Lignite Plant CCUS</t>
  </si>
  <si>
    <t>Gas</t>
  </si>
  <si>
    <t>Oil</t>
  </si>
  <si>
    <t>Slack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</si>
</sst>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0" borderId="0" xfId="0"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0" fontId="0" fillId="7" borderId="0" xfId="0" applyFill="1" applyAlignment="1">
      <alignment horizontal="right"/>
    </xf>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7" borderId="0" xfId="0" applyNumberFormat="1" applyFill="1" applyAlignment="1">
      <alignment horizontal="right"/>
    </xf>
    <xf numFmtId="166" fontId="0" fillId="0" borderId="0" xfId="0" applyNumberFormat="1"/>
    <xf numFmtId="0" fontId="0" fillId="12" borderId="0" xfId="0" applyFill="1"/>
    <xf numFmtId="0" fontId="0" fillId="12" borderId="0" xfId="0" applyFill="1" applyAlignment="1">
      <alignment horizontal="right"/>
    </xf>
    <xf numFmtId="166" fontId="0" fillId="0" borderId="0" xfId="0" applyNumberFormat="1" applyAlignment="1">
      <alignment horizontal="right" indent="2"/>
    </xf>
    <xf numFmtId="0" fontId="0" fillId="0" borderId="0" xfId="0" applyAlignment="1">
      <alignment horizontal="right" indent="2"/>
    </xf>
    <xf numFmtId="3" fontId="0" fillId="0" borderId="0" xfId="0" applyNumberFormat="1" applyAlignment="1">
      <alignment horizontal="right"/>
    </xf>
    <xf numFmtId="0" fontId="0" fillId="0" borderId="0" xfId="0" applyAlignment="1">
      <alignment horizontal="right"/>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B3" sqref="B3"/>
    </sheetView>
  </sheetViews>
  <sheetFormatPr baseColWidth="10" defaultColWidth="9.109375" defaultRowHeight="14.4" x14ac:dyDescent="0.3"/>
  <sheetData>
    <row r="1" spans="1:3" x14ac:dyDescent="0.3">
      <c r="A1" s="1" t="s">
        <v>0</v>
      </c>
      <c r="B1" s="1" t="s">
        <v>1</v>
      </c>
      <c r="C1" s="1" t="s">
        <v>2</v>
      </c>
    </row>
    <row r="2" spans="1:3" x14ac:dyDescent="0.3">
      <c r="A2" t="s">
        <v>3</v>
      </c>
      <c r="B2">
        <v>2047</v>
      </c>
      <c r="C2" t="s">
        <v>4</v>
      </c>
    </row>
    <row r="3" spans="1:3" x14ac:dyDescent="0.3">
      <c r="A3" t="s">
        <v>5</v>
      </c>
      <c r="B3" s="8">
        <v>6600000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sqref="A1:XFD1048576"/>
    </sheetView>
  </sheetViews>
  <sheetFormatPr baseColWidth="10" defaultColWidth="11.44140625" defaultRowHeight="14.4" x14ac:dyDescent="0.3"/>
  <cols>
    <col min="1" max="1" width="10.6640625" style="13" customWidth="1"/>
    <col min="2" max="2" width="13.5546875" style="13" bestFit="1" customWidth="1"/>
    <col min="3" max="3" width="10.6640625" style="13" customWidth="1"/>
    <col min="4" max="5" width="10.6640625" style="41" customWidth="1"/>
    <col min="6" max="6" width="13.88671875" style="42" bestFit="1" customWidth="1"/>
    <col min="7" max="16384" width="11.44140625" style="13"/>
  </cols>
  <sheetData>
    <row r="1" spans="1:6" x14ac:dyDescent="0.3">
      <c r="A1" t="s">
        <v>10</v>
      </c>
      <c r="B1" t="s">
        <v>11</v>
      </c>
      <c r="C1" t="s">
        <v>12</v>
      </c>
      <c r="D1" s="23" t="s">
        <v>13</v>
      </c>
      <c r="E1" s="23" t="s">
        <v>14</v>
      </c>
      <c r="F1" s="24" t="s">
        <v>15</v>
      </c>
    </row>
    <row r="2" spans="1:6" x14ac:dyDescent="0.3">
      <c r="A2" s="11" t="s">
        <v>9</v>
      </c>
      <c r="B2" s="11" t="s">
        <v>17</v>
      </c>
      <c r="C2" s="11" t="s">
        <v>16</v>
      </c>
      <c r="D2" s="21" t="e">
        <f>NA()</f>
        <v>#N/A</v>
      </c>
      <c r="E2" s="21" t="e">
        <f>NA()</f>
        <v>#N/A</v>
      </c>
      <c r="F2" s="21" t="e">
        <f>NA()</f>
        <v>#N/A</v>
      </c>
    </row>
    <row r="3" spans="1:6" x14ac:dyDescent="0.3">
      <c r="A3" s="11" t="s">
        <v>9</v>
      </c>
      <c r="B3" s="11" t="s">
        <v>18</v>
      </c>
      <c r="C3" s="11" t="s">
        <v>19</v>
      </c>
      <c r="D3" s="21" t="e">
        <f>NA()</f>
        <v>#N/A</v>
      </c>
      <c r="E3" s="21" t="e">
        <f>NA()</f>
        <v>#N/A</v>
      </c>
      <c r="F3" s="21" t="e">
        <f>NA()</f>
        <v>#N/A</v>
      </c>
    </row>
    <row r="4" spans="1:6" x14ac:dyDescent="0.3">
      <c r="A4" s="11" t="s">
        <v>9</v>
      </c>
      <c r="B4" s="11" t="s">
        <v>20</v>
      </c>
      <c r="C4" s="11" t="s">
        <v>21</v>
      </c>
      <c r="D4">
        <v>8.64</v>
      </c>
      <c r="E4" s="25" t="s">
        <v>22</v>
      </c>
      <c r="F4" s="26" t="s">
        <v>22</v>
      </c>
    </row>
    <row r="5" spans="1:6" x14ac:dyDescent="0.3">
      <c r="A5" s="11" t="s">
        <v>9</v>
      </c>
      <c r="B5" s="11" t="s">
        <v>94</v>
      </c>
      <c r="C5" s="11" t="s">
        <v>21</v>
      </c>
      <c r="D5">
        <v>20.52</v>
      </c>
      <c r="E5" s="25" t="s">
        <v>22</v>
      </c>
      <c r="F5" s="26" t="s">
        <v>22</v>
      </c>
    </row>
    <row r="6" spans="1:6" x14ac:dyDescent="0.3">
      <c r="A6" s="11" t="s">
        <v>9</v>
      </c>
      <c r="B6" s="11" t="s">
        <v>23</v>
      </c>
      <c r="C6" s="11" t="s">
        <v>24</v>
      </c>
      <c r="D6">
        <v>147</v>
      </c>
      <c r="E6" s="25" t="s">
        <v>22</v>
      </c>
      <c r="F6" s="25" t="s">
        <v>22</v>
      </c>
    </row>
    <row r="7" spans="1:6" x14ac:dyDescent="0.3">
      <c r="A7" s="11" t="s">
        <v>9</v>
      </c>
      <c r="B7" s="11" t="s">
        <v>25</v>
      </c>
      <c r="C7" s="11" t="s">
        <v>21</v>
      </c>
      <c r="D7">
        <v>64.8</v>
      </c>
      <c r="E7" s="25" t="s">
        <v>22</v>
      </c>
      <c r="F7" s="26" t="s">
        <v>22</v>
      </c>
    </row>
    <row r="8" spans="1:6" x14ac:dyDescent="0.3">
      <c r="A8" s="11" t="s">
        <v>9</v>
      </c>
      <c r="B8" s="11" t="s">
        <v>26</v>
      </c>
      <c r="C8" s="11" t="s">
        <v>21</v>
      </c>
      <c r="D8">
        <v>6.12</v>
      </c>
      <c r="E8" s="25" t="s">
        <v>22</v>
      </c>
      <c r="F8" s="26" t="s">
        <v>22</v>
      </c>
    </row>
    <row r="9" spans="1:6" x14ac:dyDescent="0.3">
      <c r="A9" s="11" t="s">
        <v>9</v>
      </c>
      <c r="B9" s="11" t="s">
        <v>27</v>
      </c>
      <c r="C9" s="11" t="s">
        <v>21</v>
      </c>
      <c r="D9">
        <v>6.48</v>
      </c>
      <c r="E9" s="25" t="s">
        <v>22</v>
      </c>
      <c r="F9" s="26" t="s">
        <v>22</v>
      </c>
    </row>
    <row r="10" spans="1:6" x14ac:dyDescent="0.3">
      <c r="A10" s="11" t="s">
        <v>9</v>
      </c>
      <c r="B10" s="11" t="s">
        <v>95</v>
      </c>
      <c r="C10" s="11" t="s">
        <v>21</v>
      </c>
      <c r="D10">
        <v>32.04</v>
      </c>
      <c r="E10" s="25" t="s">
        <v>22</v>
      </c>
      <c r="F10" s="26" t="s">
        <v>22</v>
      </c>
    </row>
    <row r="11" spans="1:6" x14ac:dyDescent="0.3">
      <c r="A11" s="11" t="s">
        <v>9</v>
      </c>
      <c r="B11" s="11" t="s">
        <v>96</v>
      </c>
      <c r="C11" s="11" t="s">
        <v>21</v>
      </c>
      <c r="D11">
        <v>32.04</v>
      </c>
      <c r="E11" s="25" t="s">
        <v>22</v>
      </c>
      <c r="F11" s="26" t="s">
        <v>22</v>
      </c>
    </row>
  </sheetData>
  <conditionalFormatting sqref="B8:B11">
    <cfRule type="expression" dxfId="34" priority="1">
      <formula>NOT(EXACT(INDIRECT("Z"&amp;ROW()-1&amp;"S1",FALSE()), INDIRECT("Z"&amp;ROW()&amp;"S1",FALSE())))</formula>
    </cfRule>
  </conditionalFormatting>
  <conditionalFormatting sqref="B2:B11">
    <cfRule type="duplicateValues" dxfId="33"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4D23B81A-13DF-4C0D-B2C0-D7EE07DBC7E2}"/>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74F74959-90A2-4372-B537-EC21D17680DE}"/>
    <dataValidation allowBlank="1" showInputMessage="1" showErrorMessage="1" promptTitle="Maximum commodity use per hour" prompt="For stock commodities, this value limits the energy use per hour (MW)._x000a_" sqref="F1" xr:uid="{77666417-B041-43AE-8DED-3A58BC879F68}"/>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activeCell="D58" sqref="D58"/>
    </sheetView>
  </sheetViews>
  <sheetFormatPr baseColWidth="10" defaultColWidth="11.44140625" defaultRowHeight="14.4" x14ac:dyDescent="0.3"/>
  <cols>
    <col min="1" max="1" width="10.6640625" style="13" customWidth="1"/>
    <col min="2" max="2" width="16.33203125" style="13" bestFit="1" customWidth="1"/>
    <col min="3" max="3" width="10.6640625" style="22" customWidth="1"/>
    <col min="4" max="4" width="17.44140625" style="22" customWidth="1"/>
    <col min="5" max="5" width="15.109375" style="22" customWidth="1"/>
    <col min="6" max="6" width="10.6640625" style="13" customWidth="1"/>
    <col min="7" max="7" width="24" style="22" customWidth="1"/>
    <col min="8" max="8" width="10.6640625" style="22" customWidth="1"/>
    <col min="9" max="9" width="10.6640625" style="39" customWidth="1"/>
    <col min="10" max="10" width="16.109375" style="13" bestFit="1" customWidth="1"/>
    <col min="11" max="11" width="10.5546875" style="13" customWidth="1"/>
    <col min="12" max="12" width="14.88671875" style="40" bestFit="1" customWidth="1"/>
    <col min="13" max="13" width="14.88671875" style="13" bestFit="1" customWidth="1"/>
    <col min="14" max="16384" width="11.44140625" style="13"/>
  </cols>
  <sheetData>
    <row r="1" spans="1:13" x14ac:dyDescent="0.3">
      <c r="A1" t="s">
        <v>10</v>
      </c>
      <c r="B1" t="s">
        <v>28</v>
      </c>
      <c r="C1" s="30" t="s">
        <v>29</v>
      </c>
      <c r="D1" s="30" t="s">
        <v>30</v>
      </c>
      <c r="E1" s="30" t="s">
        <v>31</v>
      </c>
      <c r="F1" s="31" t="s">
        <v>32</v>
      </c>
      <c r="G1" s="30" t="s">
        <v>33</v>
      </c>
      <c r="H1" s="30" t="s">
        <v>34</v>
      </c>
      <c r="I1" s="32" t="s">
        <v>35</v>
      </c>
      <c r="J1" s="31" t="s">
        <v>36</v>
      </c>
      <c r="K1" s="33" t="s">
        <v>37</v>
      </c>
      <c r="L1" s="33" t="s">
        <v>38</v>
      </c>
      <c r="M1" s="33" t="s">
        <v>39</v>
      </c>
    </row>
    <row r="2" spans="1:13" x14ac:dyDescent="0.3">
      <c r="A2" s="13" t="s">
        <v>9</v>
      </c>
      <c r="B2" s="13" t="s">
        <v>42</v>
      </c>
      <c r="C2" s="22">
        <v>0</v>
      </c>
      <c r="D2" s="22">
        <v>56122</v>
      </c>
      <c r="E2" s="15" t="s">
        <v>22</v>
      </c>
      <c r="F2" s="16">
        <v>0.5</v>
      </c>
      <c r="G2" s="19">
        <v>1784013.3448000001</v>
      </c>
      <c r="H2" s="34">
        <v>28544.213516799999</v>
      </c>
      <c r="I2" s="35">
        <v>2.7</v>
      </c>
      <c r="J2" s="17">
        <v>0</v>
      </c>
      <c r="K2" s="29">
        <v>7.2999999999999995E-2</v>
      </c>
      <c r="L2" s="17">
        <v>40</v>
      </c>
      <c r="M2" s="21" t="e">
        <v>#N/A</v>
      </c>
    </row>
    <row r="3" spans="1:13" x14ac:dyDescent="0.3">
      <c r="A3" s="13" t="s">
        <v>9</v>
      </c>
      <c r="B3" s="13" t="s">
        <v>89</v>
      </c>
      <c r="C3" s="22">
        <v>0</v>
      </c>
      <c r="D3" s="22">
        <v>43599</v>
      </c>
      <c r="E3" s="15" t="s">
        <v>22</v>
      </c>
      <c r="F3" s="16">
        <v>0.65</v>
      </c>
      <c r="G3" s="28">
        <v>2230016.6809999999</v>
      </c>
      <c r="H3" s="28">
        <v>43931.328608800002</v>
      </c>
      <c r="I3" s="18">
        <v>3.2</v>
      </c>
      <c r="J3" s="17">
        <v>0</v>
      </c>
      <c r="K3" s="29">
        <v>7.2999999999999995E-2</v>
      </c>
      <c r="L3" s="17">
        <v>40</v>
      </c>
      <c r="M3" s="21" t="e">
        <v>#N/A</v>
      </c>
    </row>
    <row r="4" spans="1:13" x14ac:dyDescent="0.3">
      <c r="A4" s="13" t="s">
        <v>9</v>
      </c>
      <c r="B4" s="13" t="s">
        <v>43</v>
      </c>
      <c r="C4" s="22">
        <v>0</v>
      </c>
      <c r="D4" s="22">
        <v>999999</v>
      </c>
      <c r="E4" s="15" t="s">
        <v>22</v>
      </c>
      <c r="F4" s="13">
        <v>0</v>
      </c>
      <c r="G4" s="28">
        <v>735908.18400000012</v>
      </c>
      <c r="H4" s="28">
        <v>16725.186000000002</v>
      </c>
      <c r="I4" s="18">
        <v>2.6</v>
      </c>
      <c r="J4" s="19">
        <v>0</v>
      </c>
      <c r="K4" s="29">
        <v>7.2999999999999995E-2</v>
      </c>
      <c r="L4" s="17">
        <v>25</v>
      </c>
      <c r="M4" s="21" t="e">
        <v>#N/A</v>
      </c>
    </row>
    <row r="5" spans="1:13" x14ac:dyDescent="0.3">
      <c r="A5" s="13" t="s">
        <v>9</v>
      </c>
      <c r="B5" s="13" t="s">
        <v>90</v>
      </c>
      <c r="C5" s="22">
        <v>0</v>
      </c>
      <c r="D5" s="22">
        <v>13483</v>
      </c>
      <c r="E5" s="15" t="s">
        <v>22</v>
      </c>
      <c r="F5" s="13">
        <v>0</v>
      </c>
      <c r="G5">
        <v>5648000</v>
      </c>
      <c r="H5" s="36">
        <v>16725.186000000002</v>
      </c>
      <c r="I5">
        <v>2.6</v>
      </c>
      <c r="J5" s="19">
        <v>0</v>
      </c>
      <c r="K5" s="20">
        <v>7.0999999999999994E-2</v>
      </c>
      <c r="L5" s="17">
        <v>25</v>
      </c>
      <c r="M5" s="21" t="e">
        <v>#N/A</v>
      </c>
    </row>
    <row r="6" spans="1:13" x14ac:dyDescent="0.3">
      <c r="A6" s="13" t="s">
        <v>9</v>
      </c>
      <c r="B6" s="13" t="s">
        <v>91</v>
      </c>
      <c r="C6" s="22">
        <v>0</v>
      </c>
      <c r="D6" s="22">
        <v>14578</v>
      </c>
      <c r="E6" s="15" t="s">
        <v>22</v>
      </c>
      <c r="F6" s="13">
        <v>0</v>
      </c>
      <c r="G6">
        <v>5648000</v>
      </c>
      <c r="H6" s="36">
        <v>16725.186000000002</v>
      </c>
      <c r="I6">
        <v>2.6</v>
      </c>
      <c r="J6" s="19">
        <v>0</v>
      </c>
      <c r="K6" s="20">
        <v>7.0999999999999994E-2</v>
      </c>
      <c r="L6" s="17">
        <v>25</v>
      </c>
      <c r="M6" s="21" t="e">
        <v>#N/A</v>
      </c>
    </row>
    <row r="7" spans="1:13" x14ac:dyDescent="0.3">
      <c r="A7" s="13" t="s">
        <v>9</v>
      </c>
      <c r="B7" s="13" t="s">
        <v>92</v>
      </c>
      <c r="C7" s="22">
        <v>0</v>
      </c>
      <c r="D7" s="22">
        <v>100000</v>
      </c>
      <c r="E7" s="15" t="s">
        <v>22</v>
      </c>
      <c r="F7" s="16">
        <v>0.5</v>
      </c>
      <c r="G7" s="17">
        <v>3222374.1032400001</v>
      </c>
      <c r="H7" s="17">
        <v>61882.96289200001</v>
      </c>
      <c r="I7" s="18">
        <v>6.29</v>
      </c>
      <c r="J7" s="19">
        <v>0</v>
      </c>
      <c r="K7" s="20">
        <v>7.0999999999999994E-2</v>
      </c>
      <c r="L7" s="17">
        <v>40</v>
      </c>
      <c r="M7" s="21" t="e">
        <v>#N/A</v>
      </c>
    </row>
    <row r="8" spans="1:13" x14ac:dyDescent="0.3">
      <c r="A8" s="13" t="s">
        <v>9</v>
      </c>
      <c r="B8" s="13" t="s">
        <v>93</v>
      </c>
      <c r="C8" s="22">
        <v>0</v>
      </c>
      <c r="D8" s="22">
        <v>100000</v>
      </c>
      <c r="E8" s="15" t="s">
        <v>22</v>
      </c>
      <c r="F8" s="16">
        <v>0.65</v>
      </c>
      <c r="G8" s="17">
        <v>3623777.1062800004</v>
      </c>
      <c r="H8" s="17">
        <v>68684.513765600001</v>
      </c>
      <c r="I8" s="18">
        <v>4.7</v>
      </c>
      <c r="J8" s="19">
        <v>0</v>
      </c>
      <c r="K8" s="20">
        <v>7.0999999999999994E-2</v>
      </c>
      <c r="L8" s="17">
        <v>40</v>
      </c>
      <c r="M8" s="21" t="e">
        <v>#N/A</v>
      </c>
    </row>
    <row r="9" spans="1:13" x14ac:dyDescent="0.3">
      <c r="A9" s="13" t="s">
        <v>9</v>
      </c>
      <c r="B9" s="13" t="s">
        <v>88</v>
      </c>
      <c r="C9" s="22">
        <v>0</v>
      </c>
      <c r="D9" s="22">
        <v>100000</v>
      </c>
      <c r="E9" s="15" t="s">
        <v>22</v>
      </c>
      <c r="F9" s="13">
        <v>0</v>
      </c>
      <c r="G9" s="17">
        <v>1672518.6</v>
      </c>
      <c r="H9" s="17">
        <v>39025.4</v>
      </c>
      <c r="I9" s="18">
        <v>3.2</v>
      </c>
      <c r="J9" s="19">
        <v>0</v>
      </c>
      <c r="K9" s="20">
        <v>7.0999999999999994E-2</v>
      </c>
      <c r="L9" s="17">
        <v>25</v>
      </c>
      <c r="M9" s="21" t="e">
        <v>#N/A</v>
      </c>
    </row>
    <row r="10" spans="1:13" x14ac:dyDescent="0.3">
      <c r="A10" s="13" t="s">
        <v>9</v>
      </c>
      <c r="B10" s="14" t="s">
        <v>44</v>
      </c>
      <c r="C10" s="22">
        <v>0</v>
      </c>
      <c r="D10" s="22">
        <v>94198</v>
      </c>
      <c r="E10" s="15" t="s">
        <v>22</v>
      </c>
      <c r="F10" s="13">
        <v>0</v>
      </c>
      <c r="G10" s="28">
        <v>5296308.9000000004</v>
      </c>
      <c r="H10" s="34">
        <v>120421.3392</v>
      </c>
      <c r="I10" s="35">
        <v>8.5</v>
      </c>
      <c r="J10" s="17">
        <v>0</v>
      </c>
      <c r="K10" s="29">
        <v>7.2999999999999995E-2</v>
      </c>
      <c r="L10" s="17">
        <v>60</v>
      </c>
      <c r="M10" s="21" t="e">
        <v>#N/A</v>
      </c>
    </row>
    <row r="11" spans="1:13" x14ac:dyDescent="0.3">
      <c r="A11" s="13" t="s">
        <v>9</v>
      </c>
      <c r="B11" s="14" t="s">
        <v>40</v>
      </c>
      <c r="C11" s="22">
        <v>0</v>
      </c>
      <c r="D11" s="22">
        <v>46703</v>
      </c>
      <c r="E11" s="15" t="s">
        <v>22</v>
      </c>
      <c r="F11" s="13">
        <v>0</v>
      </c>
      <c r="G11" s="28">
        <v>2620279.14</v>
      </c>
      <c r="H11" s="28">
        <v>9143.1016799999998</v>
      </c>
      <c r="I11" s="35">
        <v>0</v>
      </c>
      <c r="J11" s="17">
        <v>0</v>
      </c>
      <c r="K11" s="29">
        <v>7.2999999999999995E-2</v>
      </c>
      <c r="L11" s="17">
        <v>60</v>
      </c>
      <c r="M11" s="21" t="e">
        <v>#N/A</v>
      </c>
    </row>
    <row r="12" spans="1:13" x14ac:dyDescent="0.3">
      <c r="A12" s="13" t="s">
        <v>9</v>
      </c>
      <c r="B12" s="14" t="s">
        <v>41</v>
      </c>
      <c r="C12" s="22">
        <v>0</v>
      </c>
      <c r="D12" s="22">
        <v>61218</v>
      </c>
      <c r="E12" s="15" t="s">
        <v>22</v>
      </c>
      <c r="F12" s="13">
        <v>0</v>
      </c>
      <c r="G12" s="17">
        <v>3345037.2</v>
      </c>
      <c r="H12" s="17">
        <v>28432.799999999999</v>
      </c>
      <c r="I12" s="18">
        <v>0.35699999999999998</v>
      </c>
      <c r="J12" s="17">
        <v>0</v>
      </c>
      <c r="K12" s="29">
        <v>7.2999999999999995E-2</v>
      </c>
      <c r="L12" s="17">
        <v>50</v>
      </c>
      <c r="M12" s="21" t="e">
        <v>#N/A</v>
      </c>
    </row>
    <row r="13" spans="1:13" x14ac:dyDescent="0.3">
      <c r="A13" s="13" t="s">
        <v>9</v>
      </c>
      <c r="B13" s="14" t="s">
        <v>45</v>
      </c>
      <c r="C13" s="22">
        <v>0</v>
      </c>
      <c r="D13" s="22">
        <v>999999</v>
      </c>
      <c r="E13" s="15" t="s">
        <v>22</v>
      </c>
      <c r="F13" s="13">
        <v>0</v>
      </c>
      <c r="G13" s="37">
        <v>5648000</v>
      </c>
      <c r="H13" s="37">
        <v>0</v>
      </c>
      <c r="I13" s="38">
        <v>53.2</v>
      </c>
      <c r="J13" s="17">
        <v>0</v>
      </c>
      <c r="K13" s="29">
        <v>7.2999999999999995E-2</v>
      </c>
      <c r="L13" s="17">
        <v>25</v>
      </c>
      <c r="M13" s="21" t="e">
        <v>#N/A</v>
      </c>
    </row>
  </sheetData>
  <conditionalFormatting sqref="P2:XFD4">
    <cfRule type="expression" dxfId="50" priority="14">
      <formula>NOT(EXACT(INDIRECT("Z"&amp;ROW()-1&amp;"S1",FALSE()), INDIRECT("Z"&amp;ROW()&amp;"S1",FALSE())))</formula>
    </cfRule>
  </conditionalFormatting>
  <conditionalFormatting sqref="A1:XFD1 A14:F15 J14:XFD15 A16:XFD1048576 N13:XFD13">
    <cfRule type="expression" dxfId="49" priority="16">
      <formula>NOT(EXACT(INDIRECT("Z"&amp;ROW()-1&amp;"S1",FALSE()), INDIRECT("Z"&amp;ROW()&amp;"S1",FALSE())))</formula>
    </cfRule>
  </conditionalFormatting>
  <conditionalFormatting sqref="N12:XFD12">
    <cfRule type="expression" dxfId="48" priority="15">
      <formula>NOT(EXACT(INDIRECT("Z"&amp;ROW()-1&amp;"S1",FALSE()), INDIRECT("Z"&amp;ROW()&amp;"S1",FALSE())))</formula>
    </cfRule>
  </conditionalFormatting>
  <conditionalFormatting sqref="C2:D13 F9:F13 F4:F6">
    <cfRule type="expression" dxfId="47" priority="13">
      <formula>NOT(EXACT(INDIRECT("Z"&amp;ROW()-1&amp;"S1",FALSE()), INDIRECT("Z"&amp;ROW()&amp;"S1",FALSE())))</formula>
    </cfRule>
  </conditionalFormatting>
  <conditionalFormatting sqref="E2:E4 E12:E13">
    <cfRule type="expression" dxfId="46" priority="12">
      <formula>NOT(EXACT(INDIRECT("Z"&amp;ROW()-1&amp;"S1",FALSE()), INDIRECT("Z"&amp;ROW()&amp;"S1",FALSE())))</formula>
    </cfRule>
  </conditionalFormatting>
  <conditionalFormatting sqref="F2">
    <cfRule type="expression" dxfId="45" priority="11">
      <formula>NOT(EXACT(INDIRECT("Z"&amp;ROW()-1&amp;"S1",FALSE()), INDIRECT("Z"&amp;ROW()&amp;"S1",FALSE())))</formula>
    </cfRule>
  </conditionalFormatting>
  <conditionalFormatting sqref="F7">
    <cfRule type="expression" dxfId="44" priority="10">
      <formula>NOT(EXACT(INDIRECT("Z"&amp;ROW()-1&amp;"S1",FALSE()), INDIRECT("Z"&amp;ROW()&amp;"S1",FALSE())))</formula>
    </cfRule>
  </conditionalFormatting>
  <conditionalFormatting sqref="B2:B9">
    <cfRule type="expression" dxfId="43" priority="9">
      <formula>NOT(EXACT(INDIRECT("Z"&amp;ROW()-1&amp;"S1",FALSE()), INDIRECT("Z"&amp;ROW()&amp;"S1",FALSE())))</formula>
    </cfRule>
  </conditionalFormatting>
  <conditionalFormatting sqref="A2:A4">
    <cfRule type="expression" dxfId="42" priority="8">
      <formula>NOT(EXACT(INDIRECT("Z"&amp;ROW()-1&amp;"S1",FALSE()), INDIRECT("Z"&amp;ROW()&amp;"S1",FALSE())))</formula>
    </cfRule>
  </conditionalFormatting>
  <conditionalFormatting sqref="A2:A13">
    <cfRule type="expression" dxfId="41" priority="7">
      <formula>NOT(EXACT(INDIRECT("Z"&amp;ROW()-1&amp;"S1",FALSE()), INDIRECT("Z"&amp;ROW()&amp;"S1",FALSE())))</formula>
    </cfRule>
  </conditionalFormatting>
  <conditionalFormatting sqref="B10">
    <cfRule type="expression" dxfId="40" priority="6">
      <formula>NOT(EXACT(INDIRECT("Z"&amp;ROW()-1&amp;"S1",FALSE()), INDIRECT("Z"&amp;ROW()&amp;"S1",FALSE())))</formula>
    </cfRule>
  </conditionalFormatting>
  <conditionalFormatting sqref="B11:B12">
    <cfRule type="expression" dxfId="39" priority="5">
      <formula>NOT(EXACT(INDIRECT("Z"&amp;ROW()-1&amp;"S1",FALSE()), INDIRECT("Z"&amp;ROW()&amp;"S1",FALSE())))</formula>
    </cfRule>
  </conditionalFormatting>
  <conditionalFormatting sqref="B11:B12">
    <cfRule type="expression" dxfId="38" priority="4">
      <formula>NOT(EXACT(INDIRECT("Z"&amp;ROW()-1&amp;"S1",FALSE()), INDIRECT("Z"&amp;ROW()&amp;"S1",FALSE())))</formula>
    </cfRule>
  </conditionalFormatting>
  <conditionalFormatting sqref="B13">
    <cfRule type="expression" dxfId="37" priority="3">
      <formula>NOT(EXACT(INDIRECT("Z"&amp;ROW()-1&amp;"S1",FALSE()), INDIRECT("Z"&amp;ROW()&amp;"S1",FALSE())))</formula>
    </cfRule>
  </conditionalFormatting>
  <conditionalFormatting sqref="M2">
    <cfRule type="expression" dxfId="36" priority="2">
      <formula>NOT(EXACT(INDIRECT("Z"&amp;ROW()-1&amp;"S1",FALSE()), INDIRECT("Z"&amp;ROW()&amp;"S1",FALSE())))</formula>
    </cfRule>
  </conditionalFormatting>
  <conditionalFormatting sqref="G11:I11">
    <cfRule type="expression" dxfId="35"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8D70BDE3-8477-402F-9092-119F20AA6143}"/>
    <dataValidation allowBlank="1" showInputMessage="1" showErrorMessage="1" promptTitle="Weighted average cost of capital" prompt="Percentage (%) of costs for capital after taxes. Used to calculate annuity factor for investment costs." sqref="K1" xr:uid="{28D745EB-908C-4F92-BC7C-FBA27B477596}"/>
    <dataValidation allowBlank="1" showInputMessage="1" showErrorMessage="1" promptTitle="Area use per capacity (m^2/MW) " prompt="If a process requires area set value here. If no area use is to be considered set NV(). " sqref="M1" xr:uid="{BB9E7703-0013-4C2B-B1C1-56626D2B1AA0}"/>
    <dataValidation allowBlank="1" showInputMessage="1" showErrorMessage="1" promptTitle="Minimum load fraction" prompt="This value sets the minimum possible fraction of the process capacity which the process can run at." sqref="F1" xr:uid="{27A1BECC-743C-4015-9EAB-1D50A6D1F197}"/>
    <dataValidation allowBlank="1" showInputMessage="1" showErrorMessage="1" promptTitle="Maximal power gradient (1/h)" prompt="Maximum allowed power gradient relative to power throughput capacity. Set value to inf or greater than 1/dt to disable it." sqref="E1" xr:uid="{7E8FA390-BD5C-4FFC-B577-D54CF7E2131C}"/>
    <dataValidation allowBlank="1" showInputMessage="1" showErrorMessage="1" promptTitle="Depreciation period (a)" prompt="Economic lifetime (more conservative than technical lifetime) of a process investment in years (a). Used to calculate annuity factor for investment costs." sqref="L1" xr:uid="{B36B9054-866C-493F-A288-A64F0C7A30E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B83DF883-EF08-4438-975B-1B4CB42A2FBA}"/>
    <dataValidation allowBlank="1" showInputMessage="1" showErrorMessage="1" promptTitle="Annual fix cost (€/MW/a)" prompt="Operation independent costs for existing and new capacities per MW throughput power." sqref="H1" xr:uid="{435EEED1-2C66-4608-82E7-D77FBC8475C1}"/>
    <dataValidation allowBlank="1" showInputMessage="1" showErrorMessage="1" promptTitle="Investment cost (€/MW)" prompt="Total investement cost for adding capacity. Is annualized in the model using the annuity factor derived from 'wacc' and 'depreciation'." sqref="G1" xr:uid="{FE7D4B0C-5003-49BC-8F51-7D763A61BA9E}"/>
    <dataValidation allowBlank="1" showInputMessage="1" showErrorMessage="1" promptTitle="Maximum capacity (MW)" prompt="Maximum allowed power throughput capacity per process. Must be bigger than or equal to max('cap-lo', 'inst-cap')." sqref="D1" xr:uid="{10EC902A-18A2-4D25-A39C-DB66D0A9EA81}"/>
    <dataValidation allowBlank="1" showInputMessage="1" showErrorMessage="1" promptTitle="Minimum capacity (MW)" prompt="Minimum required power throughput capacity that is allowed per process. Must be smaller or equal to 'cap-up', but can be bigger than 'inst-cap' to force investment." sqref="C1" xr:uid="{BDC67240-3334-4BAF-8B28-07C5EB7CAB18}"/>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J31" sqref="J31"/>
    </sheetView>
  </sheetViews>
  <sheetFormatPr baseColWidth="10" defaultColWidth="11.44140625" defaultRowHeight="14.4" x14ac:dyDescent="0.3"/>
  <cols>
    <col min="1" max="1" width="16.33203125" style="13" bestFit="1" customWidth="1"/>
    <col min="2" max="2" width="13.5546875" style="13" bestFit="1" customWidth="1"/>
    <col min="3" max="3" width="11.44140625" style="13" bestFit="1"/>
    <col min="4" max="4" width="20.6640625" style="44" customWidth="1"/>
    <col min="5" max="5" width="18.5546875" style="44" customWidth="1"/>
    <col min="6" max="16384" width="11.44140625" style="13"/>
  </cols>
  <sheetData>
    <row r="1" spans="1:5" x14ac:dyDescent="0.3">
      <c r="A1" t="s">
        <v>28</v>
      </c>
      <c r="B1" t="s">
        <v>11</v>
      </c>
      <c r="C1" t="s">
        <v>46</v>
      </c>
      <c r="D1" s="43" t="s">
        <v>47</v>
      </c>
      <c r="E1" s="43" t="s">
        <v>48</v>
      </c>
    </row>
    <row r="2" spans="1:5" x14ac:dyDescent="0.3">
      <c r="A2" s="13" t="s">
        <v>89</v>
      </c>
      <c r="B2" s="11" t="s">
        <v>20</v>
      </c>
      <c r="C2" s="11" t="s">
        <v>49</v>
      </c>
      <c r="D2" s="12">
        <v>1</v>
      </c>
      <c r="E2" s="12">
        <v>2</v>
      </c>
    </row>
    <row r="3" spans="1:5" x14ac:dyDescent="0.3">
      <c r="A3" s="13" t="s">
        <v>89</v>
      </c>
      <c r="B3" s="11" t="s">
        <v>18</v>
      </c>
      <c r="C3" s="11" t="s">
        <v>50</v>
      </c>
      <c r="D3" s="27">
        <v>0.43</v>
      </c>
      <c r="E3" s="12" t="e">
        <f>NA()</f>
        <v>#N/A</v>
      </c>
    </row>
    <row r="4" spans="1:5" x14ac:dyDescent="0.3">
      <c r="A4" s="13" t="s">
        <v>89</v>
      </c>
      <c r="B4" s="11" t="s">
        <v>23</v>
      </c>
      <c r="C4" s="11" t="s">
        <v>50</v>
      </c>
      <c r="D4" s="12">
        <v>0.36299999999999999</v>
      </c>
      <c r="E4" s="12">
        <v>0.8</v>
      </c>
    </row>
    <row r="5" spans="1:5" x14ac:dyDescent="0.3">
      <c r="A5" s="10" t="s">
        <v>43</v>
      </c>
      <c r="B5" s="11" t="s">
        <v>94</v>
      </c>
      <c r="C5" s="11" t="s">
        <v>49</v>
      </c>
      <c r="D5" s="12">
        <v>1</v>
      </c>
      <c r="E5" s="12">
        <v>1.2</v>
      </c>
    </row>
    <row r="6" spans="1:5" x14ac:dyDescent="0.3">
      <c r="A6" s="10" t="s">
        <v>43</v>
      </c>
      <c r="B6" s="11" t="s">
        <v>18</v>
      </c>
      <c r="C6" s="11" t="s">
        <v>50</v>
      </c>
      <c r="D6" s="27">
        <v>0.62</v>
      </c>
      <c r="E6" s="12" t="e">
        <f>NA()</f>
        <v>#N/A</v>
      </c>
    </row>
    <row r="7" spans="1:5" x14ac:dyDescent="0.3">
      <c r="A7" s="10" t="s">
        <v>43</v>
      </c>
      <c r="B7" s="11" t="s">
        <v>23</v>
      </c>
      <c r="C7" s="11" t="s">
        <v>50</v>
      </c>
      <c r="D7" s="7">
        <v>0.125</v>
      </c>
      <c r="E7" s="12">
        <f>D7*E5</f>
        <v>0.15</v>
      </c>
    </row>
    <row r="8" spans="1:5" x14ac:dyDescent="0.3">
      <c r="A8" s="10" t="s">
        <v>45</v>
      </c>
      <c r="B8" s="11" t="s">
        <v>25</v>
      </c>
      <c r="C8" s="11" t="s">
        <v>49</v>
      </c>
      <c r="D8" s="12">
        <v>1</v>
      </c>
      <c r="E8" s="12" t="e">
        <f>NA()</f>
        <v>#N/A</v>
      </c>
    </row>
    <row r="9" spans="1:5" x14ac:dyDescent="0.3">
      <c r="A9" s="10" t="s">
        <v>45</v>
      </c>
      <c r="B9" s="11" t="s">
        <v>18</v>
      </c>
      <c r="C9" s="11" t="s">
        <v>50</v>
      </c>
      <c r="D9" s="12">
        <v>0.35</v>
      </c>
      <c r="E9" s="12" t="e">
        <f>NA()</f>
        <v>#N/A</v>
      </c>
    </row>
    <row r="10" spans="1:5" x14ac:dyDescent="0.3">
      <c r="A10" s="10" t="s">
        <v>45</v>
      </c>
      <c r="B10" s="11" t="s">
        <v>23</v>
      </c>
      <c r="C10" s="11" t="s">
        <v>50</v>
      </c>
      <c r="D10" s="12">
        <v>0</v>
      </c>
      <c r="E10" s="12" t="e">
        <f>NA()</f>
        <v>#N/A</v>
      </c>
    </row>
    <row r="11" spans="1:5" x14ac:dyDescent="0.3">
      <c r="A11" s="10" t="s">
        <v>44</v>
      </c>
      <c r="B11" s="11" t="s">
        <v>26</v>
      </c>
      <c r="C11" s="11" t="s">
        <v>49</v>
      </c>
      <c r="D11" s="12">
        <v>1</v>
      </c>
      <c r="E11" s="12" t="e">
        <f>NA()</f>
        <v>#N/A</v>
      </c>
    </row>
    <row r="12" spans="1:5" x14ac:dyDescent="0.3">
      <c r="A12" s="10" t="s">
        <v>44</v>
      </c>
      <c r="B12" s="11" t="s">
        <v>18</v>
      </c>
      <c r="C12" s="11" t="s">
        <v>50</v>
      </c>
      <c r="D12" s="12">
        <v>0.38</v>
      </c>
      <c r="E12" s="12" t="e">
        <f>NA()</f>
        <v>#N/A</v>
      </c>
    </row>
    <row r="13" spans="1:5" x14ac:dyDescent="0.3">
      <c r="A13" s="10" t="s">
        <v>42</v>
      </c>
      <c r="B13" s="11" t="s">
        <v>27</v>
      </c>
      <c r="C13" s="11" t="s">
        <v>49</v>
      </c>
      <c r="D13" s="12">
        <v>1</v>
      </c>
      <c r="E13" s="12">
        <v>1.4</v>
      </c>
    </row>
    <row r="14" spans="1:5" x14ac:dyDescent="0.3">
      <c r="A14" s="10" t="s">
        <v>42</v>
      </c>
      <c r="B14" s="11" t="s">
        <v>18</v>
      </c>
      <c r="C14" s="11" t="s">
        <v>50</v>
      </c>
      <c r="D14" s="27">
        <v>0.47</v>
      </c>
      <c r="E14" s="12" t="e">
        <f>NA()</f>
        <v>#N/A</v>
      </c>
    </row>
    <row r="15" spans="1:5" x14ac:dyDescent="0.3">
      <c r="A15" s="10" t="s">
        <v>42</v>
      </c>
      <c r="B15" s="11" t="s">
        <v>23</v>
      </c>
      <c r="C15" s="11" t="s">
        <v>50</v>
      </c>
      <c r="D15" s="12">
        <v>0.34179999999999999</v>
      </c>
      <c r="E15" s="12">
        <f>D15*E13</f>
        <v>0.47851999999999995</v>
      </c>
    </row>
    <row r="16" spans="1:5" x14ac:dyDescent="0.3">
      <c r="A16" s="10" t="s">
        <v>40</v>
      </c>
      <c r="B16" s="11" t="s">
        <v>17</v>
      </c>
      <c r="C16" s="11" t="s">
        <v>49</v>
      </c>
      <c r="D16" s="12">
        <v>1</v>
      </c>
      <c r="E16" s="12" t="e">
        <f>NA()</f>
        <v>#N/A</v>
      </c>
    </row>
    <row r="17" spans="1:5" x14ac:dyDescent="0.3">
      <c r="A17" s="10" t="s">
        <v>40</v>
      </c>
      <c r="B17" s="11" t="s">
        <v>18</v>
      </c>
      <c r="C17" s="11" t="s">
        <v>50</v>
      </c>
      <c r="D17" s="12">
        <v>1</v>
      </c>
      <c r="E17" s="12" t="e">
        <f>NA()</f>
        <v>#N/A</v>
      </c>
    </row>
    <row r="18" spans="1:5" x14ac:dyDescent="0.3">
      <c r="A18" s="10" t="s">
        <v>41</v>
      </c>
      <c r="B18" s="11" t="s">
        <v>17</v>
      </c>
      <c r="C18" s="11" t="s">
        <v>49</v>
      </c>
      <c r="D18" s="12">
        <v>1</v>
      </c>
      <c r="E18" s="12" t="e">
        <f>NA()</f>
        <v>#N/A</v>
      </c>
    </row>
    <row r="19" spans="1:5" x14ac:dyDescent="0.3">
      <c r="A19" s="10" t="s">
        <v>41</v>
      </c>
      <c r="B19" s="11" t="s">
        <v>18</v>
      </c>
      <c r="C19" s="11" t="s">
        <v>50</v>
      </c>
      <c r="D19" s="12">
        <v>1</v>
      </c>
      <c r="E19" s="12" t="e">
        <f>NA()</f>
        <v>#N/A</v>
      </c>
    </row>
    <row r="20" spans="1:5" x14ac:dyDescent="0.3">
      <c r="A20" s="13" t="s">
        <v>92</v>
      </c>
      <c r="B20" s="11" t="s">
        <v>27</v>
      </c>
      <c r="C20" s="11" t="s">
        <v>49</v>
      </c>
      <c r="D20" s="12">
        <v>1</v>
      </c>
      <c r="E20" s="12" t="e">
        <f>NA()</f>
        <v>#N/A</v>
      </c>
    </row>
    <row r="21" spans="1:5" x14ac:dyDescent="0.3">
      <c r="A21" s="13" t="s">
        <v>92</v>
      </c>
      <c r="B21" s="11" t="s">
        <v>18</v>
      </c>
      <c r="C21" s="11" t="s">
        <v>50</v>
      </c>
      <c r="D21" s="12">
        <v>0.34</v>
      </c>
      <c r="E21" s="12" t="e">
        <f>D21*E18</f>
        <v>#N/A</v>
      </c>
    </row>
    <row r="22" spans="1:5" x14ac:dyDescent="0.3">
      <c r="A22" s="13" t="s">
        <v>92</v>
      </c>
      <c r="B22" s="11" t="s">
        <v>23</v>
      </c>
      <c r="C22" s="11" t="s">
        <v>50</v>
      </c>
      <c r="D22" s="12">
        <v>3.6299999999999999E-2</v>
      </c>
      <c r="E22" s="12" t="e">
        <f>D22*E20</f>
        <v>#N/A</v>
      </c>
    </row>
    <row r="23" spans="1:5" x14ac:dyDescent="0.3">
      <c r="A23" s="13" t="s">
        <v>93</v>
      </c>
      <c r="B23" s="11" t="s">
        <v>27</v>
      </c>
      <c r="C23" s="11" t="s">
        <v>49</v>
      </c>
      <c r="D23" s="12">
        <v>1</v>
      </c>
      <c r="E23" s="12">
        <v>1.2</v>
      </c>
    </row>
    <row r="24" spans="1:5" x14ac:dyDescent="0.3">
      <c r="A24" s="13" t="s">
        <v>93</v>
      </c>
      <c r="B24" s="11" t="s">
        <v>18</v>
      </c>
      <c r="C24" s="11" t="s">
        <v>50</v>
      </c>
      <c r="D24" s="12">
        <v>0.49</v>
      </c>
      <c r="E24" s="12" t="e">
        <f>NA()</f>
        <v>#N/A</v>
      </c>
    </row>
    <row r="25" spans="1:5" x14ac:dyDescent="0.3">
      <c r="A25" s="13" t="s">
        <v>93</v>
      </c>
      <c r="B25" s="11" t="s">
        <v>23</v>
      </c>
      <c r="C25" s="11" t="s">
        <v>50</v>
      </c>
      <c r="D25" s="12">
        <v>1.2500000000000001E-2</v>
      </c>
      <c r="E25" s="12" t="e">
        <f>NA()</f>
        <v>#N/A</v>
      </c>
    </row>
    <row r="26" spans="1:5" x14ac:dyDescent="0.3">
      <c r="A26" s="10" t="s">
        <v>88</v>
      </c>
      <c r="B26" s="11" t="s">
        <v>94</v>
      </c>
      <c r="C26" s="11" t="s">
        <v>49</v>
      </c>
      <c r="D26" s="12">
        <v>1</v>
      </c>
      <c r="E26" s="12">
        <v>1.2</v>
      </c>
    </row>
    <row r="27" spans="1:5" x14ac:dyDescent="0.3">
      <c r="A27" s="10" t="s">
        <v>88</v>
      </c>
      <c r="B27" s="11" t="s">
        <v>18</v>
      </c>
      <c r="C27" s="11" t="s">
        <v>50</v>
      </c>
      <c r="D27" s="27">
        <v>0.62</v>
      </c>
      <c r="E27" s="12" t="e">
        <f>NA()</f>
        <v>#N/A</v>
      </c>
    </row>
    <row r="28" spans="1:5" x14ac:dyDescent="0.3">
      <c r="A28" s="10" t="s">
        <v>88</v>
      </c>
      <c r="B28" s="11" t="s">
        <v>23</v>
      </c>
      <c r="C28" s="11" t="s">
        <v>50</v>
      </c>
      <c r="D28" s="7">
        <v>0.125</v>
      </c>
      <c r="E28" s="12">
        <f>D28*E26</f>
        <v>0.15</v>
      </c>
    </row>
    <row r="29" spans="1:5" x14ac:dyDescent="0.3">
      <c r="A29" s="13" t="s">
        <v>90</v>
      </c>
      <c r="B29" s="11" t="s">
        <v>96</v>
      </c>
      <c r="C29" s="11" t="s">
        <v>49</v>
      </c>
      <c r="D29" s="12">
        <v>1</v>
      </c>
      <c r="E29" s="12" t="e">
        <f>D29*E27</f>
        <v>#N/A</v>
      </c>
    </row>
    <row r="30" spans="1:5" x14ac:dyDescent="0.3">
      <c r="A30" s="13" t="s">
        <v>90</v>
      </c>
      <c r="B30" s="11" t="s">
        <v>18</v>
      </c>
      <c r="C30" s="11" t="s">
        <v>50</v>
      </c>
      <c r="D30" s="12">
        <v>0.4</v>
      </c>
      <c r="E30" s="12" t="e">
        <f>NA()</f>
        <v>#N/A</v>
      </c>
    </row>
    <row r="31" spans="1:5" x14ac:dyDescent="0.3">
      <c r="A31" s="13" t="s">
        <v>90</v>
      </c>
      <c r="B31" s="11" t="s">
        <v>23</v>
      </c>
      <c r="C31" s="11" t="s">
        <v>50</v>
      </c>
      <c r="D31" s="12">
        <v>0.26700000000000002</v>
      </c>
      <c r="E31" s="12" t="e">
        <f>NA()</f>
        <v>#N/A</v>
      </c>
    </row>
    <row r="32" spans="1:5" x14ac:dyDescent="0.3">
      <c r="A32" s="13" t="s">
        <v>91</v>
      </c>
      <c r="B32" s="11" t="s">
        <v>95</v>
      </c>
      <c r="C32" s="11" t="s">
        <v>49</v>
      </c>
      <c r="D32" s="12">
        <v>1</v>
      </c>
      <c r="E32" s="12" t="e">
        <f>D32*E30</f>
        <v>#N/A</v>
      </c>
    </row>
    <row r="33" spans="1:5" x14ac:dyDescent="0.3">
      <c r="A33" s="13" t="s">
        <v>91</v>
      </c>
      <c r="B33" s="11" t="s">
        <v>18</v>
      </c>
      <c r="C33" s="11" t="s">
        <v>50</v>
      </c>
      <c r="D33" s="12">
        <v>0.4</v>
      </c>
      <c r="E33" s="12" t="e">
        <f>NA()</f>
        <v>#N/A</v>
      </c>
    </row>
    <row r="34" spans="1:5" x14ac:dyDescent="0.3">
      <c r="A34" s="13" t="s">
        <v>91</v>
      </c>
      <c r="B34" s="11" t="s">
        <v>23</v>
      </c>
      <c r="C34" s="11" t="s">
        <v>50</v>
      </c>
      <c r="D34" s="12">
        <v>0.26700000000000002</v>
      </c>
      <c r="E34" s="12" t="e">
        <f>NA()</f>
        <v>#N/A</v>
      </c>
    </row>
  </sheetData>
  <conditionalFormatting sqref="A2:C4 E2:XFD19 A30:C31 E30:E31">
    <cfRule type="expression" dxfId="32" priority="61">
      <formula>NOT(EXACT(INDIRECT("Z"&amp;ROW()-1&amp;"S1",FALSE()), INDIRECT("Z"&amp;ROW()&amp;"S1",FALSE())))</formula>
    </cfRule>
  </conditionalFormatting>
  <conditionalFormatting sqref="A29:E29">
    <cfRule type="expression" dxfId="31" priority="58">
      <formula>NOT(EXACT(INDIRECT("Z"&amp;ROW()-1&amp;"S1",FALSE()), INDIRECT("Z"&amp;ROW()&amp;"S1",FALSE())))</formula>
    </cfRule>
  </conditionalFormatting>
  <conditionalFormatting sqref="A1:XFD1 A5 C5 A6:C19">
    <cfRule type="expression" dxfId="30" priority="73">
      <formula>NOT(EXACT(INDIRECT("Z"&amp;ROW()-1&amp;"S1",FALSE()), INDIRECT("Z"&amp;ROW()&amp;"S1",FALSE())))</formula>
    </cfRule>
  </conditionalFormatting>
  <conditionalFormatting sqref="A20:XFD25 A26 C26:XFD26 A27:XFD28 F29:XFD31 A32:XFD33 A35:XFD1048576 F34:XFD34">
    <cfRule type="expression" dxfId="29" priority="62">
      <formula>NOT(EXACT(INDIRECT("Z"&amp;ROW()-1&amp;"S1",FALSE()), INDIRECT("Z"&amp;ROW()&amp;"S1",FALSE())))</formula>
    </cfRule>
  </conditionalFormatting>
  <conditionalFormatting sqref="D2 D4:D5 D8:D13 D15:D19">
    <cfRule type="expression" dxfId="28" priority="66">
      <formula>NOT(EXACT(INDIRECT("Z"&amp;ROW()-1&amp;"S1",FALSE()), INDIRECT("Z"&amp;ROW()&amp;"S1",FALSE())))</formula>
    </cfRule>
  </conditionalFormatting>
  <conditionalFormatting sqref="D4">
    <cfRule type="dataBar" priority="68">
      <dataBar>
        <cfvo type="num" val="0"/>
        <cfvo type="num" val="2"/>
        <color rgb="FF638EC6"/>
      </dataBar>
    </cfRule>
  </conditionalFormatting>
  <conditionalFormatting sqref="D4:D5 D8:D13 D15:D19 D2">
    <cfRule type="dataBar" priority="72">
      <dataBar>
        <cfvo type="num" val="0"/>
        <cfvo type="num" val="2"/>
        <color rgb="FF638EC6"/>
      </dataBar>
    </cfRule>
  </conditionalFormatting>
  <conditionalFormatting sqref="D8:D10 D5 D2 E2:E7">
    <cfRule type="dataBar" priority="71">
      <dataBar>
        <cfvo type="num" val="0"/>
        <cfvo type="num" val="2"/>
        <color rgb="FF638EC6"/>
      </dataBar>
    </cfRule>
  </conditionalFormatting>
  <conditionalFormatting sqref="D13 D15">
    <cfRule type="dataBar" priority="67">
      <dataBar>
        <cfvo type="num" val="0"/>
        <cfvo type="num" val="2"/>
        <color rgb="FF638EC6"/>
      </dataBar>
    </cfRule>
  </conditionalFormatting>
  <conditionalFormatting sqref="D15">
    <cfRule type="dataBar" priority="65">
      <dataBar>
        <cfvo type="num" val="0"/>
        <cfvo type="num" val="2"/>
        <color rgb="FF638EC6"/>
      </dataBar>
    </cfRule>
  </conditionalFormatting>
  <conditionalFormatting sqref="D16:D17">
    <cfRule type="dataBar" priority="70">
      <dataBar>
        <cfvo type="num" val="0"/>
        <cfvo type="num" val="2"/>
        <color rgb="FF638EC6"/>
      </dataBar>
    </cfRule>
  </conditionalFormatting>
  <conditionalFormatting sqref="D18:D19">
    <cfRule type="dataBar" priority="69">
      <dataBar>
        <cfvo type="num" val="0"/>
        <cfvo type="num" val="2"/>
        <color rgb="FF638EC6"/>
      </dataBar>
    </cfRule>
  </conditionalFormatting>
  <conditionalFormatting sqref="D29">
    <cfRule type="dataBar" priority="60">
      <dataBar>
        <cfvo type="num" val="0"/>
        <cfvo type="num" val="2"/>
        <color rgb="FF638EC6"/>
      </dataBar>
      <extLst>
        <ext xmlns:x14="http://schemas.microsoft.com/office/spreadsheetml/2009/9/main" uri="{B025F937-C7B1-47D3-B67F-A62EFF666E3E}">
          <x14:id>{7B1CD533-128C-42C2-9670-F427A709A191}</x14:id>
        </ext>
      </extLst>
    </cfRule>
  </conditionalFormatting>
  <conditionalFormatting sqref="D1:E1">
    <cfRule type="dataBar" priority="79">
      <dataBar>
        <cfvo type="num" val="0"/>
        <cfvo type="num" val="2"/>
        <color rgb="FF638EC6"/>
      </dataBar>
    </cfRule>
  </conditionalFormatting>
  <conditionalFormatting sqref="D20:E28">
    <cfRule type="dataBar" priority="63">
      <dataBar>
        <cfvo type="num" val="0"/>
        <cfvo type="num" val="2"/>
        <color rgb="FF638EC6"/>
      </dataBar>
    </cfRule>
    <cfRule type="dataBar" priority="64">
      <dataBar>
        <cfvo type="num" val="0"/>
        <cfvo type="num" val="2"/>
        <color rgb="FF638EC6"/>
      </dataBar>
    </cfRule>
  </conditionalFormatting>
  <conditionalFormatting sqref="D29:E29 E30:E31">
    <cfRule type="dataBar" priority="59">
      <dataBar>
        <cfvo type="num" val="0"/>
        <cfvo type="num" val="2"/>
        <color rgb="FF638EC6"/>
      </dataBar>
      <extLst>
        <ext xmlns:x14="http://schemas.microsoft.com/office/spreadsheetml/2009/9/main" uri="{B025F937-C7B1-47D3-B67F-A62EFF666E3E}">
          <x14:id>{5DEED6F9-8977-4B4B-9556-C76640BD844B}</x14:id>
        </ext>
      </extLst>
    </cfRule>
  </conditionalFormatting>
  <conditionalFormatting sqref="D32:E33 D35:E1048576">
    <cfRule type="dataBar" priority="80">
      <dataBar>
        <cfvo type="num" val="0"/>
        <cfvo type="num" val="2"/>
        <color rgb="FF638EC6"/>
      </dataBar>
    </cfRule>
  </conditionalFormatting>
  <conditionalFormatting sqref="E8:E10">
    <cfRule type="dataBar" priority="77">
      <dataBar>
        <cfvo type="num" val="0"/>
        <cfvo type="num" val="2"/>
        <color rgb="FF638EC6"/>
      </dataBar>
    </cfRule>
  </conditionalFormatting>
  <conditionalFormatting sqref="E11:E12">
    <cfRule type="dataBar" priority="78">
      <dataBar>
        <cfvo type="num" val="0"/>
        <cfvo type="num" val="2"/>
        <color rgb="FF638EC6"/>
      </dataBar>
    </cfRule>
  </conditionalFormatting>
  <conditionalFormatting sqref="E13:E15">
    <cfRule type="dataBar" priority="76">
      <dataBar>
        <cfvo type="num" val="0"/>
        <cfvo type="num" val="2"/>
        <color rgb="FF638EC6"/>
      </dataBar>
    </cfRule>
  </conditionalFormatting>
  <conditionalFormatting sqref="E16:E17">
    <cfRule type="dataBar" priority="75">
      <dataBar>
        <cfvo type="num" val="0"/>
        <cfvo type="num" val="2"/>
        <color rgb="FF638EC6"/>
      </dataBar>
    </cfRule>
  </conditionalFormatting>
  <conditionalFormatting sqref="E18:E19">
    <cfRule type="dataBar" priority="74">
      <dataBar>
        <cfvo type="num" val="0"/>
        <cfvo type="num" val="2"/>
        <color rgb="FF638EC6"/>
      </dataBar>
    </cfRule>
  </conditionalFormatting>
  <conditionalFormatting sqref="A34:E34">
    <cfRule type="expression" dxfId="27" priority="56">
      <formula>NOT(EXACT(INDIRECT("Z"&amp;ROW()-1&amp;"S1",FALSE()), INDIRECT("Z"&amp;ROW()&amp;"S1",FALSE())))</formula>
    </cfRule>
  </conditionalFormatting>
  <conditionalFormatting sqref="D34:E34">
    <cfRule type="dataBar" priority="57">
      <dataBar>
        <cfvo type="num" val="0"/>
        <cfvo type="num" val="2"/>
        <color rgb="FF638EC6"/>
      </dataBar>
    </cfRule>
  </conditionalFormatting>
  <conditionalFormatting sqref="A1:E1">
    <cfRule type="expression" dxfId="26" priority="54">
      <formula>NOT(EXACT(INDIRECT("Z"&amp;ROW()-1&amp;"S1",FALSE()), INDIRECT("Z"&amp;ROW()&amp;"S1",FALSE())))</formula>
    </cfRule>
  </conditionalFormatting>
  <conditionalFormatting sqref="A20:C25 A27:C28 A32:E32">
    <cfRule type="expression" dxfId="25" priority="53">
      <formula>NOT(EXACT(INDIRECT("Z"&amp;ROW()-1&amp;"S1",FALSE()), INDIRECT("Z"&amp;ROW()&amp;"S1",FALSE())))</formula>
    </cfRule>
  </conditionalFormatting>
  <conditionalFormatting sqref="D1:E1">
    <cfRule type="dataBar" priority="55">
      <dataBar>
        <cfvo type="num" val="0"/>
        <cfvo type="num" val="2"/>
        <color rgb="FF638EC6"/>
      </dataBar>
    </cfRule>
  </conditionalFormatting>
  <conditionalFormatting sqref="A5 A6:C19 D8:E12 B2:C4 D16:E19">
    <cfRule type="expression" dxfId="24" priority="47">
      <formula>NOT(EXACT(INDIRECT("Z"&amp;ROW()-1&amp;"S1",FALSE()), INDIRECT("Z"&amp;ROW()&amp;"S1",FALSE())))</formula>
    </cfRule>
  </conditionalFormatting>
  <conditionalFormatting sqref="B21:C25 C26 B27:C27">
    <cfRule type="expression" dxfId="23" priority="44">
      <formula>NOT(EXACT(INDIRECT("Z"&amp;ROW()-1&amp;"S1",FALSE()), INDIRECT("Z"&amp;ROW()&amp;"S1",FALSE())))</formula>
    </cfRule>
  </conditionalFormatting>
  <conditionalFormatting sqref="B20:C20 A26:A28">
    <cfRule type="expression" dxfId="22" priority="45">
      <formula>NOT(EXACT(INDIRECT("Z"&amp;ROW()-1&amp;"S1",FALSE()), INDIRECT("Z"&amp;ROW()&amp;"S1",FALSE())))</formula>
    </cfRule>
  </conditionalFormatting>
  <conditionalFormatting sqref="C5">
    <cfRule type="expression" dxfId="21" priority="42">
      <formula>NOT(EXACT(INDIRECT("Z"&amp;ROW()-1&amp;"S1",FALSE()), INDIRECT("Z"&amp;ROW()&amp;"S1",FALSE())))</formula>
    </cfRule>
  </conditionalFormatting>
  <conditionalFormatting sqref="D8:D10">
    <cfRule type="dataBar" priority="51">
      <dataBar>
        <cfvo type="num" val="0"/>
        <cfvo type="num" val="2"/>
        <color rgb="FF638EC6"/>
      </dataBar>
      <extLst>
        <ext xmlns:x14="http://schemas.microsoft.com/office/spreadsheetml/2009/9/main" uri="{B025F937-C7B1-47D3-B67F-A62EFF666E3E}">
          <x14:id>{A16A4BAA-EE2D-401D-93CE-F86CBBCABC7B}</x14:id>
        </ext>
      </extLst>
    </cfRule>
  </conditionalFormatting>
  <conditionalFormatting sqref="D8:D12 D16:D19">
    <cfRule type="dataBar" priority="46">
      <dataBar>
        <cfvo type="num" val="0"/>
        <cfvo type="num" val="2"/>
        <color rgb="FF638EC6"/>
      </dataBar>
      <extLst>
        <ext xmlns:x14="http://schemas.microsoft.com/office/spreadsheetml/2009/9/main" uri="{B025F937-C7B1-47D3-B67F-A62EFF666E3E}">
          <x14:id>{1BBA6E44-B074-4F3B-97FF-AAEA98AA93AD}</x14:id>
        </ext>
      </extLst>
    </cfRule>
  </conditionalFormatting>
  <conditionalFormatting sqref="D11:E12">
    <cfRule type="dataBar" priority="52">
      <dataBar>
        <cfvo type="num" val="0"/>
        <cfvo type="num" val="2"/>
        <color rgb="FF638EC6"/>
      </dataBar>
      <extLst>
        <ext xmlns:x14="http://schemas.microsoft.com/office/spreadsheetml/2009/9/main" uri="{B025F937-C7B1-47D3-B67F-A62EFF666E3E}">
          <x14:id>{D18BDBF6-A53B-4B11-A617-4E740383A756}</x14:id>
        </ext>
      </extLst>
    </cfRule>
  </conditionalFormatting>
  <conditionalFormatting sqref="D16:E17">
    <cfRule type="dataBar" priority="49">
      <dataBar>
        <cfvo type="num" val="0"/>
        <cfvo type="num" val="2"/>
        <color rgb="FF638EC6"/>
      </dataBar>
      <extLst>
        <ext xmlns:x14="http://schemas.microsoft.com/office/spreadsheetml/2009/9/main" uri="{B025F937-C7B1-47D3-B67F-A62EFF666E3E}">
          <x14:id>{665D1E79-D1E5-40E9-AECD-438309146ACD}</x14:id>
        </ext>
      </extLst>
    </cfRule>
  </conditionalFormatting>
  <conditionalFormatting sqref="D18:E19">
    <cfRule type="dataBar" priority="48">
      <dataBar>
        <cfvo type="num" val="0"/>
        <cfvo type="num" val="2"/>
        <color rgb="FF638EC6"/>
      </dataBar>
      <extLst>
        <ext xmlns:x14="http://schemas.microsoft.com/office/spreadsheetml/2009/9/main" uri="{B025F937-C7B1-47D3-B67F-A62EFF666E3E}">
          <x14:id>{E8BDEF75-8D28-4D67-8C16-52C5EE3AC11A}</x14:id>
        </ext>
      </extLst>
    </cfRule>
  </conditionalFormatting>
  <conditionalFormatting sqref="E8:E10">
    <cfRule type="dataBar" priority="50">
      <dataBar>
        <cfvo type="num" val="0"/>
        <cfvo type="num" val="2"/>
        <color rgb="FF638EC6"/>
      </dataBar>
      <extLst>
        <ext xmlns:x14="http://schemas.microsoft.com/office/spreadsheetml/2009/9/main" uri="{B025F937-C7B1-47D3-B67F-A62EFF666E3E}">
          <x14:id>{515EA031-974A-4464-A3F6-BCC8FA076999}</x14:id>
        </ext>
      </extLst>
    </cfRule>
  </conditionalFormatting>
  <conditionalFormatting sqref="E29:E34">
    <cfRule type="expression" dxfId="20" priority="41">
      <formula>NOT(EXACT(INDIRECT("Z"&amp;ROW()-1&amp;"S1",FALSE()), INDIRECT("Z"&amp;ROW()&amp;"S1",FALSE())))</formula>
    </cfRule>
  </conditionalFormatting>
  <conditionalFormatting sqref="B28:C28">
    <cfRule type="expression" dxfId="19" priority="43">
      <formula>NOT(EXACT(INDIRECT("Z"&amp;ROW()-1&amp;"S1",FALSE()), INDIRECT("Z"&amp;ROW()&amp;"S1",FALSE())))</formula>
    </cfRule>
  </conditionalFormatting>
  <conditionalFormatting sqref="A2:A4">
    <cfRule type="expression" dxfId="18" priority="40">
      <formula>NOT(EXACT(INDIRECT("Z"&amp;ROW()-1&amp;"S1",FALSE()), INDIRECT("Z"&amp;ROW()&amp;"S1",FALSE())))</formula>
    </cfRule>
  </conditionalFormatting>
  <conditionalFormatting sqref="A29:A31">
    <cfRule type="expression" dxfId="17" priority="39">
      <formula>NOT(EXACT(INDIRECT("Z"&amp;ROW()-1&amp;"S1",FALSE()), INDIRECT("Z"&amp;ROW()&amp;"S1",FALSE())))</formula>
    </cfRule>
  </conditionalFormatting>
  <conditionalFormatting sqref="A32:A34">
    <cfRule type="expression" dxfId="16" priority="38">
      <formula>NOT(EXACT(INDIRECT("Z"&amp;ROW()-1&amp;"S1",FALSE()), INDIRECT("Z"&amp;ROW()&amp;"S1",FALSE())))</formula>
    </cfRule>
  </conditionalFormatting>
  <conditionalFormatting sqref="C29 B30:C30">
    <cfRule type="expression" dxfId="15" priority="36">
      <formula>NOT(EXACT(INDIRECT("Z"&amp;ROW()-1&amp;"S1",FALSE()), INDIRECT("Z"&amp;ROW()&amp;"S1",FALSE())))</formula>
    </cfRule>
  </conditionalFormatting>
  <conditionalFormatting sqref="E29">
    <cfRule type="dataBar" priority="35">
      <dataBar>
        <cfvo type="num" val="0"/>
        <cfvo type="num" val="2"/>
        <color rgb="FF638EC6"/>
      </dataBar>
      <extLst>
        <ext xmlns:x14="http://schemas.microsoft.com/office/spreadsheetml/2009/9/main" uri="{B025F937-C7B1-47D3-B67F-A62EFF666E3E}">
          <x14:id>{FFD3C9EB-5577-4742-BCF1-3C0B63CE9431}</x14:id>
        </ext>
      </extLst>
    </cfRule>
  </conditionalFormatting>
  <conditionalFormatting sqref="E30">
    <cfRule type="dataBar" priority="37">
      <dataBar>
        <cfvo type="num" val="0"/>
        <cfvo type="num" val="2"/>
        <color rgb="FF638EC6"/>
      </dataBar>
      <extLst>
        <ext xmlns:x14="http://schemas.microsoft.com/office/spreadsheetml/2009/9/main" uri="{B025F937-C7B1-47D3-B67F-A62EFF666E3E}">
          <x14:id>{56251400-3836-41E4-92F3-97DAB69EF7C9}</x14:id>
        </ext>
      </extLst>
    </cfRule>
  </conditionalFormatting>
  <conditionalFormatting sqref="E31">
    <cfRule type="dataBar" priority="34">
      <dataBar>
        <cfvo type="num" val="0"/>
        <cfvo type="num" val="2"/>
        <color rgb="FF638EC6"/>
      </dataBar>
      <extLst>
        <ext xmlns:x14="http://schemas.microsoft.com/office/spreadsheetml/2009/9/main" uri="{B025F937-C7B1-47D3-B67F-A62EFF666E3E}">
          <x14:id>{A5C79AEB-55F8-42ED-9116-E1650BE76ADE}</x14:id>
        </ext>
      </extLst>
    </cfRule>
  </conditionalFormatting>
  <conditionalFormatting sqref="B31:C31">
    <cfRule type="expression" dxfId="14" priority="33">
      <formula>NOT(EXACT(INDIRECT("Z"&amp;ROW()-1&amp;"S1",FALSE()), INDIRECT("Z"&amp;ROW()&amp;"S1",FALSE())))</formula>
    </cfRule>
  </conditionalFormatting>
  <conditionalFormatting sqref="C32 B33:C33">
    <cfRule type="expression" dxfId="13" priority="31">
      <formula>NOT(EXACT(INDIRECT("Z"&amp;ROW()-1&amp;"S1",FALSE()), INDIRECT("Z"&amp;ROW()&amp;"S1",FALSE())))</formula>
    </cfRule>
  </conditionalFormatting>
  <conditionalFormatting sqref="E32">
    <cfRule type="dataBar" priority="30">
      <dataBar>
        <cfvo type="num" val="0"/>
        <cfvo type="num" val="2"/>
        <color rgb="FF638EC6"/>
      </dataBar>
      <extLst>
        <ext xmlns:x14="http://schemas.microsoft.com/office/spreadsheetml/2009/9/main" uri="{B025F937-C7B1-47D3-B67F-A62EFF666E3E}">
          <x14:id>{79A1D1C6-5850-4323-89C5-CCFB4EF274E1}</x14:id>
        </ext>
      </extLst>
    </cfRule>
  </conditionalFormatting>
  <conditionalFormatting sqref="E33">
    <cfRule type="dataBar" priority="32">
      <dataBar>
        <cfvo type="num" val="0"/>
        <cfvo type="num" val="2"/>
        <color rgb="FF638EC6"/>
      </dataBar>
      <extLst>
        <ext xmlns:x14="http://schemas.microsoft.com/office/spreadsheetml/2009/9/main" uri="{B025F937-C7B1-47D3-B67F-A62EFF666E3E}">
          <x14:id>{B9FA11E7-846A-467E-A550-4D80E59B6EE3}</x14:id>
        </ext>
      </extLst>
    </cfRule>
  </conditionalFormatting>
  <conditionalFormatting sqref="E34">
    <cfRule type="dataBar" priority="29">
      <dataBar>
        <cfvo type="num" val="0"/>
        <cfvo type="num" val="2"/>
        <color rgb="FF638EC6"/>
      </dataBar>
      <extLst>
        <ext xmlns:x14="http://schemas.microsoft.com/office/spreadsheetml/2009/9/main" uri="{B025F937-C7B1-47D3-B67F-A62EFF666E3E}">
          <x14:id>{F5BDC70B-0086-49C0-A4C1-9986F84B25D3}</x14:id>
        </ext>
      </extLst>
    </cfRule>
  </conditionalFormatting>
  <conditionalFormatting sqref="B34:C34">
    <cfRule type="expression" dxfId="12" priority="28">
      <formula>NOT(EXACT(INDIRECT("Z"&amp;ROW()-1&amp;"S1",FALSE()), INDIRECT("Z"&amp;ROW()&amp;"S1",FALSE())))</formula>
    </cfRule>
  </conditionalFormatting>
  <conditionalFormatting sqref="A20:A22">
    <cfRule type="expression" dxfId="11" priority="27">
      <formula>NOT(EXACT(INDIRECT("Z"&amp;ROW()-1&amp;"S1",FALSE()), INDIRECT("Z"&amp;ROW()&amp;"S1",FALSE())))</formula>
    </cfRule>
  </conditionalFormatting>
  <conditionalFormatting sqref="A23:A25">
    <cfRule type="expression" dxfId="10" priority="26">
      <formula>NOT(EXACT(INDIRECT("Z"&amp;ROW()-1&amp;"S1",FALSE()), INDIRECT("Z"&amp;ROW()&amp;"S1",FALSE())))</formula>
    </cfRule>
  </conditionalFormatting>
  <conditionalFormatting sqref="D29:D34">
    <cfRule type="expression" dxfId="9" priority="24">
      <formula>NOT(EXACT(INDIRECT("Z"&amp;ROW()-1&amp;"S1",FALSE()), INDIRECT("Z"&amp;ROW()&amp;"S1",FALSE())))</formula>
    </cfRule>
  </conditionalFormatting>
  <conditionalFormatting sqref="D29:D34">
    <cfRule type="dataBar" priority="23">
      <dataBar>
        <cfvo type="num" val="0"/>
        <cfvo type="num" val="2"/>
        <color rgb="FF638EC6"/>
      </dataBar>
      <extLst>
        <ext xmlns:x14="http://schemas.microsoft.com/office/spreadsheetml/2009/9/main" uri="{B025F937-C7B1-47D3-B67F-A62EFF666E3E}">
          <x14:id>{B2D0F3E1-60DA-458E-AA9E-A071948A0BF1}</x14:id>
        </ext>
      </extLst>
    </cfRule>
  </conditionalFormatting>
  <conditionalFormatting sqref="D29:D34">
    <cfRule type="dataBar" priority="25">
      <dataBar>
        <cfvo type="num" val="0"/>
        <cfvo type="num" val="2"/>
        <color rgb="FF638EC6"/>
      </dataBar>
      <extLst>
        <ext xmlns:x14="http://schemas.microsoft.com/office/spreadsheetml/2009/9/main" uri="{B025F937-C7B1-47D3-B67F-A62EFF666E3E}">
          <x14:id>{9443670D-C887-4BB1-A782-BC7F142B7F1C}</x14:id>
        </ext>
      </extLst>
    </cfRule>
  </conditionalFormatting>
  <conditionalFormatting sqref="E27:E28">
    <cfRule type="expression" dxfId="8" priority="19">
      <formula>NOT(EXACT(INDIRECT("Z"&amp;ROW()-1&amp;"S1",FALSE()), INDIRECT("Z"&amp;ROW()&amp;"S1",FALSE())))</formula>
    </cfRule>
  </conditionalFormatting>
  <conditionalFormatting sqref="D26:E26">
    <cfRule type="expression" dxfId="7" priority="16">
      <formula>NOT(EXACT(INDIRECT("Z"&amp;ROW()-1&amp;"S1",FALSE()), INDIRECT("Z"&amp;ROW()&amp;"S1",FALSE())))</formula>
    </cfRule>
  </conditionalFormatting>
  <conditionalFormatting sqref="D20:E25">
    <cfRule type="expression" dxfId="6" priority="20">
      <formula>NOT(EXACT(INDIRECT("Z"&amp;ROW()-1&amp;"S1",FALSE()), INDIRECT("Z"&amp;ROW()&amp;"S1",FALSE())))</formula>
    </cfRule>
  </conditionalFormatting>
  <conditionalFormatting sqref="D26">
    <cfRule type="dataBar" priority="18">
      <dataBar>
        <cfvo type="num" val="0"/>
        <cfvo type="num" val="2"/>
        <color rgb="FF638EC6"/>
      </dataBar>
      <extLst>
        <ext xmlns:x14="http://schemas.microsoft.com/office/spreadsheetml/2009/9/main" uri="{B025F937-C7B1-47D3-B67F-A62EFF666E3E}">
          <x14:id>{66581F15-0779-474A-86AF-55D17A8E0B9B}</x14:id>
        </ext>
      </extLst>
    </cfRule>
  </conditionalFormatting>
  <conditionalFormatting sqref="D20:E25">
    <cfRule type="dataBar" priority="21">
      <dataBar>
        <cfvo type="num" val="0"/>
        <cfvo type="num" val="2"/>
        <color rgb="FF638EC6"/>
      </dataBar>
    </cfRule>
    <cfRule type="dataBar" priority="22">
      <dataBar>
        <cfvo type="num" val="0"/>
        <cfvo type="num" val="2"/>
        <color rgb="FF638EC6"/>
      </dataBar>
    </cfRule>
  </conditionalFormatting>
  <conditionalFormatting sqref="D26:E26 E27:E28">
    <cfRule type="dataBar" priority="17">
      <dataBar>
        <cfvo type="num" val="0"/>
        <cfvo type="num" val="2"/>
        <color rgb="FF638EC6"/>
      </dataBar>
      <extLst>
        <ext xmlns:x14="http://schemas.microsoft.com/office/spreadsheetml/2009/9/main" uri="{B025F937-C7B1-47D3-B67F-A62EFF666E3E}">
          <x14:id>{95CC4EE0-8A9D-4070-8316-5F862A962352}</x14:id>
        </ext>
      </extLst>
    </cfRule>
  </conditionalFormatting>
  <conditionalFormatting sqref="E2:E4">
    <cfRule type="expression" dxfId="5" priority="11">
      <formula>NOT(EXACT(INDIRECT("Z"&amp;ROW()-1&amp;"S1",FALSE()), INDIRECT("Z"&amp;ROW()&amp;"S1",FALSE())))</formula>
    </cfRule>
  </conditionalFormatting>
  <conditionalFormatting sqref="D2 D4">
    <cfRule type="expression" dxfId="4" priority="12">
      <formula>NOT(EXACT(INDIRECT("Z"&amp;ROW()-1&amp;"S1",FALSE()), INDIRECT("Z"&amp;ROW()&amp;"S1",FALSE())))</formula>
    </cfRule>
  </conditionalFormatting>
  <conditionalFormatting sqref="D4">
    <cfRule type="dataBar" priority="13">
      <dataBar>
        <cfvo type="num" val="0"/>
        <cfvo type="num" val="2"/>
        <color rgb="FF638EC6"/>
      </dataBar>
    </cfRule>
  </conditionalFormatting>
  <conditionalFormatting sqref="D4 D2">
    <cfRule type="dataBar" priority="15">
      <dataBar>
        <cfvo type="num" val="0"/>
        <cfvo type="num" val="2"/>
        <color rgb="FF638EC6"/>
      </dataBar>
    </cfRule>
  </conditionalFormatting>
  <conditionalFormatting sqref="E2:E4 D2">
    <cfRule type="dataBar" priority="14">
      <dataBar>
        <cfvo type="num" val="0"/>
        <cfvo type="num" val="2"/>
        <color rgb="FF638EC6"/>
      </dataBar>
    </cfRule>
  </conditionalFormatting>
  <conditionalFormatting sqref="E5:E7">
    <cfRule type="expression" dxfId="3" priority="7">
      <formula>NOT(EXACT(INDIRECT("Z"&amp;ROW()-1&amp;"S1",FALSE()), INDIRECT("Z"&amp;ROW()&amp;"S1",FALSE())))</formula>
    </cfRule>
  </conditionalFormatting>
  <conditionalFormatting sqref="D5">
    <cfRule type="expression" dxfId="2" priority="8">
      <formula>NOT(EXACT(INDIRECT("Z"&amp;ROW()-1&amp;"S1",FALSE()), INDIRECT("Z"&amp;ROW()&amp;"S1",FALSE())))</formula>
    </cfRule>
  </conditionalFormatting>
  <conditionalFormatting sqref="D5">
    <cfRule type="dataBar" priority="10">
      <dataBar>
        <cfvo type="num" val="0"/>
        <cfvo type="num" val="2"/>
        <color rgb="FF638EC6"/>
      </dataBar>
    </cfRule>
  </conditionalFormatting>
  <conditionalFormatting sqref="E5:E7 D5">
    <cfRule type="dataBar" priority="9">
      <dataBar>
        <cfvo type="num" val="0"/>
        <cfvo type="num" val="2"/>
        <color rgb="FF638EC6"/>
      </dataBar>
    </cfRule>
  </conditionalFormatting>
  <conditionalFormatting sqref="E13:E15">
    <cfRule type="expression" dxfId="1" priority="1">
      <formula>NOT(EXACT(INDIRECT("Z"&amp;ROW()-1&amp;"S1",FALSE()), INDIRECT("Z"&amp;ROW()&amp;"S1",FALSE())))</formula>
    </cfRule>
  </conditionalFormatting>
  <conditionalFormatting sqref="D13 D15">
    <cfRule type="expression" dxfId="0" priority="3">
      <formula>NOT(EXACT(INDIRECT("Z"&amp;ROW()-1&amp;"S1",FALSE()), INDIRECT("Z"&amp;ROW()&amp;"S1",FALSE())))</formula>
    </cfRule>
  </conditionalFormatting>
  <conditionalFormatting sqref="D13 D15">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1)" prompt="Input/output quantities, relative to process throughput" sqref="D1" xr:uid="{ACDBFEE9-865D-465B-A158-06836E5F9B2E}"/>
    <dataValidation allowBlank="1" showInputMessage="1" showErrorMessage="1" promptTitle="Ratio at minimum operation point" prompt="Input/Output ratio at point of minimum operation (min-fract in 'Process' sheet)._x000a__x000a_All values have to be larger/equal to ratio!" sqref="E1" xr:uid="{D6C47314-4395-4AB3-96A4-5B70B31A9D1D}"/>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B1CD533-128C-42C2-9670-F427A709A191}">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5DEED6F9-8977-4B4B-9556-C76640BD844B}">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A16A4BAA-EE2D-401D-93CE-F86CBBCABC7B}">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1BBA6E44-B074-4F3B-97FF-AAEA98AA93AD}">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D18BDBF6-A53B-4B11-A617-4E740383A756}">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665D1E79-D1E5-40E9-AECD-438309146ACD}">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E8BDEF75-8D28-4D67-8C16-52C5EE3AC11A}">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515EA031-974A-4464-A3F6-BCC8FA076999}">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FFD3C9EB-5577-4742-BCF1-3C0B63CE9431}">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56251400-3836-41E4-92F3-97DAB69EF7C9}">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A5C79AEB-55F8-42ED-9116-E1650BE76ADE}">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79A1D1C6-5850-4323-89C5-CCFB4EF274E1}">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B9FA11E7-846A-467E-A550-4D80E59B6EE3}">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F5BDC70B-0086-49C0-A4C1-9986F84B25D3}">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B2D0F3E1-60DA-458E-AA9E-A071948A0BF1}">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9443670D-C887-4BB1-A782-BC7F142B7F1C}">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66581F15-0779-474A-86AF-55D17A8E0B9B}">
            <x14:dataBar minLength="0" maxLength="100" gradient="0">
              <x14:cfvo type="num">
                <xm:f>0</xm:f>
              </x14:cfvo>
              <x14:cfvo type="num">
                <xm:f>2</xm:f>
              </x14:cfvo>
              <x14:negativeFillColor rgb="FFFF0000"/>
              <x14:axisColor rgb="FF000000"/>
            </x14:dataBar>
          </x14:cfRule>
          <xm:sqref>D26</xm:sqref>
        </x14:conditionalFormatting>
        <x14:conditionalFormatting xmlns:xm="http://schemas.microsoft.com/office/excel/2006/main">
          <x14:cfRule type="dataBar" id="{95CC4EE0-8A9D-4070-8316-5F862A962352}">
            <x14:dataBar minLength="0" maxLength="100" gradient="0">
              <x14:cfvo type="num">
                <xm:f>0</xm:f>
              </x14:cfvo>
              <x14:cfvo type="num">
                <xm:f>2</xm:f>
              </x14:cfvo>
              <x14:negativeFillColor rgb="FFFF0000"/>
              <x14:axisColor rgb="FF000000"/>
            </x14:dataBar>
          </x14:cfRule>
          <xm:sqref>D26:E26 E27:E28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H14" sqref="H14"/>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s="9">
        <v>531666667</v>
      </c>
    </row>
    <row r="4" spans="1:2" x14ac:dyDescent="0.3">
      <c r="A4">
        <v>2</v>
      </c>
      <c r="B4" s="9">
        <v>531666667</v>
      </c>
    </row>
    <row r="5" spans="1:2" x14ac:dyDescent="0.3">
      <c r="A5">
        <v>3</v>
      </c>
      <c r="B5" s="9">
        <v>531666667</v>
      </c>
    </row>
    <row r="6" spans="1:2" x14ac:dyDescent="0.3">
      <c r="A6">
        <v>4</v>
      </c>
      <c r="B6" s="9">
        <v>531666667</v>
      </c>
    </row>
    <row r="7" spans="1:2" x14ac:dyDescent="0.3">
      <c r="A7">
        <v>5</v>
      </c>
      <c r="B7" s="9">
        <v>531666667</v>
      </c>
    </row>
    <row r="8" spans="1:2" x14ac:dyDescent="0.3">
      <c r="A8">
        <v>6</v>
      </c>
      <c r="B8" s="9">
        <v>531666667</v>
      </c>
    </row>
    <row r="9" spans="1:2" x14ac:dyDescent="0.3">
      <c r="A9">
        <v>7</v>
      </c>
      <c r="B9" s="9">
        <v>531666667</v>
      </c>
    </row>
    <row r="10" spans="1:2" x14ac:dyDescent="0.3">
      <c r="A10">
        <v>8</v>
      </c>
      <c r="B10" s="9">
        <v>531666667</v>
      </c>
    </row>
    <row r="11" spans="1:2" x14ac:dyDescent="0.3">
      <c r="A11">
        <v>9</v>
      </c>
      <c r="B11" s="9">
        <v>531666667</v>
      </c>
    </row>
    <row r="12" spans="1:2" x14ac:dyDescent="0.3">
      <c r="A12">
        <v>10</v>
      </c>
      <c r="B12" s="9">
        <v>531666667</v>
      </c>
    </row>
    <row r="13" spans="1:2" x14ac:dyDescent="0.3">
      <c r="A13">
        <v>11</v>
      </c>
      <c r="B13" s="9">
        <v>531666667</v>
      </c>
    </row>
    <row r="14" spans="1:2" x14ac:dyDescent="0.3">
      <c r="A14">
        <v>12</v>
      </c>
      <c r="B14" s="9">
        <v>531666667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M21" sqref="M21"/>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2024-11-06T10:11:35Z</dcterms:created>
  <dcterms:modified xsi:type="dcterms:W3CDTF">2025-09-16T09:23:25Z</dcterms:modified>
</cp:coreProperties>
</file>