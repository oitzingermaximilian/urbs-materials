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maxoi\GitHub\urbs-extension\Input\urbs_intertemporal_2050\"/>
    </mc:Choice>
  </mc:AlternateContent>
  <xr:revisionPtr revIDLastSave="0" documentId="13_ncr:1_{726C4352-F1A1-403E-BDB1-0004B525DD45}" xr6:coauthVersionLast="47" xr6:coauthVersionMax="47" xr10:uidLastSave="{00000000-0000-0000-0000-000000000000}"/>
  <bookViews>
    <workbookView xWindow="28680" yWindow="-5445" windowWidth="38640" windowHeight="21120" activeTab="4" xr2:uid="{00000000-000D-0000-FFFF-FFFF00000000}"/>
  </bookViews>
  <sheets>
    <sheet name="Global" sheetId="1" r:id="rId1"/>
    <sheet name="Site" sheetId="2" r:id="rId2"/>
    <sheet name="Commodity" sheetId="3" r:id="rId3"/>
    <sheet name="Process" sheetId="4" r:id="rId4"/>
    <sheet name="Process-Commodity" sheetId="5" r:id="rId5"/>
    <sheet name="Transmission" sheetId="6" r:id="rId6"/>
    <sheet name="Storage" sheetId="7" r:id="rId7"/>
    <sheet name="DSM" sheetId="8" r:id="rId8"/>
    <sheet name="Demand" sheetId="9" r:id="rId9"/>
    <sheet name="SupIm" sheetId="10" r:id="rId10"/>
    <sheet name="Buy-Sell-Price" sheetId="11" r:id="rId11"/>
    <sheet name="TimeVarEff"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5" l="1"/>
  <c r="E33" i="5"/>
  <c r="E31" i="5"/>
  <c r="E30" i="5"/>
  <c r="E32" i="5" s="1"/>
  <c r="E28" i="5"/>
  <c r="E27" i="5"/>
  <c r="E29" i="5" s="1"/>
  <c r="E25" i="5"/>
  <c r="E23" i="5"/>
  <c r="E20" i="5"/>
  <c r="E22" i="5" s="1"/>
  <c r="E19" i="5"/>
  <c r="E21" i="5" s="1"/>
  <c r="E24" i="5" s="1"/>
  <c r="E26" i="5" s="1"/>
  <c r="E18" i="5"/>
  <c r="E17" i="5"/>
  <c r="E16" i="5"/>
  <c r="E15" i="5"/>
  <c r="E14" i="5"/>
  <c r="E12" i="5"/>
  <c r="E11" i="5"/>
  <c r="E10" i="5"/>
  <c r="E9" i="5"/>
  <c r="E8" i="5"/>
  <c r="E6" i="5"/>
  <c r="E3" i="5"/>
  <c r="E5" i="5" s="1"/>
  <c r="E7" i="5" s="1"/>
  <c r="F3" i="3"/>
  <c r="E3" i="3"/>
  <c r="D3" i="3"/>
  <c r="F2" i="3"/>
  <c r="E2" i="3"/>
  <c r="D2" i="3"/>
</calcChain>
</file>

<file path=xl/sharedStrings.xml><?xml version="1.0" encoding="utf-8"?>
<sst xmlns="http://schemas.openxmlformats.org/spreadsheetml/2006/main" count="282" uniqueCount="97">
  <si>
    <t>Property</t>
  </si>
  <si>
    <t>value</t>
  </si>
  <si>
    <t>description</t>
  </si>
  <si>
    <t>Support timeframe</t>
  </si>
  <si>
    <t>Modelled year for intertemporal planning</t>
  </si>
  <si>
    <t>CO2 limit</t>
  </si>
  <si>
    <t>Limits the sum of all created (as calculated by commodity_balance) CO2 in all sites; Only relevant if not minimized</t>
  </si>
  <si>
    <t>Name</t>
  </si>
  <si>
    <t>area</t>
  </si>
  <si>
    <t>EU27</t>
  </si>
  <si>
    <t>Site</t>
  </si>
  <si>
    <t>Commodity</t>
  </si>
  <si>
    <t>Type</t>
  </si>
  <si>
    <t>price</t>
  </si>
  <si>
    <t>max</t>
  </si>
  <si>
    <t>maxperhour</t>
  </si>
  <si>
    <t>SupIm</t>
  </si>
  <si>
    <t>Hydro</t>
  </si>
  <si>
    <t>Elec</t>
  </si>
  <si>
    <t>Demand</t>
  </si>
  <si>
    <t>Lignite</t>
  </si>
  <si>
    <t>Stock</t>
  </si>
  <si>
    <t>inf</t>
  </si>
  <si>
    <t>CO2</t>
  </si>
  <si>
    <t>Env</t>
  </si>
  <si>
    <t>Biomass</t>
  </si>
  <si>
    <t>Nuclear Fuel</t>
  </si>
  <si>
    <t>Coal</t>
  </si>
  <si>
    <t>Process</t>
  </si>
  <si>
    <t>cap-lo</t>
  </si>
  <si>
    <t>cap-up</t>
  </si>
  <si>
    <t>max-grad</t>
  </si>
  <si>
    <t>min-fraction</t>
  </si>
  <si>
    <t>inv-cost</t>
  </si>
  <si>
    <t>fix-cost</t>
  </si>
  <si>
    <t>var-cost</t>
  </si>
  <si>
    <t>startup-cost</t>
  </si>
  <si>
    <t>wacc</t>
  </si>
  <si>
    <t>depreciation</t>
  </si>
  <si>
    <t>area-per-cap</t>
  </si>
  <si>
    <t>Hydro (run-of-river)</t>
  </si>
  <si>
    <t>Hydro (reservoir)</t>
  </si>
  <si>
    <t>Coal Plant</t>
  </si>
  <si>
    <t>Gas Plant (CCGT)</t>
  </si>
  <si>
    <t>Nuclear Plant</t>
  </si>
  <si>
    <t>Biomass Plant</t>
  </si>
  <si>
    <t>Direction</t>
  </si>
  <si>
    <t>ratio</t>
  </si>
  <si>
    <t>ratio-min</t>
  </si>
  <si>
    <t>In</t>
  </si>
  <si>
    <t>Out</t>
  </si>
  <si>
    <t>Site In</t>
  </si>
  <si>
    <t>Site Out</t>
  </si>
  <si>
    <t>Transmission</t>
  </si>
  <si>
    <t>eff</t>
  </si>
  <si>
    <t>reactance</t>
  </si>
  <si>
    <t>difflimit</t>
  </si>
  <si>
    <t>base_voltage</t>
  </si>
  <si>
    <t>Storage</t>
  </si>
  <si>
    <t>cap-lo-c</t>
  </si>
  <si>
    <t>cap-up-c</t>
  </si>
  <si>
    <t>cap-lo-p</t>
  </si>
  <si>
    <t>cap-up-p</t>
  </si>
  <si>
    <t>eff-in</t>
  </si>
  <si>
    <t>eff-out</t>
  </si>
  <si>
    <t>inv-cost-p</t>
  </si>
  <si>
    <t>inv-cost-c</t>
  </si>
  <si>
    <t>fix-cost-p</t>
  </si>
  <si>
    <t>fix-cost-c</t>
  </si>
  <si>
    <t>var-cost-p</t>
  </si>
  <si>
    <t>var-cost-c</t>
  </si>
  <si>
    <t>init</t>
  </si>
  <si>
    <t>discharge</t>
  </si>
  <si>
    <t>ep-ratio</t>
  </si>
  <si>
    <t>Hydrogen</t>
  </si>
  <si>
    <t>Pump storage</t>
  </si>
  <si>
    <t>Li-ion battery</t>
  </si>
  <si>
    <t>delay</t>
  </si>
  <si>
    <t>recov</t>
  </si>
  <si>
    <t>cap-max-do</t>
  </si>
  <si>
    <t>cap-max-up</t>
  </si>
  <si>
    <t>t</t>
  </si>
  <si>
    <t>EU27.Elec</t>
  </si>
  <si>
    <t>EU27.Hydro</t>
  </si>
  <si>
    <t>Elec buy</t>
  </si>
  <si>
    <t>Elec sell</t>
  </si>
  <si>
    <t>EU27.Lignite plant</t>
  </si>
  <si>
    <t>EU27.Gas plant</t>
  </si>
  <si>
    <t>Gas Plant (CCGT) CCUS</t>
  </si>
  <si>
    <t>Gas</t>
  </si>
  <si>
    <t>Oil</t>
  </si>
  <si>
    <t>Slack</t>
  </si>
  <si>
    <t>Lignite Plant</t>
  </si>
  <si>
    <t>Other non-res</t>
  </si>
  <si>
    <t>Oil Plant</t>
  </si>
  <si>
    <t>Coal Plant CCUS</t>
  </si>
  <si>
    <t>Lignite Plant CCUS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</si>
</sst>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6" formatCode="0.0"/>
  </numFmts>
  <fonts count="4" x14ac:knownFonts="1">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s>
  <fills count="11">
    <fill>
      <patternFill patternType="none"/>
    </fill>
    <fill>
      <patternFill patternType="gray125"/>
    </fill>
    <fill>
      <patternFill patternType="solid">
        <fgColor theme="6"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7"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indexed="64"/>
      </right>
      <top/>
      <bottom/>
      <diagonal/>
    </border>
  </borders>
  <cellStyleXfs count="1">
    <xf numFmtId="0" fontId="0" fillId="0" borderId="0"/>
  </cellStyleXfs>
  <cellXfs count="38">
    <xf numFmtId="0" fontId="0" fillId="0" borderId="0" xfId="0"/>
    <xf numFmtId="0" fontId="1" fillId="0" borderId="1" xfId="0" applyFont="1" applyBorder="1" applyAlignment="1">
      <alignment horizontal="center" vertical="top"/>
    </xf>
    <xf numFmtId="49" fontId="0" fillId="0" borderId="0" xfId="0" applyNumberFormat="1"/>
    <xf numFmtId="164" fontId="0" fillId="2" borderId="0" xfId="0" applyNumberFormat="1" applyFill="1"/>
    <xf numFmtId="49" fontId="0" fillId="3" borderId="0" xfId="0" applyNumberFormat="1" applyFill="1" applyAlignment="1">
      <alignment horizontal="left"/>
    </xf>
    <xf numFmtId="164" fontId="0" fillId="4" borderId="0" xfId="0" applyNumberFormat="1" applyFill="1" applyAlignment="1">
      <alignment horizontal="right"/>
    </xf>
    <xf numFmtId="0" fontId="0" fillId="0" borderId="2" xfId="0" applyBorder="1"/>
    <xf numFmtId="3" fontId="0" fillId="0" borderId="0" xfId="0" applyNumberFormat="1" applyAlignment="1">
      <alignment vertical="center" wrapText="1"/>
    </xf>
    <xf numFmtId="0" fontId="0" fillId="4" borderId="0" xfId="0" applyFill="1" applyAlignment="1">
      <alignment horizontal="left"/>
    </xf>
    <xf numFmtId="0" fontId="0" fillId="2" borderId="0" xfId="0" applyFill="1" applyAlignment="1">
      <alignment horizontal="left"/>
    </xf>
    <xf numFmtId="2" fontId="0" fillId="4" borderId="0" xfId="0" applyNumberFormat="1" applyFill="1" applyAlignment="1">
      <alignment horizontal="right" indent="2"/>
    </xf>
    <xf numFmtId="0" fontId="0" fillId="0" borderId="0" xfId="0" applyAlignment="1">
      <alignment horizontal="left"/>
    </xf>
    <xf numFmtId="0" fontId="0" fillId="2" borderId="3" xfId="0" applyFill="1" applyBorder="1" applyAlignment="1">
      <alignment horizontal="left"/>
    </xf>
    <xf numFmtId="0" fontId="0" fillId="5" borderId="0" xfId="0" applyFill="1" applyAlignment="1">
      <alignment horizontal="right"/>
    </xf>
    <xf numFmtId="0" fontId="0" fillId="5" borderId="0" xfId="0" applyFill="1"/>
    <xf numFmtId="0" fontId="0" fillId="6" borderId="0" xfId="0" applyFill="1"/>
    <xf numFmtId="3" fontId="0" fillId="6" borderId="0" xfId="0" applyNumberFormat="1" applyFill="1"/>
    <xf numFmtId="0" fontId="2" fillId="7" borderId="0" xfId="0" applyFont="1" applyFill="1"/>
    <xf numFmtId="3" fontId="3" fillId="4" borderId="0" xfId="0" applyNumberFormat="1" applyFont="1" applyFill="1" applyAlignment="1">
      <alignment horizontal="right"/>
    </xf>
    <xf numFmtId="3" fontId="0" fillId="0" borderId="0" xfId="0" applyNumberFormat="1" applyAlignment="1">
      <alignment horizontal="right" indent="2"/>
    </xf>
    <xf numFmtId="3" fontId="0" fillId="8" borderId="0" xfId="0" applyNumberFormat="1" applyFill="1"/>
    <xf numFmtId="0" fontId="0" fillId="8" borderId="0" xfId="0" applyFill="1"/>
    <xf numFmtId="3" fontId="0" fillId="9" borderId="0" xfId="0" applyNumberFormat="1" applyFill="1" applyAlignment="1">
      <alignment horizontal="right"/>
    </xf>
    <xf numFmtId="0" fontId="0" fillId="9" borderId="0" xfId="0" applyFill="1" applyAlignment="1">
      <alignment horizontal="right"/>
    </xf>
    <xf numFmtId="166" fontId="0" fillId="6" borderId="0" xfId="0" applyNumberFormat="1" applyFill="1"/>
    <xf numFmtId="3" fontId="0" fillId="0" borderId="0" xfId="0" applyNumberFormat="1" applyAlignment="1">
      <alignment horizontal="right"/>
    </xf>
    <xf numFmtId="0" fontId="0" fillId="0" borderId="0" xfId="0" applyAlignment="1">
      <alignment horizontal="right"/>
    </xf>
    <xf numFmtId="3" fontId="0" fillId="8" borderId="0" xfId="0" applyNumberFormat="1" applyFill="1" applyAlignment="1">
      <alignment horizontal="right" indent="2"/>
    </xf>
    <xf numFmtId="0" fontId="0" fillId="8" borderId="0" xfId="0" applyFill="1" applyAlignment="1">
      <alignment horizontal="center"/>
    </xf>
    <xf numFmtId="166" fontId="0" fillId="8" borderId="0" xfId="0" applyNumberFormat="1" applyFill="1" applyAlignment="1">
      <alignment horizontal="right" indent="2"/>
    </xf>
    <xf numFmtId="0" fontId="0" fillId="8" borderId="0" xfId="0" applyFill="1" applyAlignment="1">
      <alignment horizontal="right" indent="2"/>
    </xf>
    <xf numFmtId="3" fontId="0" fillId="6" borderId="0" xfId="0" applyNumberFormat="1" applyFill="1" applyAlignment="1">
      <alignment horizontal="right"/>
    </xf>
    <xf numFmtId="166" fontId="0" fillId="0" borderId="0" xfId="0" applyNumberFormat="1"/>
    <xf numFmtId="0" fontId="0" fillId="10" borderId="0" xfId="0" applyFill="1"/>
    <xf numFmtId="166" fontId="0" fillId="0" borderId="0" xfId="0" applyNumberFormat="1" applyAlignment="1">
      <alignment horizontal="right" indent="2"/>
    </xf>
    <xf numFmtId="0" fontId="0" fillId="0" borderId="0" xfId="0" applyAlignment="1">
      <alignment horizontal="right" indent="2"/>
    </xf>
    <xf numFmtId="2" fontId="0" fillId="8" borderId="0" xfId="0" applyNumberFormat="1" applyFill="1" applyAlignment="1">
      <alignment horizontal="right" indent="2"/>
    </xf>
    <xf numFmtId="2" fontId="0" fillId="0" borderId="0" xfId="0" applyNumberFormat="1" applyAlignment="1">
      <alignment horizontal="right" indent="2"/>
    </xf>
  </cellXfs>
  <cellStyles count="1">
    <cellStyle name="Standard" xfId="0" builtinId="0"/>
  </cellStyles>
  <dxfs count="45">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font>
        <color rgb="FF9C0006"/>
      </font>
      <fill>
        <patternFill>
          <bgColor rgb="FFFFC7CE"/>
        </patternFill>
      </fill>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G24" sqref="G24"/>
    </sheetView>
  </sheetViews>
  <sheetFormatPr baseColWidth="10" defaultColWidth="9.109375" defaultRowHeight="14.4" x14ac:dyDescent="0.3"/>
  <sheetData>
    <row r="1" spans="1:3" x14ac:dyDescent="0.3">
      <c r="A1" s="1" t="s">
        <v>0</v>
      </c>
      <c r="B1" s="1" t="s">
        <v>1</v>
      </c>
      <c r="C1" s="1" t="s">
        <v>2</v>
      </c>
    </row>
    <row r="2" spans="1:3" x14ac:dyDescent="0.3">
      <c r="A2" t="s">
        <v>3</v>
      </c>
      <c r="B2">
        <v>2029</v>
      </c>
      <c r="C2" t="s">
        <v>4</v>
      </c>
    </row>
    <row r="3" spans="1:3" x14ac:dyDescent="0.3">
      <c r="A3" t="s">
        <v>5</v>
      </c>
      <c r="B3" s="7">
        <v>349360000</v>
      </c>
      <c r="C3"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baseColWidth="10" defaultColWidth="9.109375" defaultRowHeight="14.4" x14ac:dyDescent="0.3"/>
  <sheetData>
    <row r="1" spans="1:2" x14ac:dyDescent="0.3">
      <c r="A1" s="1" t="s">
        <v>7</v>
      </c>
      <c r="B1" s="1" t="s">
        <v>8</v>
      </c>
    </row>
    <row r="2" spans="1:2" x14ac:dyDescent="0.3">
      <c r="A2" t="s">
        <v>9</v>
      </c>
      <c r="B2">
        <v>280000000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selection sqref="A1:XFD1048576"/>
    </sheetView>
  </sheetViews>
  <sheetFormatPr baseColWidth="10" defaultColWidth="11.44140625" defaultRowHeight="14.4" x14ac:dyDescent="0.3"/>
  <cols>
    <col min="1" max="1" width="10.6640625" style="11" customWidth="1"/>
    <col min="2" max="2" width="13.5546875" style="11" bestFit="1" customWidth="1"/>
    <col min="3" max="3" width="10.6640625" style="11" customWidth="1"/>
    <col min="4" max="5" width="10.6640625" style="25" customWidth="1"/>
    <col min="6" max="6" width="13.88671875" style="26" bestFit="1" customWidth="1"/>
    <col min="7" max="16384" width="11.44140625" style="11"/>
  </cols>
  <sheetData>
    <row r="1" spans="1:6" x14ac:dyDescent="0.3">
      <c r="A1" t="s">
        <v>10</v>
      </c>
      <c r="B1" t="s">
        <v>11</v>
      </c>
      <c r="C1" t="s">
        <v>12</v>
      </c>
      <c r="D1" s="20" t="s">
        <v>13</v>
      </c>
      <c r="E1" s="20" t="s">
        <v>14</v>
      </c>
      <c r="F1" s="21" t="s">
        <v>15</v>
      </c>
    </row>
    <row r="2" spans="1:6" x14ac:dyDescent="0.3">
      <c r="A2" s="9" t="s">
        <v>9</v>
      </c>
      <c r="B2" s="9" t="s">
        <v>17</v>
      </c>
      <c r="C2" s="9" t="s">
        <v>16</v>
      </c>
      <c r="D2" s="18" t="e">
        <f>NA()</f>
        <v>#N/A</v>
      </c>
      <c r="E2" s="18" t="e">
        <f>NA()</f>
        <v>#N/A</v>
      </c>
      <c r="F2" s="18" t="e">
        <f>NA()</f>
        <v>#N/A</v>
      </c>
    </row>
    <row r="3" spans="1:6" x14ac:dyDescent="0.3">
      <c r="A3" s="9" t="s">
        <v>9</v>
      </c>
      <c r="B3" s="9" t="s">
        <v>18</v>
      </c>
      <c r="C3" s="9" t="s">
        <v>19</v>
      </c>
      <c r="D3" s="18" t="e">
        <f>NA()</f>
        <v>#N/A</v>
      </c>
      <c r="E3" s="18" t="e">
        <f>NA()</f>
        <v>#N/A</v>
      </c>
      <c r="F3" s="18" t="e">
        <f>NA()</f>
        <v>#N/A</v>
      </c>
    </row>
    <row r="4" spans="1:6" x14ac:dyDescent="0.3">
      <c r="A4" s="9" t="s">
        <v>9</v>
      </c>
      <c r="B4" s="9" t="s">
        <v>20</v>
      </c>
      <c r="C4" s="9" t="s">
        <v>21</v>
      </c>
      <c r="D4">
        <v>8.64</v>
      </c>
      <c r="E4" s="22" t="s">
        <v>22</v>
      </c>
      <c r="F4" s="23" t="s">
        <v>22</v>
      </c>
    </row>
    <row r="5" spans="1:6" x14ac:dyDescent="0.3">
      <c r="A5" s="9" t="s">
        <v>9</v>
      </c>
      <c r="B5" s="9" t="s">
        <v>89</v>
      </c>
      <c r="C5" s="9" t="s">
        <v>21</v>
      </c>
      <c r="D5">
        <v>22.68</v>
      </c>
      <c r="E5" s="22" t="s">
        <v>22</v>
      </c>
      <c r="F5" s="23" t="s">
        <v>22</v>
      </c>
    </row>
    <row r="6" spans="1:6" x14ac:dyDescent="0.3">
      <c r="A6" s="9" t="s">
        <v>9</v>
      </c>
      <c r="B6" s="9" t="s">
        <v>23</v>
      </c>
      <c r="C6" s="9" t="s">
        <v>24</v>
      </c>
      <c r="D6">
        <v>65</v>
      </c>
      <c r="E6" s="22" t="s">
        <v>22</v>
      </c>
      <c r="F6" s="22" t="s">
        <v>22</v>
      </c>
    </row>
    <row r="7" spans="1:6" x14ac:dyDescent="0.3">
      <c r="A7" s="9" t="s">
        <v>9</v>
      </c>
      <c r="B7" s="9" t="s">
        <v>25</v>
      </c>
      <c r="C7" s="9" t="s">
        <v>21</v>
      </c>
      <c r="D7">
        <v>67.680000000000007</v>
      </c>
      <c r="E7" s="22" t="s">
        <v>22</v>
      </c>
      <c r="F7" s="23" t="s">
        <v>22</v>
      </c>
    </row>
    <row r="8" spans="1:6" x14ac:dyDescent="0.3">
      <c r="A8" s="9" t="s">
        <v>9</v>
      </c>
      <c r="B8" s="9" t="s">
        <v>26</v>
      </c>
      <c r="C8" s="9" t="s">
        <v>21</v>
      </c>
      <c r="D8">
        <v>6.12</v>
      </c>
      <c r="E8" s="22" t="s">
        <v>22</v>
      </c>
      <c r="F8" s="23" t="s">
        <v>22</v>
      </c>
    </row>
    <row r="9" spans="1:6" x14ac:dyDescent="0.3">
      <c r="A9" s="9" t="s">
        <v>9</v>
      </c>
      <c r="B9" s="9" t="s">
        <v>27</v>
      </c>
      <c r="C9" s="9" t="s">
        <v>21</v>
      </c>
      <c r="D9">
        <v>6.48</v>
      </c>
      <c r="E9" s="22" t="s">
        <v>22</v>
      </c>
      <c r="F9" s="23" t="s">
        <v>22</v>
      </c>
    </row>
    <row r="10" spans="1:6" x14ac:dyDescent="0.3">
      <c r="A10" s="9" t="s">
        <v>9</v>
      </c>
      <c r="B10" s="9" t="s">
        <v>90</v>
      </c>
      <c r="C10" s="9" t="s">
        <v>21</v>
      </c>
      <c r="D10">
        <v>33.119999999999997</v>
      </c>
      <c r="E10" s="22" t="s">
        <v>22</v>
      </c>
      <c r="F10" s="23" t="s">
        <v>22</v>
      </c>
    </row>
    <row r="11" spans="1:6" x14ac:dyDescent="0.3">
      <c r="A11" s="9" t="s">
        <v>9</v>
      </c>
      <c r="B11" s="9" t="s">
        <v>91</v>
      </c>
      <c r="C11" s="9" t="s">
        <v>21</v>
      </c>
      <c r="D11">
        <v>33.119999999999997</v>
      </c>
      <c r="E11" s="22" t="s">
        <v>22</v>
      </c>
      <c r="F11" s="23" t="s">
        <v>22</v>
      </c>
    </row>
  </sheetData>
  <conditionalFormatting sqref="B8:B11">
    <cfRule type="expression" dxfId="38" priority="2">
      <formula>NOT(EXACT(INDIRECT("Z"&amp;ROW()-1&amp;"S1",FALSE()), INDIRECT("Z"&amp;ROW()&amp;"S1",FALSE())))</formula>
    </cfRule>
  </conditionalFormatting>
  <conditionalFormatting sqref="B2:B11">
    <cfRule type="duplicateValues" dxfId="37" priority="1"/>
  </conditionalFormatting>
  <dataValidations count="3">
    <dataValidation allowBlank="1" showInputMessage="1" showErrorMessage="1" promptTitle="Maximum commodity use per hour" prompt="For stock commodities, this value limits the energy use per hour (MW)._x000a_" sqref="F1" xr:uid="{660823C1-A168-4B6B-B0FC-A9BFEF50DC63}"/>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02FD1090-B06B-4F1C-BD46-F09FC500B7FB}"/>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95A61E2D-8DA5-447E-AC32-3A3DB435863B}"/>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
  <sheetViews>
    <sheetView workbookViewId="0">
      <selection sqref="A1:XFD1048576"/>
    </sheetView>
  </sheetViews>
  <sheetFormatPr baseColWidth="10" defaultColWidth="11.44140625" defaultRowHeight="14.4" x14ac:dyDescent="0.3"/>
  <cols>
    <col min="1" max="1" width="10.6640625" style="11" customWidth="1"/>
    <col min="2" max="2" width="16.33203125" style="11" bestFit="1" customWidth="1"/>
    <col min="3" max="3" width="10.6640625" style="19" customWidth="1"/>
    <col min="4" max="4" width="20.88671875" style="19" customWidth="1"/>
    <col min="5" max="5" width="15.109375" style="19" customWidth="1"/>
    <col min="6" max="6" width="10.6640625" style="11" customWidth="1"/>
    <col min="7" max="7" width="24" style="19" customWidth="1"/>
    <col min="8" max="8" width="10.6640625" style="19" customWidth="1"/>
    <col min="9" max="9" width="10.6640625" style="34" customWidth="1"/>
    <col min="10" max="10" width="16.109375" style="11" bestFit="1" customWidth="1"/>
    <col min="11" max="11" width="10.5546875" style="11" customWidth="1"/>
    <col min="12" max="12" width="14.88671875" style="35" bestFit="1" customWidth="1"/>
    <col min="13" max="13" width="14.88671875" style="11" bestFit="1" customWidth="1"/>
    <col min="14" max="16384" width="11.44140625" style="11"/>
  </cols>
  <sheetData>
    <row r="1" spans="1:13" x14ac:dyDescent="0.3">
      <c r="A1" t="s">
        <v>10</v>
      </c>
      <c r="B1" t="s">
        <v>28</v>
      </c>
      <c r="C1" s="27" t="s">
        <v>29</v>
      </c>
      <c r="D1" s="27" t="s">
        <v>30</v>
      </c>
      <c r="E1" s="27" t="s">
        <v>31</v>
      </c>
      <c r="F1" s="28" t="s">
        <v>32</v>
      </c>
      <c r="G1" s="27" t="s">
        <v>33</v>
      </c>
      <c r="H1" s="27" t="s">
        <v>34</v>
      </c>
      <c r="I1" s="29" t="s">
        <v>35</v>
      </c>
      <c r="J1" s="28" t="s">
        <v>36</v>
      </c>
      <c r="K1" s="30" t="s">
        <v>37</v>
      </c>
      <c r="L1" s="30" t="s">
        <v>38</v>
      </c>
      <c r="M1" s="30" t="s">
        <v>39</v>
      </c>
    </row>
    <row r="2" spans="1:13" x14ac:dyDescent="0.3">
      <c r="A2" s="11" t="s">
        <v>9</v>
      </c>
      <c r="B2" s="11" t="s">
        <v>42</v>
      </c>
      <c r="C2" s="19">
        <v>0</v>
      </c>
      <c r="D2" s="19">
        <v>56122</v>
      </c>
      <c r="E2" s="13" t="s">
        <v>22</v>
      </c>
      <c r="F2" s="14">
        <v>0.5</v>
      </c>
      <c r="G2" s="16">
        <v>1784013.3447999998</v>
      </c>
      <c r="H2" s="31">
        <v>28544.213516800002</v>
      </c>
      <c r="I2" s="24">
        <v>2.7</v>
      </c>
      <c r="J2" s="15">
        <v>0</v>
      </c>
      <c r="K2" s="17">
        <v>7.0999999999999994E-2</v>
      </c>
      <c r="L2" s="15">
        <v>40</v>
      </c>
      <c r="M2" s="18" t="e">
        <v>#N/A</v>
      </c>
    </row>
    <row r="3" spans="1:13" x14ac:dyDescent="0.3">
      <c r="A3" s="11" t="s">
        <v>9</v>
      </c>
      <c r="B3" s="11" t="s">
        <v>92</v>
      </c>
      <c r="C3" s="19">
        <v>0</v>
      </c>
      <c r="D3" s="19">
        <v>43599</v>
      </c>
      <c r="E3" s="13" t="s">
        <v>22</v>
      </c>
      <c r="F3" s="14">
        <v>0.65</v>
      </c>
      <c r="G3" s="24">
        <v>2230016.6809999999</v>
      </c>
      <c r="H3" s="24">
        <v>52182.390330800001</v>
      </c>
      <c r="I3" s="15">
        <v>4.5999999999999996</v>
      </c>
      <c r="J3" s="15">
        <v>0</v>
      </c>
      <c r="K3" s="17">
        <v>7.0999999999999994E-2</v>
      </c>
      <c r="L3" s="15">
        <v>40</v>
      </c>
      <c r="M3" s="18" t="e">
        <v>#N/A</v>
      </c>
    </row>
    <row r="4" spans="1:13" x14ac:dyDescent="0.3">
      <c r="A4" s="11" t="s">
        <v>9</v>
      </c>
      <c r="B4" s="11" t="s">
        <v>43</v>
      </c>
      <c r="C4" s="19">
        <v>0</v>
      </c>
      <c r="D4" s="19">
        <v>999999</v>
      </c>
      <c r="E4" s="13" t="s">
        <v>22</v>
      </c>
      <c r="F4" s="11">
        <v>0</v>
      </c>
      <c r="G4" s="24">
        <v>802808.92800000007</v>
      </c>
      <c r="H4" s="24">
        <v>16725.186000000002</v>
      </c>
      <c r="I4" s="15">
        <v>2.6</v>
      </c>
      <c r="J4" s="16">
        <v>0</v>
      </c>
      <c r="K4" s="17">
        <v>7.0999999999999994E-2</v>
      </c>
      <c r="L4" s="15">
        <v>25</v>
      </c>
      <c r="M4" s="18" t="e">
        <v>#N/A</v>
      </c>
    </row>
    <row r="5" spans="1:13" x14ac:dyDescent="0.3">
      <c r="A5" s="11" t="s">
        <v>9</v>
      </c>
      <c r="B5" s="11" t="s">
        <v>93</v>
      </c>
      <c r="C5" s="19">
        <v>0</v>
      </c>
      <c r="D5" s="19">
        <v>13483</v>
      </c>
      <c r="E5" s="13" t="s">
        <v>22</v>
      </c>
      <c r="F5" s="11">
        <v>0</v>
      </c>
      <c r="G5">
        <v>5648000</v>
      </c>
      <c r="H5" s="32">
        <v>16725.186000000002</v>
      </c>
      <c r="I5">
        <v>2.6</v>
      </c>
      <c r="J5" s="16">
        <v>0</v>
      </c>
      <c r="K5" s="17">
        <v>7.0999999999999994E-2</v>
      </c>
      <c r="L5" s="15">
        <v>25</v>
      </c>
      <c r="M5" s="18" t="e">
        <v>#N/A</v>
      </c>
    </row>
    <row r="6" spans="1:13" x14ac:dyDescent="0.3">
      <c r="A6" s="11" t="s">
        <v>9</v>
      </c>
      <c r="B6" s="11" t="s">
        <v>94</v>
      </c>
      <c r="C6" s="19">
        <v>0</v>
      </c>
      <c r="D6" s="19">
        <v>14578</v>
      </c>
      <c r="E6" s="13" t="s">
        <v>22</v>
      </c>
      <c r="F6" s="11">
        <v>0</v>
      </c>
      <c r="G6">
        <v>5648000</v>
      </c>
      <c r="H6" s="32">
        <v>16725.186000000002</v>
      </c>
      <c r="I6">
        <v>2.6</v>
      </c>
      <c r="J6" s="16">
        <v>0</v>
      </c>
      <c r="K6" s="17">
        <v>7.0999999999999994E-2</v>
      </c>
      <c r="L6" s="15">
        <v>25</v>
      </c>
      <c r="M6" s="18" t="e">
        <v>#N/A</v>
      </c>
    </row>
    <row r="7" spans="1:13" x14ac:dyDescent="0.3">
      <c r="A7" s="11" t="s">
        <v>9</v>
      </c>
      <c r="B7" s="11" t="s">
        <v>95</v>
      </c>
      <c r="C7" s="19">
        <v>0</v>
      </c>
      <c r="D7" s="19">
        <v>100000</v>
      </c>
      <c r="E7" s="13" t="s">
        <v>22</v>
      </c>
      <c r="F7" s="14">
        <v>0.5</v>
      </c>
      <c r="G7" s="15">
        <v>3791028.3572399998</v>
      </c>
      <c r="H7" s="15">
        <v>84183.129702000006</v>
      </c>
      <c r="I7" s="15">
        <v>6.75</v>
      </c>
      <c r="J7" s="16">
        <v>0</v>
      </c>
      <c r="K7" s="17">
        <v>7.0999999999999994E-2</v>
      </c>
      <c r="L7" s="15">
        <v>40</v>
      </c>
      <c r="M7" s="18" t="e">
        <v>#N/A</v>
      </c>
    </row>
    <row r="8" spans="1:13" x14ac:dyDescent="0.3">
      <c r="A8" s="11" t="s">
        <v>9</v>
      </c>
      <c r="B8" s="11" t="s">
        <v>96</v>
      </c>
      <c r="C8" s="19">
        <v>0</v>
      </c>
      <c r="D8" s="19">
        <v>100000</v>
      </c>
      <c r="E8" s="13" t="s">
        <v>22</v>
      </c>
      <c r="F8" s="14">
        <v>0.65</v>
      </c>
      <c r="G8" s="15">
        <v>4014030.0248799999</v>
      </c>
      <c r="H8" s="15">
        <v>76489.572146799997</v>
      </c>
      <c r="I8" s="15">
        <v>6.96</v>
      </c>
      <c r="J8" s="16">
        <v>0</v>
      </c>
      <c r="K8" s="17">
        <v>7.0999999999999994E-2</v>
      </c>
      <c r="L8" s="15">
        <v>40</v>
      </c>
      <c r="M8" s="18" t="e">
        <v>#N/A</v>
      </c>
    </row>
    <row r="9" spans="1:13" x14ac:dyDescent="0.3">
      <c r="A9" s="11" t="s">
        <v>9</v>
      </c>
      <c r="B9" s="11" t="s">
        <v>88</v>
      </c>
      <c r="C9" s="19">
        <v>0</v>
      </c>
      <c r="D9" s="19">
        <v>100000</v>
      </c>
      <c r="E9" s="13" t="s">
        <v>22</v>
      </c>
      <c r="F9" s="11">
        <v>0</v>
      </c>
      <c r="G9" s="15">
        <v>1951271.6999999997</v>
      </c>
      <c r="H9" s="15">
        <v>45715.5</v>
      </c>
      <c r="I9" s="15">
        <v>3.46</v>
      </c>
      <c r="J9" s="16">
        <v>0</v>
      </c>
      <c r="K9" s="17">
        <v>7.0999999999999994E-2</v>
      </c>
      <c r="L9" s="15">
        <v>25</v>
      </c>
      <c r="M9" s="18" t="e">
        <v>#N/A</v>
      </c>
    </row>
    <row r="10" spans="1:13" x14ac:dyDescent="0.3">
      <c r="A10" s="11" t="s">
        <v>9</v>
      </c>
      <c r="B10" s="12" t="s">
        <v>44</v>
      </c>
      <c r="C10" s="19">
        <v>0</v>
      </c>
      <c r="D10" s="19">
        <v>94198</v>
      </c>
      <c r="E10" s="13" t="s">
        <v>22</v>
      </c>
      <c r="F10" s="11">
        <v>0</v>
      </c>
      <c r="G10" s="24">
        <v>5909565.7200000007</v>
      </c>
      <c r="H10" s="31">
        <v>133801.48800000001</v>
      </c>
      <c r="I10" s="24">
        <v>7.1</v>
      </c>
      <c r="J10" s="15">
        <v>0</v>
      </c>
      <c r="K10" s="17">
        <v>7.0999999999999994E-2</v>
      </c>
      <c r="L10" s="15">
        <v>60</v>
      </c>
      <c r="M10" s="18" t="e">
        <v>#N/A</v>
      </c>
    </row>
    <row r="11" spans="1:13" x14ac:dyDescent="0.3">
      <c r="A11" s="11" t="s">
        <v>9</v>
      </c>
      <c r="B11" s="12" t="s">
        <v>40</v>
      </c>
      <c r="C11" s="19">
        <v>0</v>
      </c>
      <c r="D11" s="19">
        <v>46703</v>
      </c>
      <c r="E11" s="13" t="s">
        <v>22</v>
      </c>
      <c r="F11" s="11">
        <v>0</v>
      </c>
      <c r="G11" s="24">
        <v>2731780.3800000004</v>
      </c>
      <c r="H11" s="24">
        <v>9923.6103600000006</v>
      </c>
      <c r="I11" s="24">
        <v>0</v>
      </c>
      <c r="J11" s="15">
        <v>0</v>
      </c>
      <c r="K11" s="17">
        <v>7.0999999999999994E-2</v>
      </c>
      <c r="L11" s="15">
        <v>60</v>
      </c>
      <c r="M11" s="18" t="e">
        <v>#N/A</v>
      </c>
    </row>
    <row r="12" spans="1:13" x14ac:dyDescent="0.3">
      <c r="A12" s="11" t="s">
        <v>9</v>
      </c>
      <c r="B12" s="12" t="s">
        <v>41</v>
      </c>
      <c r="C12" s="19">
        <v>0</v>
      </c>
      <c r="D12" s="19">
        <v>61218</v>
      </c>
      <c r="E12" s="13" t="s">
        <v>22</v>
      </c>
      <c r="F12" s="11">
        <v>0</v>
      </c>
      <c r="G12" s="15">
        <v>3345037.2</v>
      </c>
      <c r="H12" s="15">
        <v>28432.799999999999</v>
      </c>
      <c r="I12" s="15">
        <v>0.35699999999999998</v>
      </c>
      <c r="J12" s="15">
        <v>0</v>
      </c>
      <c r="K12" s="17">
        <v>7.0999999999999994E-2</v>
      </c>
      <c r="L12" s="15">
        <v>50</v>
      </c>
      <c r="M12" s="18" t="e">
        <v>#N/A</v>
      </c>
    </row>
    <row r="13" spans="1:13" x14ac:dyDescent="0.3">
      <c r="A13" s="11" t="s">
        <v>9</v>
      </c>
      <c r="B13" s="12" t="s">
        <v>45</v>
      </c>
      <c r="C13" s="19">
        <v>0</v>
      </c>
      <c r="D13" s="19">
        <v>999999</v>
      </c>
      <c r="E13" s="13" t="s">
        <v>22</v>
      </c>
      <c r="F13" s="11">
        <v>0</v>
      </c>
      <c r="G13" s="33">
        <v>5648000</v>
      </c>
      <c r="H13" s="33">
        <v>0</v>
      </c>
      <c r="I13" s="33">
        <v>44.2</v>
      </c>
      <c r="J13" s="15">
        <v>0</v>
      </c>
      <c r="K13" s="17">
        <v>7.0999999999999994E-2</v>
      </c>
      <c r="L13" s="15">
        <v>25</v>
      </c>
      <c r="M13" s="18" t="e">
        <v>#N/A</v>
      </c>
    </row>
  </sheetData>
  <conditionalFormatting sqref="P2:XFD4">
    <cfRule type="expression" dxfId="36" priority="16">
      <formula>NOT(EXACT(INDIRECT("Z"&amp;ROW()-1&amp;"S1",FALSE()), INDIRECT("Z"&amp;ROW()&amp;"S1",FALSE())))</formula>
    </cfRule>
  </conditionalFormatting>
  <conditionalFormatting sqref="A1:XFD1 A14:XFD1048576 N12:XFD13">
    <cfRule type="expression" dxfId="35" priority="17">
      <formula>NOT(EXACT(INDIRECT("Z"&amp;ROW()-1&amp;"S1",FALSE()), INDIRECT("Z"&amp;ROW()&amp;"S1",FALSE())))</formula>
    </cfRule>
  </conditionalFormatting>
  <conditionalFormatting sqref="C2:D13 F9:F13 F4:F6">
    <cfRule type="expression" dxfId="34" priority="15">
      <formula>NOT(EXACT(INDIRECT("Z"&amp;ROW()-1&amp;"S1",FALSE()), INDIRECT("Z"&amp;ROW()&amp;"S1",FALSE())))</formula>
    </cfRule>
  </conditionalFormatting>
  <conditionalFormatting sqref="E2:E4 E12:E13">
    <cfRule type="expression" dxfId="33" priority="14">
      <formula>NOT(EXACT(INDIRECT("Z"&amp;ROW()-1&amp;"S1",FALSE()), INDIRECT("Z"&amp;ROW()&amp;"S1",FALSE())))</formula>
    </cfRule>
  </conditionalFormatting>
  <conditionalFormatting sqref="F2">
    <cfRule type="expression" dxfId="32" priority="13">
      <formula>NOT(EXACT(INDIRECT("Z"&amp;ROW()-1&amp;"S1",FALSE()), INDIRECT("Z"&amp;ROW()&amp;"S1",FALSE())))</formula>
    </cfRule>
  </conditionalFormatting>
  <conditionalFormatting sqref="F7">
    <cfRule type="expression" dxfId="31" priority="12">
      <formula>NOT(EXACT(INDIRECT("Z"&amp;ROW()-1&amp;"S1",FALSE()), INDIRECT("Z"&amp;ROW()&amp;"S1",FALSE())))</formula>
    </cfRule>
  </conditionalFormatting>
  <conditionalFormatting sqref="G11:M11">
    <cfRule type="expression" dxfId="30" priority="11">
      <formula>NOT(EXACT(INDIRECT("Z"&amp;ROW()-1&amp;"S1",FALSE()), INDIRECT("Z"&amp;ROW()&amp;"S1",FALSE())))</formula>
    </cfRule>
  </conditionalFormatting>
  <conditionalFormatting sqref="G11:I11">
    <cfRule type="expression" dxfId="29" priority="10">
      <formula>NOT(EXACT(INDIRECT("Z"&amp;ROW()-1&amp;"S1",FALSE()), INDIRECT("Z"&amp;ROW()&amp;"S1",FALSE())))</formula>
    </cfRule>
  </conditionalFormatting>
  <conditionalFormatting sqref="G12:M12">
    <cfRule type="expression" dxfId="28" priority="9">
      <formula>NOT(EXACT(INDIRECT("Z"&amp;ROW()-1&amp;"S1",FALSE()), INDIRECT("Z"&amp;ROW()&amp;"S1",FALSE())))</formula>
    </cfRule>
  </conditionalFormatting>
  <conditionalFormatting sqref="G2:M2">
    <cfRule type="expression" dxfId="27" priority="8">
      <formula>NOT(EXACT(INDIRECT("Z"&amp;ROW()-1&amp;"S1",FALSE()), INDIRECT("Z"&amp;ROW()&amp;"S1",FALSE())))</formula>
    </cfRule>
  </conditionalFormatting>
  <conditionalFormatting sqref="B2:B9">
    <cfRule type="expression" dxfId="26" priority="7">
      <formula>NOT(EXACT(INDIRECT("Z"&amp;ROW()-1&amp;"S1",FALSE()), INDIRECT("Z"&amp;ROW()&amp;"S1",FALSE())))</formula>
    </cfRule>
  </conditionalFormatting>
  <conditionalFormatting sqref="A2:A4">
    <cfRule type="expression" dxfId="25" priority="6">
      <formula>NOT(EXACT(INDIRECT("Z"&amp;ROW()-1&amp;"S1",FALSE()), INDIRECT("Z"&amp;ROW()&amp;"S1",FALSE())))</formula>
    </cfRule>
  </conditionalFormatting>
  <conditionalFormatting sqref="A2:A13">
    <cfRule type="expression" dxfId="24" priority="5">
      <formula>NOT(EXACT(INDIRECT("Z"&amp;ROW()-1&amp;"S1",FALSE()), INDIRECT("Z"&amp;ROW()&amp;"S1",FALSE())))</formula>
    </cfRule>
  </conditionalFormatting>
  <conditionalFormatting sqref="B10">
    <cfRule type="expression" dxfId="23" priority="4">
      <formula>NOT(EXACT(INDIRECT("Z"&amp;ROW()-1&amp;"S1",FALSE()), INDIRECT("Z"&amp;ROW()&amp;"S1",FALSE())))</formula>
    </cfRule>
  </conditionalFormatting>
  <conditionalFormatting sqref="B11:B12">
    <cfRule type="expression" dxfId="22" priority="3">
      <formula>NOT(EXACT(INDIRECT("Z"&amp;ROW()-1&amp;"S1",FALSE()), INDIRECT("Z"&amp;ROW()&amp;"S1",FALSE())))</formula>
    </cfRule>
  </conditionalFormatting>
  <conditionalFormatting sqref="B11:B12">
    <cfRule type="expression" dxfId="21" priority="2">
      <formula>NOT(EXACT(INDIRECT("Z"&amp;ROW()-1&amp;"S1",FALSE()), INDIRECT("Z"&amp;ROW()&amp;"S1",FALSE())))</formula>
    </cfRule>
  </conditionalFormatting>
  <conditionalFormatting sqref="B13">
    <cfRule type="expression" dxfId="20" priority="1">
      <formula>NOT(EXACT(INDIRECT("Z"&amp;ROW()-1&amp;"S1",FALSE()), INDIRECT("Z"&amp;ROW()&amp;"S1",FALSE())))</formula>
    </cfRule>
  </conditionalFormatting>
  <dataValidations count="11">
    <dataValidation allowBlank="1" showInputMessage="1" showErrorMessage="1" promptTitle="Startup Cost (€)" prompt="The process cost which is incurred when the process is switched on from off condition at a timestep." sqref="J1" xr:uid="{4F5152A4-99F2-4A31-972F-6BE759902885}"/>
    <dataValidation allowBlank="1" showInputMessage="1" showErrorMessage="1" promptTitle="Weighted average cost of capital" prompt="Percentage (%) of costs for capital after taxes. Used to calculate annuity factor for investment costs." sqref="K1" xr:uid="{63E5D2ED-0A16-44C9-9A71-E22474E10A05}"/>
    <dataValidation allowBlank="1" showInputMessage="1" showErrorMessage="1" promptTitle="Area use per capacity (m^2/MW) " prompt="If a process requires area set value here. If no area use is to be considered set NV(). " sqref="M1" xr:uid="{6AD6BB53-24EB-412C-B88B-83F48800B92A}"/>
    <dataValidation allowBlank="1" showInputMessage="1" showErrorMessage="1" promptTitle="Minimum load fraction" prompt="This value sets the minimum possible fraction of the process capacity which the process can run at." sqref="F1" xr:uid="{FF2ADD84-8EFC-455D-BE90-6BF73AB81F98}"/>
    <dataValidation allowBlank="1" showInputMessage="1" showErrorMessage="1" promptTitle="Maximal power gradient (1/h)" prompt="Maximum allowed power gradient relative to power throughput capacity. Set value to inf or greater than 1/dt to disable it." sqref="E1" xr:uid="{844AC794-A661-4484-8B57-32DA65E2C0FD}"/>
    <dataValidation allowBlank="1" showInputMessage="1" showErrorMessage="1" promptTitle="Depreciation period (a)" prompt="Economic lifetime (more conservative than technical lifetime) of a process investment in years (a). Used to calculate annuity factor for investment costs." sqref="L1" xr:uid="{66D33C9B-0574-47D5-B61C-BC4C6FCB6870}"/>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CCBE8E7F-F7DD-446F-A7BD-39E2691405B9}"/>
    <dataValidation allowBlank="1" showInputMessage="1" showErrorMessage="1" promptTitle="Annual fix cost (€/MW/a)" prompt="Operation independent costs for existing and new capacities per MW throughput power." sqref="H1" xr:uid="{90237EED-2930-46C5-A025-D19672DF67EA}"/>
    <dataValidation allowBlank="1" showInputMessage="1" showErrorMessage="1" promptTitle="Investment cost (€/MW)" prompt="Total investement cost for adding capacity. Is annualized in the model using the annuity factor derived from 'wacc' and 'depreciation'." sqref="G1" xr:uid="{F2FE518F-0830-454F-9FAE-2B84D6B80008}"/>
    <dataValidation allowBlank="1" showInputMessage="1" showErrorMessage="1" promptTitle="Maximum capacity (MW)" prompt="Maximum allowed power throughput capacity per process. Must be bigger than or equal to max('cap-lo', 'inst-cap')." sqref="D1" xr:uid="{A821AC79-26B7-42E3-B9FD-50353C84FEC1}"/>
    <dataValidation allowBlank="1" showInputMessage="1" showErrorMessage="1" promptTitle="Minimum capacity (MW)" prompt="Minimum required power throughput capacity that is allowed per process. Must be smaller or equal to 'cap-up', but can be bigger than 'inst-cap' to force investment." sqref="C1" xr:uid="{207D0352-BA18-4FD2-9D17-A5C818D5DCF3}"/>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4"/>
  <sheetViews>
    <sheetView tabSelected="1" workbookViewId="0">
      <selection activeCell="K27" sqref="K27"/>
    </sheetView>
  </sheetViews>
  <sheetFormatPr baseColWidth="10" defaultColWidth="11.44140625" defaultRowHeight="14.4" x14ac:dyDescent="0.3"/>
  <cols>
    <col min="1" max="1" width="16.33203125" style="11" bestFit="1" customWidth="1"/>
    <col min="2" max="2" width="13.5546875" style="11" bestFit="1" customWidth="1"/>
    <col min="3" max="3" width="11.44140625" style="11" bestFit="1"/>
    <col min="4" max="4" width="20.6640625" style="37" customWidth="1"/>
    <col min="5" max="5" width="18.5546875" style="37" customWidth="1"/>
    <col min="6" max="16384" width="11.44140625" style="11"/>
  </cols>
  <sheetData>
    <row r="1" spans="1:5" x14ac:dyDescent="0.3">
      <c r="A1" t="s">
        <v>28</v>
      </c>
      <c r="B1" t="s">
        <v>11</v>
      </c>
      <c r="C1" t="s">
        <v>46</v>
      </c>
      <c r="D1" s="36" t="s">
        <v>47</v>
      </c>
      <c r="E1" s="36" t="s">
        <v>48</v>
      </c>
    </row>
    <row r="2" spans="1:5" x14ac:dyDescent="0.3">
      <c r="A2" s="11" t="s">
        <v>92</v>
      </c>
      <c r="B2" s="9" t="s">
        <v>20</v>
      </c>
      <c r="C2" s="9" t="s">
        <v>49</v>
      </c>
      <c r="D2" s="10">
        <v>1</v>
      </c>
      <c r="E2" s="10">
        <v>2</v>
      </c>
    </row>
    <row r="3" spans="1:5" x14ac:dyDescent="0.3">
      <c r="A3" s="11" t="s">
        <v>92</v>
      </c>
      <c r="B3" s="9" t="s">
        <v>18</v>
      </c>
      <c r="C3" s="9" t="s">
        <v>50</v>
      </c>
      <c r="D3" s="10">
        <v>0.41</v>
      </c>
      <c r="E3" s="10" t="e">
        <f>NA()</f>
        <v>#N/A</v>
      </c>
    </row>
    <row r="4" spans="1:5" x14ac:dyDescent="0.3">
      <c r="A4" s="11" t="s">
        <v>92</v>
      </c>
      <c r="B4" s="9" t="s">
        <v>23</v>
      </c>
      <c r="C4" s="9" t="s">
        <v>50</v>
      </c>
      <c r="D4" s="10">
        <v>0.36299999999999999</v>
      </c>
      <c r="E4" s="10">
        <v>0.8</v>
      </c>
    </row>
    <row r="5" spans="1:5" x14ac:dyDescent="0.3">
      <c r="A5" s="8" t="s">
        <v>43</v>
      </c>
      <c r="B5" s="9" t="s">
        <v>89</v>
      </c>
      <c r="C5" s="9" t="s">
        <v>49</v>
      </c>
      <c r="D5" s="10">
        <v>1</v>
      </c>
      <c r="E5" s="10" t="e">
        <f>D5*E3</f>
        <v>#N/A</v>
      </c>
    </row>
    <row r="6" spans="1:5" x14ac:dyDescent="0.3">
      <c r="A6" s="8" t="s">
        <v>43</v>
      </c>
      <c r="B6" s="9" t="s">
        <v>18</v>
      </c>
      <c r="C6" s="9" t="s">
        <v>50</v>
      </c>
      <c r="D6" s="10">
        <v>0.6</v>
      </c>
      <c r="E6" s="10" t="e">
        <f>NA()</f>
        <v>#N/A</v>
      </c>
    </row>
    <row r="7" spans="1:5" x14ac:dyDescent="0.3">
      <c r="A7" s="8" t="s">
        <v>43</v>
      </c>
      <c r="B7" s="9" t="s">
        <v>23</v>
      </c>
      <c r="C7" s="9" t="s">
        <v>50</v>
      </c>
      <c r="D7" s="10">
        <v>0.20499999999999999</v>
      </c>
      <c r="E7" s="10" t="e">
        <f>D7*E5</f>
        <v>#N/A</v>
      </c>
    </row>
    <row r="8" spans="1:5" x14ac:dyDescent="0.3">
      <c r="A8" s="8" t="s">
        <v>45</v>
      </c>
      <c r="B8" s="9" t="s">
        <v>25</v>
      </c>
      <c r="C8" s="9" t="s">
        <v>49</v>
      </c>
      <c r="D8" s="10">
        <v>1</v>
      </c>
      <c r="E8" s="10" t="e">
        <f>NA()</f>
        <v>#N/A</v>
      </c>
    </row>
    <row r="9" spans="1:5" x14ac:dyDescent="0.3">
      <c r="A9" s="8" t="s">
        <v>45</v>
      </c>
      <c r="B9" s="9" t="s">
        <v>18</v>
      </c>
      <c r="C9" s="9" t="s">
        <v>50</v>
      </c>
      <c r="D9" s="10">
        <v>0.35</v>
      </c>
      <c r="E9" s="10" t="e">
        <f>NA()</f>
        <v>#N/A</v>
      </c>
    </row>
    <row r="10" spans="1:5" x14ac:dyDescent="0.3">
      <c r="A10" s="8" t="s">
        <v>45</v>
      </c>
      <c r="B10" s="9" t="s">
        <v>23</v>
      </c>
      <c r="C10" s="9" t="s">
        <v>50</v>
      </c>
      <c r="D10" s="10">
        <v>0</v>
      </c>
      <c r="E10" s="10" t="e">
        <f>NA()</f>
        <v>#N/A</v>
      </c>
    </row>
    <row r="11" spans="1:5" x14ac:dyDescent="0.3">
      <c r="A11" s="8" t="s">
        <v>44</v>
      </c>
      <c r="B11" s="9" t="s">
        <v>26</v>
      </c>
      <c r="C11" s="9" t="s">
        <v>49</v>
      </c>
      <c r="D11" s="10">
        <v>1</v>
      </c>
      <c r="E11" s="10" t="e">
        <f>NA()</f>
        <v>#N/A</v>
      </c>
    </row>
    <row r="12" spans="1:5" x14ac:dyDescent="0.3">
      <c r="A12" s="8" t="s">
        <v>44</v>
      </c>
      <c r="B12" s="9" t="s">
        <v>18</v>
      </c>
      <c r="C12" s="9" t="s">
        <v>50</v>
      </c>
      <c r="D12" s="10">
        <v>0.38</v>
      </c>
      <c r="E12" s="10" t="e">
        <f>NA()</f>
        <v>#N/A</v>
      </c>
    </row>
    <row r="13" spans="1:5" x14ac:dyDescent="0.3">
      <c r="A13" s="8" t="s">
        <v>42</v>
      </c>
      <c r="B13" s="9" t="s">
        <v>27</v>
      </c>
      <c r="C13" s="9" t="s">
        <v>49</v>
      </c>
      <c r="D13" s="10">
        <v>1</v>
      </c>
      <c r="E13" s="10">
        <v>1.4</v>
      </c>
    </row>
    <row r="14" spans="1:5" x14ac:dyDescent="0.3">
      <c r="A14" s="8" t="s">
        <v>42</v>
      </c>
      <c r="B14" s="9" t="s">
        <v>18</v>
      </c>
      <c r="C14" s="9" t="s">
        <v>50</v>
      </c>
      <c r="D14" s="10">
        <v>0.45</v>
      </c>
      <c r="E14" s="10" t="e">
        <f>NA()</f>
        <v>#N/A</v>
      </c>
    </row>
    <row r="15" spans="1:5" x14ac:dyDescent="0.3">
      <c r="A15" s="8" t="s">
        <v>42</v>
      </c>
      <c r="B15" s="9" t="s">
        <v>23</v>
      </c>
      <c r="C15" s="9" t="s">
        <v>50</v>
      </c>
      <c r="D15" s="10">
        <v>0.34179999999999999</v>
      </c>
      <c r="E15" s="10">
        <f>D15*E13</f>
        <v>0.47851999999999995</v>
      </c>
    </row>
    <row r="16" spans="1:5" x14ac:dyDescent="0.3">
      <c r="A16" s="8" t="s">
        <v>40</v>
      </c>
      <c r="B16" s="9" t="s">
        <v>17</v>
      </c>
      <c r="C16" s="9" t="s">
        <v>49</v>
      </c>
      <c r="D16" s="10">
        <v>1</v>
      </c>
      <c r="E16" s="10" t="e">
        <f>NA()</f>
        <v>#N/A</v>
      </c>
    </row>
    <row r="17" spans="1:5" x14ac:dyDescent="0.3">
      <c r="A17" s="8" t="s">
        <v>40</v>
      </c>
      <c r="B17" s="9" t="s">
        <v>18</v>
      </c>
      <c r="C17" s="9" t="s">
        <v>50</v>
      </c>
      <c r="D17" s="10">
        <v>1</v>
      </c>
      <c r="E17" s="10" t="e">
        <f>NA()</f>
        <v>#N/A</v>
      </c>
    </row>
    <row r="18" spans="1:5" x14ac:dyDescent="0.3">
      <c r="A18" s="8" t="s">
        <v>41</v>
      </c>
      <c r="B18" s="9" t="s">
        <v>17</v>
      </c>
      <c r="C18" s="9" t="s">
        <v>49</v>
      </c>
      <c r="D18" s="10">
        <v>1</v>
      </c>
      <c r="E18" s="10" t="e">
        <f>NA()</f>
        <v>#N/A</v>
      </c>
    </row>
    <row r="19" spans="1:5" x14ac:dyDescent="0.3">
      <c r="A19" s="8" t="s">
        <v>41</v>
      </c>
      <c r="B19" s="9" t="s">
        <v>18</v>
      </c>
      <c r="C19" s="9" t="s">
        <v>50</v>
      </c>
      <c r="D19" s="10">
        <v>1</v>
      </c>
      <c r="E19" s="10" t="e">
        <f>NA()</f>
        <v>#N/A</v>
      </c>
    </row>
    <row r="20" spans="1:5" x14ac:dyDescent="0.3">
      <c r="A20" s="11" t="s">
        <v>95</v>
      </c>
      <c r="B20" s="9" t="s">
        <v>27</v>
      </c>
      <c r="C20" s="9" t="s">
        <v>49</v>
      </c>
      <c r="D20" s="10">
        <v>1</v>
      </c>
      <c r="E20" s="10" t="e">
        <f>NA()</f>
        <v>#N/A</v>
      </c>
    </row>
    <row r="21" spans="1:5" x14ac:dyDescent="0.3">
      <c r="A21" s="11" t="s">
        <v>95</v>
      </c>
      <c r="B21" s="9" t="s">
        <v>18</v>
      </c>
      <c r="C21" s="9" t="s">
        <v>50</v>
      </c>
      <c r="D21" s="10">
        <v>0.36</v>
      </c>
      <c r="E21" s="10" t="e">
        <f>D21*E19</f>
        <v>#N/A</v>
      </c>
    </row>
    <row r="22" spans="1:5" x14ac:dyDescent="0.3">
      <c r="A22" s="11" t="s">
        <v>95</v>
      </c>
      <c r="B22" s="9" t="s">
        <v>23</v>
      </c>
      <c r="C22" s="9" t="s">
        <v>50</v>
      </c>
      <c r="D22" s="10">
        <v>3.4180000000000002E-2</v>
      </c>
      <c r="E22" s="10" t="e">
        <f>D22*E20</f>
        <v>#N/A</v>
      </c>
    </row>
    <row r="23" spans="1:5" x14ac:dyDescent="0.3">
      <c r="A23" s="11" t="s">
        <v>96</v>
      </c>
      <c r="B23" s="9" t="s">
        <v>27</v>
      </c>
      <c r="C23" s="9" t="s">
        <v>49</v>
      </c>
      <c r="D23" s="10">
        <v>1</v>
      </c>
      <c r="E23" s="10" t="e">
        <f>NA()</f>
        <v>#N/A</v>
      </c>
    </row>
    <row r="24" spans="1:5" x14ac:dyDescent="0.3">
      <c r="A24" s="11" t="s">
        <v>96</v>
      </c>
      <c r="B24" s="9" t="s">
        <v>18</v>
      </c>
      <c r="C24" s="9" t="s">
        <v>50</v>
      </c>
      <c r="D24" s="10">
        <v>0.32</v>
      </c>
      <c r="E24" s="10" t="e">
        <f>D24*E21</f>
        <v>#N/A</v>
      </c>
    </row>
    <row r="25" spans="1:5" x14ac:dyDescent="0.3">
      <c r="A25" s="11" t="s">
        <v>96</v>
      </c>
      <c r="B25" s="9" t="s">
        <v>23</v>
      </c>
      <c r="C25" s="9" t="s">
        <v>50</v>
      </c>
      <c r="D25" s="10">
        <v>3.6299999999999999E-2</v>
      </c>
      <c r="E25" s="10" t="e">
        <f>D25*E23</f>
        <v>#N/A</v>
      </c>
    </row>
    <row r="26" spans="1:5" x14ac:dyDescent="0.3">
      <c r="A26" s="8" t="s">
        <v>88</v>
      </c>
      <c r="B26" s="9" t="s">
        <v>89</v>
      </c>
      <c r="C26" s="9" t="s">
        <v>49</v>
      </c>
      <c r="D26" s="10">
        <v>1</v>
      </c>
      <c r="E26" s="10" t="e">
        <f>D26*E24</f>
        <v>#N/A</v>
      </c>
    </row>
    <row r="27" spans="1:5" x14ac:dyDescent="0.3">
      <c r="A27" s="8" t="s">
        <v>88</v>
      </c>
      <c r="B27" s="9" t="s">
        <v>18</v>
      </c>
      <c r="C27" s="9" t="s">
        <v>50</v>
      </c>
      <c r="D27" s="10">
        <v>0.4</v>
      </c>
      <c r="E27" s="10" t="e">
        <f>NA()</f>
        <v>#N/A</v>
      </c>
    </row>
    <row r="28" spans="1:5" x14ac:dyDescent="0.3">
      <c r="A28" s="8" t="s">
        <v>88</v>
      </c>
      <c r="B28" s="9" t="s">
        <v>23</v>
      </c>
      <c r="C28" s="9" t="s">
        <v>50</v>
      </c>
      <c r="D28" s="10">
        <v>2.0500000000000001E-2</v>
      </c>
      <c r="E28" s="10" t="e">
        <f>NA()</f>
        <v>#N/A</v>
      </c>
    </row>
    <row r="29" spans="1:5" x14ac:dyDescent="0.3">
      <c r="A29" s="11" t="s">
        <v>93</v>
      </c>
      <c r="B29" s="9" t="s">
        <v>91</v>
      </c>
      <c r="C29" s="9" t="s">
        <v>49</v>
      </c>
      <c r="D29" s="10">
        <v>1</v>
      </c>
      <c r="E29" s="10" t="e">
        <f>D29*E27</f>
        <v>#N/A</v>
      </c>
    </row>
    <row r="30" spans="1:5" x14ac:dyDescent="0.3">
      <c r="A30" s="11" t="s">
        <v>93</v>
      </c>
      <c r="B30" s="9" t="s">
        <v>18</v>
      </c>
      <c r="C30" s="9" t="s">
        <v>50</v>
      </c>
      <c r="D30" s="10">
        <v>0.4</v>
      </c>
      <c r="E30" s="10" t="e">
        <f>NA()</f>
        <v>#N/A</v>
      </c>
    </row>
    <row r="31" spans="1:5" x14ac:dyDescent="0.3">
      <c r="A31" s="11" t="s">
        <v>93</v>
      </c>
      <c r="B31" s="9" t="s">
        <v>23</v>
      </c>
      <c r="C31" s="9" t="s">
        <v>50</v>
      </c>
      <c r="D31" s="10">
        <v>0.26700000000000002</v>
      </c>
      <c r="E31" s="10" t="e">
        <f>NA()</f>
        <v>#N/A</v>
      </c>
    </row>
    <row r="32" spans="1:5" x14ac:dyDescent="0.3">
      <c r="A32" s="11" t="s">
        <v>94</v>
      </c>
      <c r="B32" s="9" t="s">
        <v>90</v>
      </c>
      <c r="C32" s="9" t="s">
        <v>49</v>
      </c>
      <c r="D32" s="10">
        <v>1</v>
      </c>
      <c r="E32" s="10" t="e">
        <f>D32*E30</f>
        <v>#N/A</v>
      </c>
    </row>
    <row r="33" spans="1:5" x14ac:dyDescent="0.3">
      <c r="A33" s="11" t="s">
        <v>94</v>
      </c>
      <c r="B33" s="9" t="s">
        <v>18</v>
      </c>
      <c r="C33" s="9" t="s">
        <v>50</v>
      </c>
      <c r="D33" s="10">
        <v>0.4</v>
      </c>
      <c r="E33" s="10" t="e">
        <f>NA()</f>
        <v>#N/A</v>
      </c>
    </row>
    <row r="34" spans="1:5" x14ac:dyDescent="0.3">
      <c r="A34" s="11" t="s">
        <v>94</v>
      </c>
      <c r="B34" s="9" t="s">
        <v>23</v>
      </c>
      <c r="C34" s="9" t="s">
        <v>50</v>
      </c>
      <c r="D34" s="10">
        <v>0.26700000000000002</v>
      </c>
      <c r="E34" s="10" t="e">
        <f>NA()</f>
        <v>#N/A</v>
      </c>
    </row>
  </sheetData>
  <conditionalFormatting sqref="A35:XFD1048576 F8:XFD34">
    <cfRule type="expression" dxfId="19" priority="44">
      <formula>NOT(EXACT(INDIRECT("Z"&amp;ROW()-1&amp;"S1",FALSE()), INDIRECT("Z"&amp;ROW()&amp;"S1",FALSE())))</formula>
    </cfRule>
  </conditionalFormatting>
  <conditionalFormatting sqref="A1:XFD1 F2:XFD4">
    <cfRule type="expression" dxfId="18" priority="43">
      <formula>NOT(EXACT(INDIRECT("Z"&amp;ROW()-1&amp;"S1",FALSE()), INDIRECT("Z"&amp;ROW()&amp;"S1",FALSE())))</formula>
    </cfRule>
  </conditionalFormatting>
  <conditionalFormatting sqref="D1:E1">
    <cfRule type="dataBar" priority="45">
      <dataBar>
        <cfvo type="num" val="0"/>
        <cfvo type="num" val="2"/>
        <color rgb="FF638EC6"/>
      </dataBar>
    </cfRule>
  </conditionalFormatting>
  <conditionalFormatting sqref="D35:E1048576">
    <cfRule type="dataBar" priority="46">
      <dataBar>
        <cfvo type="num" val="0"/>
        <cfvo type="num" val="2"/>
        <color rgb="FF638EC6"/>
      </dataBar>
    </cfRule>
  </conditionalFormatting>
  <conditionalFormatting sqref="F5:XFD7">
    <cfRule type="expression" dxfId="17" priority="42">
      <formula>NOT(EXACT(INDIRECT("Z"&amp;ROW()-1&amp;"S1",FALSE()), INDIRECT("Z"&amp;ROW()&amp;"S1",FALSE())))</formula>
    </cfRule>
  </conditionalFormatting>
  <conditionalFormatting sqref="D2:D19 A5 A6:C19 E6:E19 B2:C4 E2:E4">
    <cfRule type="expression" dxfId="16" priority="35">
      <formula>NOT(EXACT(INDIRECT("Z"&amp;ROW()-1&amp;"S1",FALSE()), INDIRECT("Z"&amp;ROW()&amp;"S1",FALSE())))</formula>
    </cfRule>
  </conditionalFormatting>
  <conditionalFormatting sqref="B21:C25 C26 B27:C27">
    <cfRule type="expression" dxfId="15" priority="26">
      <formula>NOT(EXACT(INDIRECT("Z"&amp;ROW()-1&amp;"S1",FALSE()), INDIRECT("Z"&amp;ROW()&amp;"S1",FALSE())))</formula>
    </cfRule>
  </conditionalFormatting>
  <conditionalFormatting sqref="B20:C20 A26:A28 E23 E20">
    <cfRule type="expression" dxfId="14" priority="27">
      <formula>NOT(EXACT(INDIRECT("Z"&amp;ROW()-1&amp;"S1",FALSE()), INDIRECT("Z"&amp;ROW()&amp;"S1",FALSE())))</formula>
    </cfRule>
  </conditionalFormatting>
  <conditionalFormatting sqref="C5:E5">
    <cfRule type="expression" dxfId="13" priority="20">
      <formula>NOT(EXACT(INDIRECT("Z"&amp;ROW()-1&amp;"S1",FALSE()), INDIRECT("Z"&amp;ROW()&amp;"S1",FALSE())))</formula>
    </cfRule>
  </conditionalFormatting>
  <conditionalFormatting sqref="D6:D7">
    <cfRule type="dataBar" priority="33">
      <dataBar>
        <cfvo type="num" val="0"/>
        <cfvo type="num" val="2"/>
        <color rgb="FF638EC6"/>
      </dataBar>
      <extLst>
        <ext xmlns:x14="http://schemas.microsoft.com/office/spreadsheetml/2009/9/main" uri="{B025F937-C7B1-47D3-B67F-A62EFF666E3E}">
          <x14:id>{728346A9-F67E-495D-918D-16F75E240B41}</x14:id>
        </ext>
      </extLst>
    </cfRule>
  </conditionalFormatting>
  <conditionalFormatting sqref="D8:D10 D5 E3:E4 E6:E7">
    <cfRule type="dataBar" priority="40">
      <dataBar>
        <cfvo type="num" val="0"/>
        <cfvo type="num" val="2"/>
        <color rgb="FF638EC6"/>
      </dataBar>
      <extLst>
        <ext xmlns:x14="http://schemas.microsoft.com/office/spreadsheetml/2009/9/main" uri="{B025F937-C7B1-47D3-B67F-A62EFF666E3E}">
          <x14:id>{C5A8A086-F837-4C5D-97BA-4C4F8BBDE799}</x14:id>
        </ext>
      </extLst>
    </cfRule>
  </conditionalFormatting>
  <conditionalFormatting sqref="D13 D15">
    <cfRule type="dataBar" priority="32">
      <dataBar>
        <cfvo type="num" val="0"/>
        <cfvo type="num" val="2"/>
        <color rgb="FF638EC6"/>
      </dataBar>
      <extLst>
        <ext xmlns:x14="http://schemas.microsoft.com/office/spreadsheetml/2009/9/main" uri="{B025F937-C7B1-47D3-B67F-A62EFF666E3E}">
          <x14:id>{A78CE6E7-B456-4A41-B0DD-16491A18A9BD}</x14:id>
        </ext>
      </extLst>
    </cfRule>
  </conditionalFormatting>
  <conditionalFormatting sqref="D15">
    <cfRule type="dataBar" priority="31">
      <dataBar>
        <cfvo type="num" val="0"/>
        <cfvo type="num" val="2"/>
        <color rgb="FF638EC6"/>
      </dataBar>
      <extLst>
        <ext xmlns:x14="http://schemas.microsoft.com/office/spreadsheetml/2009/9/main" uri="{B025F937-C7B1-47D3-B67F-A62EFF666E3E}">
          <x14:id>{E0A87B52-F13C-424A-B297-A6E5FD3F01E1}</x14:id>
        </ext>
      </extLst>
    </cfRule>
  </conditionalFormatting>
  <conditionalFormatting sqref="D2:E2 D3:D19">
    <cfRule type="dataBar" priority="34">
      <dataBar>
        <cfvo type="num" val="0"/>
        <cfvo type="num" val="2"/>
        <color rgb="FF638EC6"/>
      </dataBar>
      <extLst>
        <ext xmlns:x14="http://schemas.microsoft.com/office/spreadsheetml/2009/9/main" uri="{B025F937-C7B1-47D3-B67F-A62EFF666E3E}">
          <x14:id>{10143884-4BA6-4AA4-AEB0-38035128EC56}</x14:id>
        </ext>
      </extLst>
    </cfRule>
  </conditionalFormatting>
  <conditionalFormatting sqref="D11:E12">
    <cfRule type="dataBar" priority="41">
      <dataBar>
        <cfvo type="num" val="0"/>
        <cfvo type="num" val="2"/>
        <color rgb="FF638EC6"/>
      </dataBar>
      <extLst>
        <ext xmlns:x14="http://schemas.microsoft.com/office/spreadsheetml/2009/9/main" uri="{B025F937-C7B1-47D3-B67F-A62EFF666E3E}">
          <x14:id>{EFE088D5-7DED-48EF-94DB-C8C5903B0DC8}</x14:id>
        </ext>
      </extLst>
    </cfRule>
  </conditionalFormatting>
  <conditionalFormatting sqref="D16:E17">
    <cfRule type="dataBar" priority="37">
      <dataBar>
        <cfvo type="num" val="0"/>
        <cfvo type="num" val="2"/>
        <color rgb="FF638EC6"/>
      </dataBar>
      <extLst>
        <ext xmlns:x14="http://schemas.microsoft.com/office/spreadsheetml/2009/9/main" uri="{B025F937-C7B1-47D3-B67F-A62EFF666E3E}">
          <x14:id>{54145B51-8436-4E69-B0F6-8FB621F72C00}</x14:id>
        </ext>
      </extLst>
    </cfRule>
  </conditionalFormatting>
  <conditionalFormatting sqref="D18:E19">
    <cfRule type="dataBar" priority="36">
      <dataBar>
        <cfvo type="num" val="0"/>
        <cfvo type="num" val="2"/>
        <color rgb="FF638EC6"/>
      </dataBar>
      <extLst>
        <ext xmlns:x14="http://schemas.microsoft.com/office/spreadsheetml/2009/9/main" uri="{B025F937-C7B1-47D3-B67F-A62EFF666E3E}">
          <x14:id>{00C9838C-0229-4451-9E16-62CAE127AC9C}</x14:id>
        </ext>
      </extLst>
    </cfRule>
  </conditionalFormatting>
  <conditionalFormatting sqref="E5">
    <cfRule type="dataBar" priority="21">
      <dataBar>
        <cfvo type="num" val="0"/>
        <cfvo type="num" val="2"/>
        <color rgb="FF638EC6"/>
      </dataBar>
      <extLst>
        <ext xmlns:x14="http://schemas.microsoft.com/office/spreadsheetml/2009/9/main" uri="{B025F937-C7B1-47D3-B67F-A62EFF666E3E}">
          <x14:id>{0ED5A83F-86C0-4C1D-9B10-5A6895D5E724}</x14:id>
        </ext>
      </extLst>
    </cfRule>
  </conditionalFormatting>
  <conditionalFormatting sqref="E8:E10">
    <cfRule type="dataBar" priority="39">
      <dataBar>
        <cfvo type="num" val="0"/>
        <cfvo type="num" val="2"/>
        <color rgb="FF638EC6"/>
      </dataBar>
      <extLst>
        <ext xmlns:x14="http://schemas.microsoft.com/office/spreadsheetml/2009/9/main" uri="{B025F937-C7B1-47D3-B67F-A62EFF666E3E}">
          <x14:id>{D5E79760-3525-40E2-ABF3-40AA8B47FE7C}</x14:id>
        </ext>
      </extLst>
    </cfRule>
  </conditionalFormatting>
  <conditionalFormatting sqref="E13:E15">
    <cfRule type="dataBar" priority="38">
      <dataBar>
        <cfvo type="num" val="0"/>
        <cfvo type="num" val="2"/>
        <color rgb="FF638EC6"/>
      </dataBar>
      <extLst>
        <ext xmlns:x14="http://schemas.microsoft.com/office/spreadsheetml/2009/9/main" uri="{B025F937-C7B1-47D3-B67F-A62EFF666E3E}">
          <x14:id>{65473C6D-B025-4447-B2A3-BA0A243911E5}</x14:id>
        </ext>
      </extLst>
    </cfRule>
  </conditionalFormatting>
  <conditionalFormatting sqref="E20:E22">
    <cfRule type="dataBar" priority="30">
      <dataBar>
        <cfvo type="num" val="0"/>
        <cfvo type="num" val="2"/>
        <color rgb="FF638EC6"/>
      </dataBar>
      <extLst>
        <ext xmlns:x14="http://schemas.microsoft.com/office/spreadsheetml/2009/9/main" uri="{B025F937-C7B1-47D3-B67F-A62EFF666E3E}">
          <x14:id>{971822BA-F42C-4409-BEE7-8870A641513E}</x14:id>
        </ext>
      </extLst>
    </cfRule>
  </conditionalFormatting>
  <conditionalFormatting sqref="E21:E22">
    <cfRule type="expression" dxfId="12" priority="25">
      <formula>NOT(EXACT(INDIRECT("Z"&amp;ROW()-1&amp;"S1",FALSE()), INDIRECT("Z"&amp;ROW()&amp;"S1",FALSE())))</formula>
    </cfRule>
  </conditionalFormatting>
  <conditionalFormatting sqref="E23:E24">
    <cfRule type="dataBar" priority="29">
      <dataBar>
        <cfvo type="num" val="0"/>
        <cfvo type="num" val="2"/>
        <color rgb="FF638EC6"/>
      </dataBar>
      <extLst>
        <ext xmlns:x14="http://schemas.microsoft.com/office/spreadsheetml/2009/9/main" uri="{B025F937-C7B1-47D3-B67F-A62EFF666E3E}">
          <x14:id>{DC28285F-06BC-4432-911A-06D3AB853A3E}</x14:id>
        </ext>
      </extLst>
    </cfRule>
  </conditionalFormatting>
  <conditionalFormatting sqref="E24:E34">
    <cfRule type="expression" dxfId="11" priority="19">
      <formula>NOT(EXACT(INDIRECT("Z"&amp;ROW()-1&amp;"S1",FALSE()), INDIRECT("Z"&amp;ROW()&amp;"S1",FALSE())))</formula>
    </cfRule>
  </conditionalFormatting>
  <conditionalFormatting sqref="E25:E26">
    <cfRule type="dataBar" priority="24">
      <dataBar>
        <cfvo type="num" val="0"/>
        <cfvo type="num" val="2"/>
        <color rgb="FF638EC6"/>
      </dataBar>
      <extLst>
        <ext xmlns:x14="http://schemas.microsoft.com/office/spreadsheetml/2009/9/main" uri="{B025F937-C7B1-47D3-B67F-A62EFF666E3E}">
          <x14:id>{048724E8-1DAA-4B8B-9ADB-26AABA721713}</x14:id>
        </ext>
      </extLst>
    </cfRule>
  </conditionalFormatting>
  <conditionalFormatting sqref="E27">
    <cfRule type="dataBar" priority="28">
      <dataBar>
        <cfvo type="num" val="0"/>
        <cfvo type="num" val="2"/>
        <color rgb="FF638EC6"/>
      </dataBar>
      <extLst>
        <ext xmlns:x14="http://schemas.microsoft.com/office/spreadsheetml/2009/9/main" uri="{B025F937-C7B1-47D3-B67F-A62EFF666E3E}">
          <x14:id>{55A27A7D-F173-4783-910B-D15A3F3DEECD}</x14:id>
        </ext>
      </extLst>
    </cfRule>
  </conditionalFormatting>
  <conditionalFormatting sqref="E28">
    <cfRule type="dataBar" priority="23">
      <dataBar>
        <cfvo type="num" val="0"/>
        <cfvo type="num" val="2"/>
        <color rgb="FF638EC6"/>
      </dataBar>
      <extLst>
        <ext xmlns:x14="http://schemas.microsoft.com/office/spreadsheetml/2009/9/main" uri="{B025F937-C7B1-47D3-B67F-A62EFF666E3E}">
          <x14:id>{E0639593-D4D5-4AE8-B506-52D94A984EAF}</x14:id>
        </ext>
      </extLst>
    </cfRule>
  </conditionalFormatting>
  <conditionalFormatting sqref="B28:C28">
    <cfRule type="expression" dxfId="10" priority="22">
      <formula>NOT(EXACT(INDIRECT("Z"&amp;ROW()-1&amp;"S1",FALSE()), INDIRECT("Z"&amp;ROW()&amp;"S1",FALSE())))</formula>
    </cfRule>
  </conditionalFormatting>
  <conditionalFormatting sqref="A2:A4">
    <cfRule type="expression" dxfId="9" priority="18">
      <formula>NOT(EXACT(INDIRECT("Z"&amp;ROW()-1&amp;"S1",FALSE()), INDIRECT("Z"&amp;ROW()&amp;"S1",FALSE())))</formula>
    </cfRule>
  </conditionalFormatting>
  <conditionalFormatting sqref="A29:A31">
    <cfRule type="expression" dxfId="8" priority="17">
      <formula>NOT(EXACT(INDIRECT("Z"&amp;ROW()-1&amp;"S1",FALSE()), INDIRECT("Z"&amp;ROW()&amp;"S1",FALSE())))</formula>
    </cfRule>
  </conditionalFormatting>
  <conditionalFormatting sqref="A32:A34">
    <cfRule type="expression" dxfId="7" priority="16">
      <formula>NOT(EXACT(INDIRECT("Z"&amp;ROW()-1&amp;"S1",FALSE()), INDIRECT("Z"&amp;ROW()&amp;"S1",FALSE())))</formula>
    </cfRule>
  </conditionalFormatting>
  <conditionalFormatting sqref="C29 B30:C30">
    <cfRule type="expression" dxfId="6" priority="14">
      <formula>NOT(EXACT(INDIRECT("Z"&amp;ROW()-1&amp;"S1",FALSE()), INDIRECT("Z"&amp;ROW()&amp;"S1",FALSE())))</formula>
    </cfRule>
  </conditionalFormatting>
  <conditionalFormatting sqref="E29">
    <cfRule type="dataBar" priority="13">
      <dataBar>
        <cfvo type="num" val="0"/>
        <cfvo type="num" val="2"/>
        <color rgb="FF638EC6"/>
      </dataBar>
      <extLst>
        <ext xmlns:x14="http://schemas.microsoft.com/office/spreadsheetml/2009/9/main" uri="{B025F937-C7B1-47D3-B67F-A62EFF666E3E}">
          <x14:id>{E19CF29D-A703-4D32-9AC3-F13BEE471A32}</x14:id>
        </ext>
      </extLst>
    </cfRule>
  </conditionalFormatting>
  <conditionalFormatting sqref="E30">
    <cfRule type="dataBar" priority="15">
      <dataBar>
        <cfvo type="num" val="0"/>
        <cfvo type="num" val="2"/>
        <color rgb="FF638EC6"/>
      </dataBar>
      <extLst>
        <ext xmlns:x14="http://schemas.microsoft.com/office/spreadsheetml/2009/9/main" uri="{B025F937-C7B1-47D3-B67F-A62EFF666E3E}">
          <x14:id>{1B192532-3A35-41C9-89F1-3C5BD1728680}</x14:id>
        </ext>
      </extLst>
    </cfRule>
  </conditionalFormatting>
  <conditionalFormatting sqref="E31">
    <cfRule type="dataBar" priority="12">
      <dataBar>
        <cfvo type="num" val="0"/>
        <cfvo type="num" val="2"/>
        <color rgb="FF638EC6"/>
      </dataBar>
      <extLst>
        <ext xmlns:x14="http://schemas.microsoft.com/office/spreadsheetml/2009/9/main" uri="{B025F937-C7B1-47D3-B67F-A62EFF666E3E}">
          <x14:id>{6A4665C4-6FAA-43A0-9EF6-89CEB275F1E7}</x14:id>
        </ext>
      </extLst>
    </cfRule>
  </conditionalFormatting>
  <conditionalFormatting sqref="B31:C31">
    <cfRule type="expression" dxfId="5" priority="11">
      <formula>NOT(EXACT(INDIRECT("Z"&amp;ROW()-1&amp;"S1",FALSE()), INDIRECT("Z"&amp;ROW()&amp;"S1",FALSE())))</formula>
    </cfRule>
  </conditionalFormatting>
  <conditionalFormatting sqref="C32 B33:C33">
    <cfRule type="expression" dxfId="4" priority="9">
      <formula>NOT(EXACT(INDIRECT("Z"&amp;ROW()-1&amp;"S1",FALSE()), INDIRECT("Z"&amp;ROW()&amp;"S1",FALSE())))</formula>
    </cfRule>
  </conditionalFormatting>
  <conditionalFormatting sqref="E32">
    <cfRule type="dataBar" priority="8">
      <dataBar>
        <cfvo type="num" val="0"/>
        <cfvo type="num" val="2"/>
        <color rgb="FF638EC6"/>
      </dataBar>
      <extLst>
        <ext xmlns:x14="http://schemas.microsoft.com/office/spreadsheetml/2009/9/main" uri="{B025F937-C7B1-47D3-B67F-A62EFF666E3E}">
          <x14:id>{88A53E1B-860A-45D5-8F52-6E4A13E80F64}</x14:id>
        </ext>
      </extLst>
    </cfRule>
  </conditionalFormatting>
  <conditionalFormatting sqref="E33">
    <cfRule type="dataBar" priority="10">
      <dataBar>
        <cfvo type="num" val="0"/>
        <cfvo type="num" val="2"/>
        <color rgb="FF638EC6"/>
      </dataBar>
      <extLst>
        <ext xmlns:x14="http://schemas.microsoft.com/office/spreadsheetml/2009/9/main" uri="{B025F937-C7B1-47D3-B67F-A62EFF666E3E}">
          <x14:id>{0AF49169-AE53-4D8A-8527-24DFA90DBA9F}</x14:id>
        </ext>
      </extLst>
    </cfRule>
  </conditionalFormatting>
  <conditionalFormatting sqref="E34">
    <cfRule type="dataBar" priority="7">
      <dataBar>
        <cfvo type="num" val="0"/>
        <cfvo type="num" val="2"/>
        <color rgb="FF638EC6"/>
      </dataBar>
      <extLst>
        <ext xmlns:x14="http://schemas.microsoft.com/office/spreadsheetml/2009/9/main" uri="{B025F937-C7B1-47D3-B67F-A62EFF666E3E}">
          <x14:id>{16C9F72D-B6AF-4980-977C-1090FE659997}</x14:id>
        </ext>
      </extLst>
    </cfRule>
  </conditionalFormatting>
  <conditionalFormatting sqref="B34:C34">
    <cfRule type="expression" dxfId="3" priority="6">
      <formula>NOT(EXACT(INDIRECT("Z"&amp;ROW()-1&amp;"S1",FALSE()), INDIRECT("Z"&amp;ROW()&amp;"S1",FALSE())))</formula>
    </cfRule>
  </conditionalFormatting>
  <conditionalFormatting sqref="A20:A22">
    <cfRule type="expression" dxfId="2" priority="5">
      <formula>NOT(EXACT(INDIRECT("Z"&amp;ROW()-1&amp;"S1",FALSE()), INDIRECT("Z"&amp;ROW()&amp;"S1",FALSE())))</formula>
    </cfRule>
  </conditionalFormatting>
  <conditionalFormatting sqref="A23:A25">
    <cfRule type="expression" dxfId="1" priority="4">
      <formula>NOT(EXACT(INDIRECT("Z"&amp;ROW()-1&amp;"S1",FALSE()), INDIRECT("Z"&amp;ROW()&amp;"S1",FALSE())))</formula>
    </cfRule>
  </conditionalFormatting>
  <conditionalFormatting sqref="D20:D34">
    <cfRule type="expression" dxfId="0" priority="2">
      <formula>NOT(EXACT(INDIRECT("Z"&amp;ROW()-1&amp;"S1",FALSE()), INDIRECT("Z"&amp;ROW()&amp;"S1",FALSE())))</formula>
    </cfRule>
  </conditionalFormatting>
  <conditionalFormatting sqref="D20:D34">
    <cfRule type="dataBar" priority="1">
      <dataBar>
        <cfvo type="num" val="0"/>
        <cfvo type="num" val="2"/>
        <color rgb="FF638EC6"/>
      </dataBar>
      <extLst>
        <ext xmlns:x14="http://schemas.microsoft.com/office/spreadsheetml/2009/9/main" uri="{B025F937-C7B1-47D3-B67F-A62EFF666E3E}">
          <x14:id>{8D6EF636-4B3C-42A8-B254-66568D361E21}</x14:id>
        </ext>
      </extLst>
    </cfRule>
  </conditionalFormatting>
  <conditionalFormatting sqref="D20:D34">
    <cfRule type="dataBar" priority="3">
      <dataBar>
        <cfvo type="num" val="0"/>
        <cfvo type="num" val="2"/>
        <color rgb="FF638EC6"/>
      </dataBar>
      <extLst>
        <ext xmlns:x14="http://schemas.microsoft.com/office/spreadsheetml/2009/9/main" uri="{B025F937-C7B1-47D3-B67F-A62EFF666E3E}">
          <x14:id>{E38F65E6-C5A0-4C55-8601-C60F9D8BF1D4}</x14:id>
        </ext>
      </extLst>
    </cfRule>
  </conditionalFormatting>
  <dataValidations count="2">
    <dataValidation allowBlank="1" showInputMessage="1" showErrorMessage="1" promptTitle="Ratio (1)" prompt="Input/output quantities, relative to process throughput" sqref="D1" xr:uid="{33868492-40AD-4664-BCDB-35CBB6D2012C}"/>
    <dataValidation allowBlank="1" showInputMessage="1" showErrorMessage="1" promptTitle="Ratio at minimum operation point" prompt="Input/Output ratio at point of minimum operation (min-fract in 'Process' sheet)._x000a__x000a_All values have to be larger/equal to ratio!" sqref="E1" xr:uid="{E7E10A6F-877F-4E82-9964-8FCB5FF2BC24}"/>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728346A9-F67E-495D-918D-16F75E240B41}">
            <x14:dataBar minLength="0" maxLength="100" gradient="0">
              <x14:cfvo type="num">
                <xm:f>0</xm:f>
              </x14:cfvo>
              <x14:cfvo type="num">
                <xm:f>2</xm:f>
              </x14:cfvo>
              <x14:negativeFillColor rgb="FFFF0000"/>
              <x14:axisColor rgb="FF000000"/>
            </x14:dataBar>
          </x14:cfRule>
          <xm:sqref>D6:D7</xm:sqref>
        </x14:conditionalFormatting>
        <x14:conditionalFormatting xmlns:xm="http://schemas.microsoft.com/office/excel/2006/main">
          <x14:cfRule type="dataBar" id="{C5A8A086-F837-4C5D-97BA-4C4F8BBDE799}">
            <x14:dataBar minLength="0" maxLength="100" gradient="0">
              <x14:cfvo type="num">
                <xm:f>0</xm:f>
              </x14:cfvo>
              <x14:cfvo type="num">
                <xm:f>2</xm:f>
              </x14:cfvo>
              <x14:negativeFillColor rgb="FFFF0000"/>
              <x14:axisColor rgb="FF000000"/>
            </x14:dataBar>
          </x14:cfRule>
          <xm:sqref>D8:D10 D5 E3:E4 E6:E7</xm:sqref>
        </x14:conditionalFormatting>
        <x14:conditionalFormatting xmlns:xm="http://schemas.microsoft.com/office/excel/2006/main">
          <x14:cfRule type="dataBar" id="{A78CE6E7-B456-4A41-B0DD-16491A18A9BD}">
            <x14:dataBar minLength="0" maxLength="100" gradient="0">
              <x14:cfvo type="num">
                <xm:f>0</xm:f>
              </x14:cfvo>
              <x14:cfvo type="num">
                <xm:f>2</xm:f>
              </x14:cfvo>
              <x14:negativeFillColor rgb="FFFF0000"/>
              <x14:axisColor rgb="FF000000"/>
            </x14:dataBar>
          </x14:cfRule>
          <xm:sqref>D13 D15</xm:sqref>
        </x14:conditionalFormatting>
        <x14:conditionalFormatting xmlns:xm="http://schemas.microsoft.com/office/excel/2006/main">
          <x14:cfRule type="dataBar" id="{E0A87B52-F13C-424A-B297-A6E5FD3F01E1}">
            <x14:dataBar minLength="0" maxLength="100" gradient="0">
              <x14:cfvo type="num">
                <xm:f>0</xm:f>
              </x14:cfvo>
              <x14:cfvo type="num">
                <xm:f>2</xm:f>
              </x14:cfvo>
              <x14:negativeFillColor rgb="FFFF0000"/>
              <x14:axisColor rgb="FF000000"/>
            </x14:dataBar>
          </x14:cfRule>
          <xm:sqref>D15</xm:sqref>
        </x14:conditionalFormatting>
        <x14:conditionalFormatting xmlns:xm="http://schemas.microsoft.com/office/excel/2006/main">
          <x14:cfRule type="dataBar" id="{10143884-4BA6-4AA4-AEB0-38035128EC56}">
            <x14:dataBar minLength="0" maxLength="100" gradient="0">
              <x14:cfvo type="num">
                <xm:f>0</xm:f>
              </x14:cfvo>
              <x14:cfvo type="num">
                <xm:f>2</xm:f>
              </x14:cfvo>
              <x14:negativeFillColor rgb="FFFF0000"/>
              <x14:axisColor rgb="FF000000"/>
            </x14:dataBar>
          </x14:cfRule>
          <xm:sqref>D2:E2 D3:D19</xm:sqref>
        </x14:conditionalFormatting>
        <x14:conditionalFormatting xmlns:xm="http://schemas.microsoft.com/office/excel/2006/main">
          <x14:cfRule type="dataBar" id="{EFE088D5-7DED-48EF-94DB-C8C5903B0DC8}">
            <x14:dataBar minLength="0" maxLength="100" gradient="0">
              <x14:cfvo type="num">
                <xm:f>0</xm:f>
              </x14:cfvo>
              <x14:cfvo type="num">
                <xm:f>2</xm:f>
              </x14:cfvo>
              <x14:negativeFillColor rgb="FFFF0000"/>
              <x14:axisColor rgb="FF000000"/>
            </x14:dataBar>
          </x14:cfRule>
          <xm:sqref>D11:E12</xm:sqref>
        </x14:conditionalFormatting>
        <x14:conditionalFormatting xmlns:xm="http://schemas.microsoft.com/office/excel/2006/main">
          <x14:cfRule type="dataBar" id="{54145B51-8436-4E69-B0F6-8FB621F72C00}">
            <x14:dataBar minLength="0" maxLength="100" gradient="0">
              <x14:cfvo type="num">
                <xm:f>0</xm:f>
              </x14:cfvo>
              <x14:cfvo type="num">
                <xm:f>2</xm:f>
              </x14:cfvo>
              <x14:negativeFillColor rgb="FFFF0000"/>
              <x14:axisColor rgb="FF000000"/>
            </x14:dataBar>
          </x14:cfRule>
          <xm:sqref>D16:E17</xm:sqref>
        </x14:conditionalFormatting>
        <x14:conditionalFormatting xmlns:xm="http://schemas.microsoft.com/office/excel/2006/main">
          <x14:cfRule type="dataBar" id="{00C9838C-0229-4451-9E16-62CAE127AC9C}">
            <x14:dataBar minLength="0" maxLength="100" gradient="0">
              <x14:cfvo type="num">
                <xm:f>0</xm:f>
              </x14:cfvo>
              <x14:cfvo type="num">
                <xm:f>2</xm:f>
              </x14:cfvo>
              <x14:negativeFillColor rgb="FFFF0000"/>
              <x14:axisColor rgb="FF000000"/>
            </x14:dataBar>
          </x14:cfRule>
          <xm:sqref>D18:E19</xm:sqref>
        </x14:conditionalFormatting>
        <x14:conditionalFormatting xmlns:xm="http://schemas.microsoft.com/office/excel/2006/main">
          <x14:cfRule type="dataBar" id="{0ED5A83F-86C0-4C1D-9B10-5A6895D5E724}">
            <x14:dataBar minLength="0" maxLength="100" gradient="0">
              <x14:cfvo type="num">
                <xm:f>0</xm:f>
              </x14:cfvo>
              <x14:cfvo type="num">
                <xm:f>2</xm:f>
              </x14:cfvo>
              <x14:negativeFillColor rgb="FFFF0000"/>
              <x14:axisColor rgb="FF000000"/>
            </x14:dataBar>
          </x14:cfRule>
          <xm:sqref>E5</xm:sqref>
        </x14:conditionalFormatting>
        <x14:conditionalFormatting xmlns:xm="http://schemas.microsoft.com/office/excel/2006/main">
          <x14:cfRule type="dataBar" id="{D5E79760-3525-40E2-ABF3-40AA8B47FE7C}">
            <x14:dataBar minLength="0" maxLength="100" gradient="0">
              <x14:cfvo type="num">
                <xm:f>0</xm:f>
              </x14:cfvo>
              <x14:cfvo type="num">
                <xm:f>2</xm:f>
              </x14:cfvo>
              <x14:negativeFillColor rgb="FFFF0000"/>
              <x14:axisColor rgb="FF000000"/>
            </x14:dataBar>
          </x14:cfRule>
          <xm:sqref>E8:E10</xm:sqref>
        </x14:conditionalFormatting>
        <x14:conditionalFormatting xmlns:xm="http://schemas.microsoft.com/office/excel/2006/main">
          <x14:cfRule type="dataBar" id="{65473C6D-B025-4447-B2A3-BA0A243911E5}">
            <x14:dataBar minLength="0" maxLength="100" gradient="0">
              <x14:cfvo type="num">
                <xm:f>0</xm:f>
              </x14:cfvo>
              <x14:cfvo type="num">
                <xm:f>2</xm:f>
              </x14:cfvo>
              <x14:negativeFillColor rgb="FFFF0000"/>
              <x14:axisColor rgb="FF000000"/>
            </x14:dataBar>
          </x14:cfRule>
          <xm:sqref>E13:E15</xm:sqref>
        </x14:conditionalFormatting>
        <x14:conditionalFormatting xmlns:xm="http://schemas.microsoft.com/office/excel/2006/main">
          <x14:cfRule type="dataBar" id="{971822BA-F42C-4409-BEE7-8870A641513E}">
            <x14:dataBar minLength="0" maxLength="100" gradient="0">
              <x14:cfvo type="num">
                <xm:f>0</xm:f>
              </x14:cfvo>
              <x14:cfvo type="num">
                <xm:f>2</xm:f>
              </x14:cfvo>
              <x14:negativeFillColor rgb="FFFF0000"/>
              <x14:axisColor rgb="FF000000"/>
            </x14:dataBar>
          </x14:cfRule>
          <xm:sqref>E20:E22</xm:sqref>
        </x14:conditionalFormatting>
        <x14:conditionalFormatting xmlns:xm="http://schemas.microsoft.com/office/excel/2006/main">
          <x14:cfRule type="dataBar" id="{DC28285F-06BC-4432-911A-06D3AB853A3E}">
            <x14:dataBar minLength="0" maxLength="100" gradient="0">
              <x14:cfvo type="num">
                <xm:f>0</xm:f>
              </x14:cfvo>
              <x14:cfvo type="num">
                <xm:f>2</xm:f>
              </x14:cfvo>
              <x14:negativeFillColor rgb="FFFF0000"/>
              <x14:axisColor rgb="FF000000"/>
            </x14:dataBar>
          </x14:cfRule>
          <xm:sqref>E23:E24</xm:sqref>
        </x14:conditionalFormatting>
        <x14:conditionalFormatting xmlns:xm="http://schemas.microsoft.com/office/excel/2006/main">
          <x14:cfRule type="dataBar" id="{048724E8-1DAA-4B8B-9ADB-26AABA721713}">
            <x14:dataBar minLength="0" maxLength="100" gradient="0">
              <x14:cfvo type="num">
                <xm:f>0</xm:f>
              </x14:cfvo>
              <x14:cfvo type="num">
                <xm:f>2</xm:f>
              </x14:cfvo>
              <x14:negativeFillColor rgb="FFFF0000"/>
              <x14:axisColor rgb="FF000000"/>
            </x14:dataBar>
          </x14:cfRule>
          <xm:sqref>E25:E26</xm:sqref>
        </x14:conditionalFormatting>
        <x14:conditionalFormatting xmlns:xm="http://schemas.microsoft.com/office/excel/2006/main">
          <x14:cfRule type="dataBar" id="{55A27A7D-F173-4783-910B-D15A3F3DEECD}">
            <x14:dataBar minLength="0" maxLength="100" gradient="0">
              <x14:cfvo type="num">
                <xm:f>0</xm:f>
              </x14:cfvo>
              <x14:cfvo type="num">
                <xm:f>2</xm:f>
              </x14:cfvo>
              <x14:negativeFillColor rgb="FFFF0000"/>
              <x14:axisColor rgb="FF000000"/>
            </x14:dataBar>
          </x14:cfRule>
          <xm:sqref>E27</xm:sqref>
        </x14:conditionalFormatting>
        <x14:conditionalFormatting xmlns:xm="http://schemas.microsoft.com/office/excel/2006/main">
          <x14:cfRule type="dataBar" id="{E0639593-D4D5-4AE8-B506-52D94A984EAF}">
            <x14:dataBar minLength="0" maxLength="100" gradient="0">
              <x14:cfvo type="num">
                <xm:f>0</xm:f>
              </x14:cfvo>
              <x14:cfvo type="num">
                <xm:f>2</xm:f>
              </x14:cfvo>
              <x14:negativeFillColor rgb="FFFF0000"/>
              <x14:axisColor rgb="FF000000"/>
            </x14:dataBar>
          </x14:cfRule>
          <xm:sqref>E28</xm:sqref>
        </x14:conditionalFormatting>
        <x14:conditionalFormatting xmlns:xm="http://schemas.microsoft.com/office/excel/2006/main">
          <x14:cfRule type="dataBar" id="{E19CF29D-A703-4D32-9AC3-F13BEE471A32}">
            <x14:dataBar minLength="0" maxLength="100" gradient="0">
              <x14:cfvo type="num">
                <xm:f>0</xm:f>
              </x14:cfvo>
              <x14:cfvo type="num">
                <xm:f>2</xm:f>
              </x14:cfvo>
              <x14:negativeFillColor rgb="FFFF0000"/>
              <x14:axisColor rgb="FF000000"/>
            </x14:dataBar>
          </x14:cfRule>
          <xm:sqref>E29</xm:sqref>
        </x14:conditionalFormatting>
        <x14:conditionalFormatting xmlns:xm="http://schemas.microsoft.com/office/excel/2006/main">
          <x14:cfRule type="dataBar" id="{1B192532-3A35-41C9-89F1-3C5BD1728680}">
            <x14:dataBar minLength="0" maxLength="100" gradient="0">
              <x14:cfvo type="num">
                <xm:f>0</xm:f>
              </x14:cfvo>
              <x14:cfvo type="num">
                <xm:f>2</xm:f>
              </x14:cfvo>
              <x14:negativeFillColor rgb="FFFF0000"/>
              <x14:axisColor rgb="FF000000"/>
            </x14:dataBar>
          </x14:cfRule>
          <xm:sqref>E30</xm:sqref>
        </x14:conditionalFormatting>
        <x14:conditionalFormatting xmlns:xm="http://schemas.microsoft.com/office/excel/2006/main">
          <x14:cfRule type="dataBar" id="{6A4665C4-6FAA-43A0-9EF6-89CEB275F1E7}">
            <x14:dataBar minLength="0" maxLength="100" gradient="0">
              <x14:cfvo type="num">
                <xm:f>0</xm:f>
              </x14:cfvo>
              <x14:cfvo type="num">
                <xm:f>2</xm:f>
              </x14:cfvo>
              <x14:negativeFillColor rgb="FFFF0000"/>
              <x14:axisColor rgb="FF000000"/>
            </x14:dataBar>
          </x14:cfRule>
          <xm:sqref>E31</xm:sqref>
        </x14:conditionalFormatting>
        <x14:conditionalFormatting xmlns:xm="http://schemas.microsoft.com/office/excel/2006/main">
          <x14:cfRule type="dataBar" id="{88A53E1B-860A-45D5-8F52-6E4A13E80F64}">
            <x14:dataBar minLength="0" maxLength="100" gradient="0">
              <x14:cfvo type="num">
                <xm:f>0</xm:f>
              </x14:cfvo>
              <x14:cfvo type="num">
                <xm:f>2</xm:f>
              </x14:cfvo>
              <x14:negativeFillColor rgb="FFFF0000"/>
              <x14:axisColor rgb="FF000000"/>
            </x14:dataBar>
          </x14:cfRule>
          <xm:sqref>E32</xm:sqref>
        </x14:conditionalFormatting>
        <x14:conditionalFormatting xmlns:xm="http://schemas.microsoft.com/office/excel/2006/main">
          <x14:cfRule type="dataBar" id="{0AF49169-AE53-4D8A-8527-24DFA90DBA9F}">
            <x14:dataBar minLength="0" maxLength="100" gradient="0">
              <x14:cfvo type="num">
                <xm:f>0</xm:f>
              </x14:cfvo>
              <x14:cfvo type="num">
                <xm:f>2</xm:f>
              </x14:cfvo>
              <x14:negativeFillColor rgb="FFFF0000"/>
              <x14:axisColor rgb="FF000000"/>
            </x14:dataBar>
          </x14:cfRule>
          <xm:sqref>E33</xm:sqref>
        </x14:conditionalFormatting>
        <x14:conditionalFormatting xmlns:xm="http://schemas.microsoft.com/office/excel/2006/main">
          <x14:cfRule type="dataBar" id="{16C9F72D-B6AF-4980-977C-1090FE659997}">
            <x14:dataBar minLength="0" maxLength="100" gradient="0">
              <x14:cfvo type="num">
                <xm:f>0</xm:f>
              </x14:cfvo>
              <x14:cfvo type="num">
                <xm:f>2</xm:f>
              </x14:cfvo>
              <x14:negativeFillColor rgb="FFFF0000"/>
              <x14:axisColor rgb="FF000000"/>
            </x14:dataBar>
          </x14:cfRule>
          <xm:sqref>E34</xm:sqref>
        </x14:conditionalFormatting>
        <x14:conditionalFormatting xmlns:xm="http://schemas.microsoft.com/office/excel/2006/main">
          <x14:cfRule type="dataBar" id="{8D6EF636-4B3C-42A8-B254-66568D361E21}">
            <x14:dataBar minLength="0" maxLength="100" gradient="0">
              <x14:cfvo type="num">
                <xm:f>0</xm:f>
              </x14:cfvo>
              <x14:cfvo type="num">
                <xm:f>2</xm:f>
              </x14:cfvo>
              <x14:negativeFillColor rgb="FFFF0000"/>
              <x14:axisColor rgb="FF000000"/>
            </x14:dataBar>
          </x14:cfRule>
          <xm:sqref>D20:D34</xm:sqref>
        </x14:conditionalFormatting>
        <x14:conditionalFormatting xmlns:xm="http://schemas.microsoft.com/office/excel/2006/main">
          <x14:cfRule type="dataBar" id="{E38F65E6-C5A0-4C55-8601-C60F9D8BF1D4}">
            <x14:dataBar minLength="0" maxLength="100" gradient="0">
              <x14:cfvo type="num">
                <xm:f>0</xm:f>
              </x14:cfvo>
              <x14:cfvo type="num">
                <xm:f>2</xm:f>
              </x14:cfvo>
              <x14:negativeFillColor rgb="FFFF0000"/>
              <x14:axisColor rgb="FF000000"/>
            </x14:dataBar>
          </x14:cfRule>
          <xm:sqref>D20:D34</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
  <sheetViews>
    <sheetView workbookViewId="0"/>
  </sheetViews>
  <sheetFormatPr baseColWidth="10" defaultColWidth="9.109375" defaultRowHeight="14.4" x14ac:dyDescent="0.3"/>
  <sheetData>
    <row r="1" spans="1:15" x14ac:dyDescent="0.3">
      <c r="A1" s="1" t="s">
        <v>51</v>
      </c>
      <c r="B1" s="1" t="s">
        <v>52</v>
      </c>
      <c r="C1" s="1" t="s">
        <v>53</v>
      </c>
      <c r="D1" s="1" t="s">
        <v>11</v>
      </c>
      <c r="E1" s="1" t="s">
        <v>54</v>
      </c>
      <c r="F1" s="1" t="s">
        <v>33</v>
      </c>
      <c r="G1" s="1" t="s">
        <v>34</v>
      </c>
      <c r="H1" s="1" t="s">
        <v>35</v>
      </c>
      <c r="I1" s="1" t="s">
        <v>29</v>
      </c>
      <c r="J1" s="1" t="s">
        <v>30</v>
      </c>
      <c r="K1" s="1" t="s">
        <v>37</v>
      </c>
      <c r="L1" s="1" t="s">
        <v>38</v>
      </c>
      <c r="M1" s="1" t="s">
        <v>55</v>
      </c>
      <c r="N1" s="1" t="s">
        <v>56</v>
      </c>
      <c r="O1" s="1" t="s">
        <v>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
  <sheetViews>
    <sheetView workbookViewId="0"/>
  </sheetViews>
  <sheetFormatPr baseColWidth="10" defaultColWidth="9.109375" defaultRowHeight="14.4" x14ac:dyDescent="0.3"/>
  <sheetData>
    <row r="1" spans="1:20" x14ac:dyDescent="0.3">
      <c r="A1" s="1" t="s">
        <v>10</v>
      </c>
      <c r="B1" s="1" t="s">
        <v>58</v>
      </c>
      <c r="C1" s="1" t="s">
        <v>11</v>
      </c>
      <c r="D1" s="1" t="s">
        <v>59</v>
      </c>
      <c r="E1" s="1" t="s">
        <v>60</v>
      </c>
      <c r="F1" s="1" t="s">
        <v>61</v>
      </c>
      <c r="G1" s="1" t="s">
        <v>62</v>
      </c>
      <c r="H1" s="1" t="s">
        <v>63</v>
      </c>
      <c r="I1" s="1" t="s">
        <v>64</v>
      </c>
      <c r="J1" s="1" t="s">
        <v>65</v>
      </c>
      <c r="K1" s="1" t="s">
        <v>66</v>
      </c>
      <c r="L1" s="1" t="s">
        <v>67</v>
      </c>
      <c r="M1" s="1" t="s">
        <v>68</v>
      </c>
      <c r="N1" s="1" t="s">
        <v>69</v>
      </c>
      <c r="O1" s="1" t="s">
        <v>70</v>
      </c>
      <c r="P1" s="1" t="s">
        <v>37</v>
      </c>
      <c r="Q1" s="1" t="s">
        <v>38</v>
      </c>
      <c r="R1" s="1" t="s">
        <v>71</v>
      </c>
      <c r="S1" s="1" t="s">
        <v>72</v>
      </c>
      <c r="T1" s="1" t="s">
        <v>73</v>
      </c>
    </row>
    <row r="2" spans="1:20" x14ac:dyDescent="0.3">
      <c r="A2" t="s">
        <v>9</v>
      </c>
      <c r="B2" t="s">
        <v>74</v>
      </c>
      <c r="C2" t="s">
        <v>18</v>
      </c>
      <c r="D2">
        <v>0</v>
      </c>
      <c r="E2" t="s">
        <v>22</v>
      </c>
      <c r="F2">
        <v>0</v>
      </c>
      <c r="G2" t="s">
        <v>22</v>
      </c>
      <c r="H2">
        <v>0.69</v>
      </c>
      <c r="I2">
        <v>0.3</v>
      </c>
      <c r="J2">
        <v>366000</v>
      </c>
      <c r="K2">
        <v>0</v>
      </c>
      <c r="L2">
        <v>11000</v>
      </c>
      <c r="M2">
        <v>0</v>
      </c>
      <c r="N2">
        <v>0</v>
      </c>
      <c r="O2">
        <v>0</v>
      </c>
      <c r="P2">
        <v>7.2999999999999995E-2</v>
      </c>
      <c r="Q2">
        <v>25</v>
      </c>
      <c r="R2">
        <v>0.5</v>
      </c>
      <c r="S2">
        <v>3.4999999999999999E-6</v>
      </c>
    </row>
    <row r="3" spans="1:20" x14ac:dyDescent="0.3">
      <c r="A3" t="s">
        <v>9</v>
      </c>
      <c r="B3" t="s">
        <v>75</v>
      </c>
      <c r="C3" t="s">
        <v>18</v>
      </c>
      <c r="D3">
        <v>0</v>
      </c>
      <c r="E3" t="s">
        <v>22</v>
      </c>
      <c r="F3">
        <v>0</v>
      </c>
      <c r="G3" t="s">
        <v>22</v>
      </c>
      <c r="H3">
        <v>0.9</v>
      </c>
      <c r="I3">
        <v>0.9</v>
      </c>
      <c r="J3">
        <v>4412341</v>
      </c>
      <c r="K3">
        <v>0</v>
      </c>
      <c r="L3">
        <v>34383</v>
      </c>
      <c r="M3">
        <v>0</v>
      </c>
      <c r="N3">
        <v>8.1999999999999993</v>
      </c>
      <c r="O3">
        <v>0</v>
      </c>
      <c r="P3">
        <v>7.2999999999999995E-2</v>
      </c>
      <c r="Q3">
        <v>25</v>
      </c>
      <c r="R3">
        <v>0.5</v>
      </c>
      <c r="S3">
        <v>0</v>
      </c>
    </row>
    <row r="4" spans="1:20" x14ac:dyDescent="0.3">
      <c r="A4" t="s">
        <v>9</v>
      </c>
      <c r="B4" t="s">
        <v>76</v>
      </c>
      <c r="C4" t="s">
        <v>18</v>
      </c>
      <c r="D4">
        <v>0</v>
      </c>
      <c r="E4" t="s">
        <v>22</v>
      </c>
      <c r="F4">
        <v>0</v>
      </c>
      <c r="G4" t="s">
        <v>22</v>
      </c>
      <c r="H4">
        <v>0.86</v>
      </c>
      <c r="I4">
        <v>0.86</v>
      </c>
      <c r="J4">
        <v>0</v>
      </c>
      <c r="K4">
        <v>520000</v>
      </c>
      <c r="L4">
        <v>0</v>
      </c>
      <c r="M4">
        <v>5000</v>
      </c>
      <c r="N4">
        <v>0.4</v>
      </c>
      <c r="O4">
        <v>0</v>
      </c>
      <c r="P4">
        <v>7.2999999999999995E-2</v>
      </c>
      <c r="Q4">
        <v>25</v>
      </c>
      <c r="R4">
        <v>0.5</v>
      </c>
      <c r="S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
  <sheetViews>
    <sheetView workbookViewId="0"/>
  </sheetViews>
  <sheetFormatPr baseColWidth="10" defaultColWidth="9.109375" defaultRowHeight="14.4" x14ac:dyDescent="0.3"/>
  <sheetData>
    <row r="1" spans="1:7" x14ac:dyDescent="0.3">
      <c r="A1" s="1" t="s">
        <v>10</v>
      </c>
      <c r="B1" s="1" t="s">
        <v>11</v>
      </c>
      <c r="C1" s="1" t="s">
        <v>77</v>
      </c>
      <c r="D1" s="1" t="s">
        <v>54</v>
      </c>
      <c r="E1" s="1" t="s">
        <v>78</v>
      </c>
      <c r="F1" s="1" t="s">
        <v>79</v>
      </c>
      <c r="G1" s="1" t="s">
        <v>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4"/>
  <sheetViews>
    <sheetView workbookViewId="0">
      <selection activeCell="C13" sqref="C13"/>
    </sheetView>
  </sheetViews>
  <sheetFormatPr baseColWidth="10" defaultColWidth="9.109375" defaultRowHeight="14.4" x14ac:dyDescent="0.3"/>
  <cols>
    <col min="2" max="2" width="11" bestFit="1" customWidth="1"/>
  </cols>
  <sheetData>
    <row r="1" spans="1:2" x14ac:dyDescent="0.3">
      <c r="A1" s="1" t="s">
        <v>81</v>
      </c>
      <c r="B1" s="1" t="s">
        <v>82</v>
      </c>
    </row>
    <row r="2" spans="1:2" x14ac:dyDescent="0.3">
      <c r="A2">
        <v>0</v>
      </c>
      <c r="B2">
        <v>0</v>
      </c>
    </row>
    <row r="3" spans="1:2" x14ac:dyDescent="0.3">
      <c r="A3">
        <v>1</v>
      </c>
      <c r="B3">
        <v>285317708</v>
      </c>
    </row>
    <row r="4" spans="1:2" x14ac:dyDescent="0.3">
      <c r="A4">
        <v>2</v>
      </c>
      <c r="B4">
        <v>285317708</v>
      </c>
    </row>
    <row r="5" spans="1:2" x14ac:dyDescent="0.3">
      <c r="A5">
        <v>3</v>
      </c>
      <c r="B5">
        <v>285317708</v>
      </c>
    </row>
    <row r="6" spans="1:2" x14ac:dyDescent="0.3">
      <c r="A6">
        <v>4</v>
      </c>
      <c r="B6">
        <v>285317708</v>
      </c>
    </row>
    <row r="7" spans="1:2" x14ac:dyDescent="0.3">
      <c r="A7">
        <v>5</v>
      </c>
      <c r="B7">
        <v>285317708</v>
      </c>
    </row>
    <row r="8" spans="1:2" x14ac:dyDescent="0.3">
      <c r="A8">
        <v>6</v>
      </c>
      <c r="B8">
        <v>285317708</v>
      </c>
    </row>
    <row r="9" spans="1:2" x14ac:dyDescent="0.3">
      <c r="A9">
        <v>7</v>
      </c>
      <c r="B9">
        <v>285317708</v>
      </c>
    </row>
    <row r="10" spans="1:2" x14ac:dyDescent="0.3">
      <c r="A10">
        <v>8</v>
      </c>
      <c r="B10">
        <v>285317708</v>
      </c>
    </row>
    <row r="11" spans="1:2" x14ac:dyDescent="0.3">
      <c r="A11">
        <v>9</v>
      </c>
      <c r="B11">
        <v>285317708</v>
      </c>
    </row>
    <row r="12" spans="1:2" x14ac:dyDescent="0.3">
      <c r="A12">
        <v>10</v>
      </c>
      <c r="B12">
        <v>285317708</v>
      </c>
    </row>
    <row r="13" spans="1:2" x14ac:dyDescent="0.3">
      <c r="A13">
        <v>11</v>
      </c>
      <c r="B13">
        <v>285317708</v>
      </c>
    </row>
    <row r="14" spans="1:2" x14ac:dyDescent="0.3">
      <c r="A14">
        <v>12</v>
      </c>
      <c r="B14">
        <v>285317708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4"/>
  <sheetViews>
    <sheetView workbookViewId="0">
      <selection activeCell="J14" sqref="J14"/>
    </sheetView>
  </sheetViews>
  <sheetFormatPr baseColWidth="10" defaultColWidth="9.109375" defaultRowHeight="14.4" x14ac:dyDescent="0.3"/>
  <sheetData>
    <row r="1" spans="1:2" x14ac:dyDescent="0.3">
      <c r="A1" s="2" t="s">
        <v>81</v>
      </c>
      <c r="B1" s="3" t="s">
        <v>83</v>
      </c>
    </row>
    <row r="2" spans="1:2" x14ac:dyDescent="0.3">
      <c r="A2" s="4">
        <v>0</v>
      </c>
      <c r="B2" s="5">
        <v>0</v>
      </c>
    </row>
    <row r="3" spans="1:2" x14ac:dyDescent="0.3">
      <c r="A3" s="4">
        <v>1</v>
      </c>
      <c r="B3" s="6">
        <v>0.20699999999999999</v>
      </c>
    </row>
    <row r="4" spans="1:2" x14ac:dyDescent="0.3">
      <c r="A4" s="4">
        <v>2</v>
      </c>
      <c r="B4" s="6">
        <v>0.20699999999999999</v>
      </c>
    </row>
    <row r="5" spans="1:2" x14ac:dyDescent="0.3">
      <c r="A5" s="4">
        <v>3</v>
      </c>
      <c r="B5" s="6">
        <v>0.20699999999999999</v>
      </c>
    </row>
    <row r="6" spans="1:2" x14ac:dyDescent="0.3">
      <c r="A6" s="4">
        <v>4</v>
      </c>
      <c r="B6" s="6">
        <v>0.20699999999999999</v>
      </c>
    </row>
    <row r="7" spans="1:2" x14ac:dyDescent="0.3">
      <c r="A7" s="4">
        <v>5</v>
      </c>
      <c r="B7" s="6">
        <v>0.20699999999999999</v>
      </c>
    </row>
    <row r="8" spans="1:2" x14ac:dyDescent="0.3">
      <c r="A8" s="4">
        <v>6</v>
      </c>
      <c r="B8" s="6">
        <v>0.20699999999999999</v>
      </c>
    </row>
    <row r="9" spans="1:2" x14ac:dyDescent="0.3">
      <c r="A9" s="4">
        <v>7</v>
      </c>
      <c r="B9" s="6">
        <v>0.20699999999999999</v>
      </c>
    </row>
    <row r="10" spans="1:2" x14ac:dyDescent="0.3">
      <c r="A10" s="4">
        <v>8</v>
      </c>
      <c r="B10" s="6">
        <v>0.20699999999999999</v>
      </c>
    </row>
    <row r="11" spans="1:2" x14ac:dyDescent="0.3">
      <c r="A11" s="4">
        <v>9</v>
      </c>
      <c r="B11" s="6">
        <v>0.20699999999999999</v>
      </c>
    </row>
    <row r="12" spans="1:2" x14ac:dyDescent="0.3">
      <c r="A12" s="4">
        <v>10</v>
      </c>
      <c r="B12" s="6">
        <v>0.20699999999999999</v>
      </c>
    </row>
    <row r="13" spans="1:2" x14ac:dyDescent="0.3">
      <c r="A13" s="4">
        <v>11</v>
      </c>
      <c r="B13" s="6">
        <v>0.20699999999999999</v>
      </c>
    </row>
    <row r="14" spans="1:2" x14ac:dyDescent="0.3">
      <c r="A14" s="4">
        <v>12</v>
      </c>
      <c r="B14" s="6">
        <v>0.20699999999999999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
  <sheetViews>
    <sheetView workbookViewId="0"/>
  </sheetViews>
  <sheetFormatPr baseColWidth="10" defaultColWidth="9.109375" defaultRowHeight="14.4" x14ac:dyDescent="0.3"/>
  <sheetData>
    <row r="1" spans="1:3" x14ac:dyDescent="0.3">
      <c r="A1" s="1" t="s">
        <v>81</v>
      </c>
      <c r="B1" s="1" t="s">
        <v>84</v>
      </c>
      <c r="C1" s="1" t="s">
        <v>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
  <sheetViews>
    <sheetView workbookViewId="0"/>
  </sheetViews>
  <sheetFormatPr baseColWidth="10" defaultColWidth="9.109375" defaultRowHeight="14.4" x14ac:dyDescent="0.3"/>
  <sheetData>
    <row r="1" spans="1:3" x14ac:dyDescent="0.3">
      <c r="A1" s="1" t="s">
        <v>81</v>
      </c>
      <c r="B1" s="1" t="s">
        <v>86</v>
      </c>
      <c r="C1" s="1"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Oitzinger</cp:lastModifiedBy>
  <dcterms:created xsi:type="dcterms:W3CDTF">2024-11-06T10:08:19Z</dcterms:created>
  <dcterms:modified xsi:type="dcterms:W3CDTF">2025-09-16T09:03:17Z</dcterms:modified>
</cp:coreProperties>
</file>