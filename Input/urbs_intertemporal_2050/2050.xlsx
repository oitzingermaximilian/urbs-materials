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FB451F96-BD33-450C-BCD5-040B891B8075}" xr6:coauthVersionLast="47" xr6:coauthVersionMax="47" xr10:uidLastSave="{00000000-0000-0000-0000-000000000000}"/>
  <bookViews>
    <workbookView xWindow="28680" yWindow="-5445" windowWidth="38640" windowHeight="21120" tabRatio="796"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Process!$A$1:$K$1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5" l="1"/>
  <c r="E30" i="5"/>
  <c r="F3" i="3"/>
  <c r="E3" i="3"/>
  <c r="D3" i="3"/>
  <c r="F2" i="3"/>
  <c r="E2" i="3"/>
  <c r="D2" i="3"/>
  <c r="E28" i="5"/>
  <c r="E27" i="5"/>
  <c r="E23" i="5"/>
  <c r="E25" i="5" s="1"/>
  <c r="E21" i="5"/>
  <c r="E24" i="5" s="1"/>
  <c r="E20" i="5"/>
  <c r="E22" i="5" s="1"/>
  <c r="M3" i="7"/>
  <c r="E19" i="5"/>
  <c r="E18" i="5"/>
  <c r="E17" i="5"/>
  <c r="E16" i="5"/>
  <c r="E15" i="5"/>
  <c r="E14" i="5"/>
  <c r="E12" i="5"/>
  <c r="E11" i="5"/>
  <c r="E10" i="5"/>
  <c r="E9" i="5"/>
  <c r="E8" i="5"/>
  <c r="E7" i="5"/>
  <c r="E6" i="5"/>
  <c r="E3" i="5"/>
</calcChain>
</file>

<file path=xl/sharedStrings.xml><?xml version="1.0" encoding="utf-8"?>
<sst xmlns="http://schemas.openxmlformats.org/spreadsheetml/2006/main" count="267" uniqueCount="97">
  <si>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</si>
  <si>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</si>
  <si>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</si>
  <si>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</si>
  <si>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</si>
  <si>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</si>
  <si>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</si>
  <si>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Weight</t>
  </si>
  <si>
    <t>Assigns a weight to the last modelled year. The year is then repeated 'value' times by the model</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</si>
  <si>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</si>
  <si>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</si>
  <si>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</si>
  <si>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</si>
  <si>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</si>
  <si>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</si>
  <si>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</si>
  <si>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</si>
  <si>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</si>
  <si>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</si>
  <si>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</si>
  <si>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</si>
  <si>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</si>
  <si>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</si>
  <si>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</si>
  <si>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</si>
  <si>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</si>
  <si>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</si>
  <si>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</si>
  <si>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</si>
  <si>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</si>
  <si>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</si>
  <si>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</si>
  <si>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</si>
  <si>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</si>
  <si>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</si>
  <si>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</si>
  <si>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</si>
  <si>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</si>
  <si>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</si>
  <si>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</si>
  <si>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</si>
  <si>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</si>
  <si>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</si>
  <si>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</si>
  <si>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</si>
  <si>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Coal Lignite</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</si>
  <si>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</si>
  <si>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</si>
  <si>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</si>
  <si>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</si>
  <si>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</si>
  <si>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</si>
  <si>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</si>
  <si>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</si>
  <si>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</si>
  <si>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</si>
  <si>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</si>
  <si>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</si>
  <si>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</si>
  <si>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</si>
  <si>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</si>
  <si>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</si>
  <si>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</si>
  <si>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</si>
  <si>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</si>
  <si>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</si>
  <si>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</si>
  <si>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</si>
  <si>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</si>
  <si>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</si>
  <si>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</si>
  <si>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</si>
  <si>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</si>
  <si>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</si>
  <si>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</si>
  <si>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</si>
  <si>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</si>
  <si>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</si>
  <si>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</si>
  <si>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</si>
  <si>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</si>
  <si>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</si>
  <si>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</si>
  <si>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</si>
  <si>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</si>
  <si>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</si>
  <si>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</si>
  <si>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</si>
  <si>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</si>
  <si>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</si>
  <si>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</si>
  <si>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Coal CCUS</t>
  </si>
  <si>
    <t>Coal Lignite CCUS</t>
  </si>
  <si>
    <t>Gas Plant (CCGT) CCUS</t>
  </si>
  <si>
    <t>Piped Gas</t>
  </si>
  <si>
    <t xml:space="preserve">LNG </t>
  </si>
  <si>
    <t>Gas Plant (CCGT) LNG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</si>
</sst>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 numFmtId="169" formatCode="_-* #,##0_-;\-* #,##0_-;_-* &quot;-&quot;??_-;_-@_-"/>
  </numFmts>
  <fonts count="29">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theme="5"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63">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5" fillId="0" borderId="0"/>
    <xf numFmtId="0" fontId="26" fillId="0" borderId="0"/>
    <xf numFmtId="0" fontId="27" fillId="0" borderId="0"/>
    <xf numFmtId="0" fontId="26" fillId="0" borderId="0"/>
    <xf numFmtId="0" fontId="28"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28" fillId="0" borderId="0"/>
    <xf numFmtId="0" fontId="26" fillId="0" borderId="0"/>
    <xf numFmtId="0" fontId="28"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cellStyleXfs>
  <cellXfs count="66">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0" fontId="0" fillId="30" borderId="0" xfId="0" applyFill="1" applyAlignment="1">
      <alignment horizontal="left"/>
    </xf>
    <xf numFmtId="3" fontId="0" fillId="28" borderId="0" xfId="0" applyNumberFormat="1" applyFill="1" applyAlignment="1">
      <alignment horizontal="right" indent="2"/>
    </xf>
    <xf numFmtId="0" fontId="0" fillId="31" borderId="0" xfId="0" applyFill="1"/>
    <xf numFmtId="2" fontId="0" fillId="32" borderId="0" xfId="0" applyNumberFormat="1" applyFill="1" applyAlignment="1">
      <alignment horizontal="right" indent="2"/>
    </xf>
    <xf numFmtId="0" fontId="24" fillId="33" borderId="0" xfId="0" applyFont="1" applyFill="1"/>
    <xf numFmtId="11" fontId="0" fillId="28" borderId="0" xfId="0" applyNumberFormat="1" applyFill="1" applyAlignment="1">
      <alignment horizontal="right" indent="2"/>
    </xf>
    <xf numFmtId="0" fontId="0" fillId="34" borderId="0" xfId="0" applyFill="1"/>
    <xf numFmtId="1" fontId="0" fillId="28" borderId="0" xfId="0" applyNumberFormat="1" applyFill="1" applyAlignment="1">
      <alignment horizontal="right" indent="2"/>
    </xf>
    <xf numFmtId="0" fontId="0" fillId="30" borderId="0" xfId="0" applyFill="1"/>
    <xf numFmtId="0" fontId="0" fillId="35" borderId="0" xfId="0" applyFill="1"/>
    <xf numFmtId="0" fontId="0" fillId="24" borderId="10" xfId="0" applyFill="1" applyBorder="1" applyAlignment="1">
      <alignment horizontal="left"/>
    </xf>
    <xf numFmtId="0" fontId="0" fillId="36" borderId="0" xfId="0" applyFill="1" applyAlignment="1">
      <alignment horizontal="right"/>
    </xf>
    <xf numFmtId="0" fontId="0" fillId="36" borderId="0" xfId="0" applyFill="1"/>
    <xf numFmtId="166" fontId="0" fillId="37" borderId="0" xfId="0" applyNumberFormat="1" applyFill="1"/>
    <xf numFmtId="0" fontId="0" fillId="37" borderId="0" xfId="0" applyFill="1"/>
    <xf numFmtId="0" fontId="24" fillId="38" borderId="0" xfId="0" applyFont="1" applyFill="1"/>
    <xf numFmtId="0" fontId="24" fillId="35" borderId="0" xfId="0" applyFont="1" applyFill="1"/>
    <xf numFmtId="3" fontId="0" fillId="37" borderId="0" xfId="0" applyNumberFormat="1" applyFill="1"/>
    <xf numFmtId="3" fontId="0" fillId="37" borderId="0" xfId="0" applyNumberFormat="1" applyFill="1" applyAlignment="1">
      <alignment horizontal="right"/>
    </xf>
    <xf numFmtId="0" fontId="0" fillId="39" borderId="0" xfId="0" applyFill="1"/>
    <xf numFmtId="0" fontId="0" fillId="33" borderId="0" xfId="0" applyFill="1"/>
    <xf numFmtId="0" fontId="0" fillId="28" borderId="0" xfId="0" applyFill="1" applyAlignment="1">
      <alignment horizontal="left"/>
    </xf>
    <xf numFmtId="0" fontId="0" fillId="40" borderId="0" xfId="0" applyFill="1"/>
    <xf numFmtId="0" fontId="0" fillId="0" borderId="11" xfId="0" applyBorder="1"/>
    <xf numFmtId="3" fontId="0" fillId="0" borderId="0" xfId="0" applyNumberFormat="1" applyAlignment="1">
      <alignment vertical="center" wrapText="1"/>
    </xf>
    <xf numFmtId="0" fontId="0" fillId="0" borderId="0" xfId="0" applyAlignment="1">
      <alignment vertical="center" wrapText="1"/>
    </xf>
    <xf numFmtId="169" fontId="0" fillId="0" borderId="0" xfId="0" applyNumberFormat="1" applyAlignment="1">
      <alignment horizontal="center"/>
    </xf>
  </cellXfs>
  <cellStyles count="363">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3" xfId="91" xr:uid="{00000000-0005-0000-0000-00005B000000}"/>
    <cellStyle name="Komma 2 3 2" xfId="92" xr:uid="{00000000-0005-0000-0000-00005C000000}"/>
    <cellStyle name="Komma 2 3 3" xfId="93" xr:uid="{00000000-0005-0000-0000-00005D000000}"/>
    <cellStyle name="Komma 2 4" xfId="94" xr:uid="{00000000-0005-0000-0000-00005E000000}"/>
    <cellStyle name="Komma 2 5" xfId="95" xr:uid="{00000000-0005-0000-0000-00005F000000}"/>
    <cellStyle name="Komma 3" xfId="96" xr:uid="{00000000-0005-0000-0000-000060000000}"/>
    <cellStyle name="Komma 3 2" xfId="97" xr:uid="{00000000-0005-0000-0000-000061000000}"/>
    <cellStyle name="Komma 3 2 2" xfId="98" xr:uid="{00000000-0005-0000-0000-000062000000}"/>
    <cellStyle name="Komma 3 2 3" xfId="99" xr:uid="{00000000-0005-0000-0000-000063000000}"/>
    <cellStyle name="Komma 3 3" xfId="100" xr:uid="{00000000-0005-0000-0000-000064000000}"/>
    <cellStyle name="Komma 3 4" xfId="101" xr:uid="{00000000-0005-0000-0000-00006500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1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8" sqref="B8"/>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4" width="11.44140625" style="32" customWidth="1"/>
    <col min="5" max="16384" width="11.44140625" style="32"/>
  </cols>
  <sheetData>
    <row r="1" spans="1:3">
      <c r="A1" s="30" t="s">
        <v>0</v>
      </c>
      <c r="B1" s="31" t="s">
        <v>1</v>
      </c>
      <c r="C1" s="31" t="s">
        <v>2</v>
      </c>
    </row>
    <row r="2" spans="1:3">
      <c r="A2" s="33" t="s">
        <v>3</v>
      </c>
      <c r="B2" s="38">
        <v>2050</v>
      </c>
      <c r="C2" s="29" t="s">
        <v>4</v>
      </c>
    </row>
    <row r="3" spans="1:3" ht="30" customHeight="1">
      <c r="A3" s="33" t="s">
        <v>5</v>
      </c>
      <c r="B3" s="63">
        <v>0</v>
      </c>
      <c r="C3" s="29" t="s">
        <v>6</v>
      </c>
    </row>
    <row r="4" spans="1:3" ht="30" customHeight="1">
      <c r="A4" s="33" t="s">
        <v>7</v>
      </c>
      <c r="B4" s="38">
        <v>1</v>
      </c>
      <c r="C4" s="29" t="s">
        <v>8</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9</v>
      </c>
      <c r="B1" s="12" t="s">
        <v>10</v>
      </c>
    </row>
    <row r="2" spans="1:2">
      <c r="A2" s="4" t="s">
        <v>11</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0"/>
  <sheetViews>
    <sheetView tabSelected="1" workbookViewId="0">
      <selection activeCell="D23" sqref="D23"/>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7" width="11.44140625" style="3" customWidth="1"/>
    <col min="8" max="16384" width="11.44140625" style="3"/>
  </cols>
  <sheetData>
    <row r="1" spans="1:6">
      <c r="A1" t="s">
        <v>12</v>
      </c>
      <c r="B1" t="s">
        <v>13</v>
      </c>
      <c r="C1" t="s">
        <v>14</v>
      </c>
      <c r="D1" s="12" t="s">
        <v>15</v>
      </c>
      <c r="E1" s="12" t="s">
        <v>16</v>
      </c>
      <c r="F1" s="11" t="s">
        <v>17</v>
      </c>
    </row>
    <row r="2" spans="1:6">
      <c r="A2" s="4" t="s">
        <v>11</v>
      </c>
      <c r="B2" s="4" t="s">
        <v>19</v>
      </c>
      <c r="C2" s="4" t="s">
        <v>18</v>
      </c>
      <c r="D2" s="28" t="e">
        <f>NA()</f>
        <v>#N/A</v>
      </c>
      <c r="E2" s="28" t="e">
        <f>NA()</f>
        <v>#N/A</v>
      </c>
      <c r="F2" s="28" t="e">
        <f>NA()</f>
        <v>#N/A</v>
      </c>
    </row>
    <row r="3" spans="1:6">
      <c r="A3" s="4" t="s">
        <v>11</v>
      </c>
      <c r="B3" s="4" t="s">
        <v>20</v>
      </c>
      <c r="C3" s="4" t="s">
        <v>21</v>
      </c>
      <c r="D3" s="28" t="e">
        <f>NA()</f>
        <v>#N/A</v>
      </c>
      <c r="E3" s="28" t="e">
        <f>NA()</f>
        <v>#N/A</v>
      </c>
      <c r="F3" s="28" t="e">
        <f>NA()</f>
        <v>#N/A</v>
      </c>
    </row>
    <row r="4" spans="1:6">
      <c r="A4" s="4" t="s">
        <v>11</v>
      </c>
      <c r="B4" s="4" t="s">
        <v>22</v>
      </c>
      <c r="C4" s="4" t="s">
        <v>23</v>
      </c>
      <c r="D4">
        <v>8.64</v>
      </c>
      <c r="E4" s="7" t="s">
        <v>24</v>
      </c>
      <c r="F4" s="8" t="s">
        <v>24</v>
      </c>
    </row>
    <row r="5" spans="1:6">
      <c r="A5" s="4" t="s">
        <v>11</v>
      </c>
      <c r="B5" s="4" t="s">
        <v>94</v>
      </c>
      <c r="C5" s="4" t="s">
        <v>23</v>
      </c>
      <c r="D5">
        <v>20.52</v>
      </c>
      <c r="E5" s="7" t="s">
        <v>24</v>
      </c>
      <c r="F5" s="8" t="s">
        <v>24</v>
      </c>
    </row>
    <row r="6" spans="1:6">
      <c r="A6" s="4" t="s">
        <v>11</v>
      </c>
      <c r="B6" s="4" t="s">
        <v>25</v>
      </c>
      <c r="C6" s="4" t="s">
        <v>26</v>
      </c>
      <c r="D6">
        <v>168</v>
      </c>
      <c r="E6" s="7" t="s">
        <v>24</v>
      </c>
      <c r="F6" s="7" t="s">
        <v>24</v>
      </c>
    </row>
    <row r="7" spans="1:6">
      <c r="A7" s="4" t="s">
        <v>11</v>
      </c>
      <c r="B7" s="4" t="s">
        <v>27</v>
      </c>
      <c r="C7" s="4" t="s">
        <v>23</v>
      </c>
      <c r="D7">
        <v>62.28</v>
      </c>
      <c r="E7" s="7" t="s">
        <v>24</v>
      </c>
      <c r="F7" s="8" t="s">
        <v>24</v>
      </c>
    </row>
    <row r="8" spans="1:6">
      <c r="A8" s="4" t="s">
        <v>11</v>
      </c>
      <c r="B8" s="4" t="s">
        <v>28</v>
      </c>
      <c r="C8" s="4" t="s">
        <v>23</v>
      </c>
      <c r="D8">
        <v>6.12</v>
      </c>
      <c r="E8" s="7" t="s">
        <v>24</v>
      </c>
      <c r="F8" s="8" t="s">
        <v>24</v>
      </c>
    </row>
    <row r="9" spans="1:6">
      <c r="A9" s="4" t="s">
        <v>11</v>
      </c>
      <c r="B9" s="4" t="s">
        <v>29</v>
      </c>
      <c r="C9" s="4" t="s">
        <v>23</v>
      </c>
      <c r="D9">
        <v>5.76</v>
      </c>
      <c r="E9" s="7" t="s">
        <v>24</v>
      </c>
      <c r="F9" s="8" t="s">
        <v>24</v>
      </c>
    </row>
    <row r="10" spans="1:6">
      <c r="A10" s="4" t="s">
        <v>11</v>
      </c>
      <c r="B10" s="4" t="s">
        <v>95</v>
      </c>
      <c r="C10" s="4" t="s">
        <v>23</v>
      </c>
      <c r="D10">
        <v>36.54</v>
      </c>
      <c r="E10" s="7" t="s">
        <v>24</v>
      </c>
      <c r="F10" s="8" t="s">
        <v>24</v>
      </c>
    </row>
  </sheetData>
  <conditionalFormatting sqref="B8:B10">
    <cfRule type="expression" dxfId="14"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6446A307-7646-432D-BFA5-6520C4C5055D}"/>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D3E246BC-B475-4118-A01E-7A9C1C37D020}"/>
    <dataValidation allowBlank="1" showInputMessage="1" showErrorMessage="1" promptTitle="Maximum commodity use per hour" prompt="For stock commodities, this value limits the energy use per hour (MW)._x000a_" sqref="F1" xr:uid="{C1F84F9C-E5D7-481C-8F73-DB45ADB0C668}"/>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2"/>
  <sheetViews>
    <sheetView workbookViewId="0">
      <selection activeCell="B2" sqref="A2:XFD3"/>
    </sheetView>
  </sheetViews>
  <sheetFormatPr baseColWidth="10" defaultColWidth="11.44140625" defaultRowHeight="14.4"/>
  <cols>
    <col min="1" max="1" width="10.6640625" style="3" customWidth="1"/>
    <col min="2" max="2" width="16.33203125" style="3" bestFit="1" customWidth="1"/>
    <col min="3" max="3" width="10.6640625" style="20" customWidth="1"/>
    <col min="4" max="4" width="17.44140625" style="20" customWidth="1"/>
    <col min="5" max="5" width="15.109375" style="20" customWidth="1"/>
    <col min="6" max="6" width="10.6640625" style="3" customWidth="1"/>
    <col min="7" max="7" width="24" style="20" customWidth="1"/>
    <col min="8" max="8" width="10.6640625" style="20" customWidth="1"/>
    <col min="9" max="9" width="10.6640625" style="22" customWidth="1"/>
    <col min="10" max="10" width="10.5546875" style="3" customWidth="1"/>
    <col min="11" max="11" width="14.88671875" style="23" bestFit="1" customWidth="1"/>
    <col min="12" max="12" width="14.88671875" style="3" bestFit="1" customWidth="1"/>
    <col min="13" max="13" width="11.44140625" style="3" customWidth="1"/>
    <col min="14" max="16384" width="11.44140625" style="3"/>
  </cols>
  <sheetData>
    <row r="1" spans="1:13">
      <c r="A1" t="s">
        <v>12</v>
      </c>
      <c r="B1" t="s">
        <v>30</v>
      </c>
      <c r="C1" s="17" t="s">
        <v>31</v>
      </c>
      <c r="D1" s="17" t="s">
        <v>32</v>
      </c>
      <c r="E1" s="17" t="s">
        <v>33</v>
      </c>
      <c r="F1" s="36" t="s">
        <v>34</v>
      </c>
      <c r="G1" s="17" t="s">
        <v>35</v>
      </c>
      <c r="H1" s="17" t="s">
        <v>36</v>
      </c>
      <c r="I1" s="19" t="s">
        <v>37</v>
      </c>
      <c r="J1" s="36" t="s">
        <v>38</v>
      </c>
      <c r="K1" s="16" t="s">
        <v>39</v>
      </c>
      <c r="L1" s="16" t="s">
        <v>40</v>
      </c>
      <c r="M1" s="16" t="s">
        <v>41</v>
      </c>
    </row>
    <row r="2" spans="1:13">
      <c r="A2" s="3" t="s">
        <v>11</v>
      </c>
      <c r="B2" s="49" t="s">
        <v>42</v>
      </c>
      <c r="C2" s="20">
        <v>0</v>
      </c>
      <c r="D2" s="54">
        <v>46710</v>
      </c>
      <c r="E2" s="50" t="s">
        <v>24</v>
      </c>
      <c r="F2" s="51">
        <v>0</v>
      </c>
      <c r="G2" s="52">
        <v>2620279.14</v>
      </c>
      <c r="H2" s="52">
        <v>9143.1016799999998</v>
      </c>
      <c r="I2" s="52">
        <v>0</v>
      </c>
      <c r="J2" s="53">
        <v>0</v>
      </c>
      <c r="K2" s="59">
        <v>7.2999999999999995E-2</v>
      </c>
      <c r="L2" s="53">
        <v>60</v>
      </c>
      <c r="M2" s="28" t="e">
        <v>#N/A</v>
      </c>
    </row>
    <row r="3" spans="1:13">
      <c r="A3" s="3" t="s">
        <v>11</v>
      </c>
      <c r="B3" s="49" t="s">
        <v>43</v>
      </c>
      <c r="C3" s="20">
        <v>0</v>
      </c>
      <c r="D3" s="54">
        <v>59840</v>
      </c>
      <c r="E3" s="50" t="s">
        <v>24</v>
      </c>
      <c r="F3" s="51">
        <v>0</v>
      </c>
      <c r="G3" s="53">
        <v>3345037.2</v>
      </c>
      <c r="H3" s="53">
        <v>28432.799999999999</v>
      </c>
      <c r="I3" s="53">
        <v>0.35699999999999998</v>
      </c>
      <c r="J3" s="53">
        <v>0</v>
      </c>
      <c r="K3" s="59">
        <v>7.2999999999999995E-2</v>
      </c>
      <c r="L3" s="53">
        <v>50</v>
      </c>
      <c r="M3" s="28" t="e">
        <v>#N/A</v>
      </c>
    </row>
    <row r="4" spans="1:13">
      <c r="A4" s="3" t="s">
        <v>11</v>
      </c>
      <c r="B4" s="49" t="s">
        <v>44</v>
      </c>
      <c r="C4" s="20">
        <v>0</v>
      </c>
      <c r="D4" s="65">
        <v>999999</v>
      </c>
      <c r="E4" s="50" t="s">
        <v>24</v>
      </c>
      <c r="F4" s="51">
        <v>0.5</v>
      </c>
      <c r="G4" s="56">
        <v>1784013.3448000001</v>
      </c>
      <c r="H4" s="57">
        <v>28544.213516799999</v>
      </c>
      <c r="I4" s="52">
        <v>2.7</v>
      </c>
      <c r="J4" s="53">
        <v>0</v>
      </c>
      <c r="K4" s="59">
        <v>7.2999999999999995E-2</v>
      </c>
      <c r="L4" s="53">
        <v>40</v>
      </c>
      <c r="M4" s="28" t="e">
        <v>#N/A</v>
      </c>
    </row>
    <row r="5" spans="1:13">
      <c r="A5" s="3" t="s">
        <v>11</v>
      </c>
      <c r="B5" s="49" t="s">
        <v>45</v>
      </c>
      <c r="C5" s="20">
        <v>0</v>
      </c>
      <c r="D5" s="65">
        <v>999999</v>
      </c>
      <c r="E5" s="50" t="s">
        <v>24</v>
      </c>
      <c r="F5" s="51">
        <v>0.65</v>
      </c>
      <c r="G5" s="52">
        <v>2230016.6809999999</v>
      </c>
      <c r="H5" s="52">
        <v>43931.328608800002</v>
      </c>
      <c r="I5" s="53">
        <v>3.2</v>
      </c>
      <c r="J5" s="53">
        <v>0</v>
      </c>
      <c r="K5" s="59">
        <v>7.2999999999999995E-2</v>
      </c>
      <c r="L5" s="53">
        <v>40</v>
      </c>
      <c r="M5" s="28" t="e">
        <v>#N/A</v>
      </c>
    </row>
    <row r="6" spans="1:13">
      <c r="A6" s="3" t="s">
        <v>11</v>
      </c>
      <c r="B6" s="49" t="s">
        <v>46</v>
      </c>
      <c r="C6" s="20">
        <v>0</v>
      </c>
      <c r="D6" s="65">
        <v>999999</v>
      </c>
      <c r="E6" s="50" t="s">
        <v>24</v>
      </c>
      <c r="F6" s="51">
        <v>0.25</v>
      </c>
      <c r="G6" s="52">
        <v>735908.18400000012</v>
      </c>
      <c r="H6" s="52">
        <v>16725.186000000002</v>
      </c>
      <c r="I6" s="53">
        <v>2.6</v>
      </c>
      <c r="J6" s="56">
        <v>0</v>
      </c>
      <c r="K6" s="59">
        <v>7.2999999999999995E-2</v>
      </c>
      <c r="L6" s="53">
        <v>25</v>
      </c>
      <c r="M6" s="28" t="e">
        <v>#N/A</v>
      </c>
    </row>
    <row r="7" spans="1:13">
      <c r="A7" s="3" t="s">
        <v>11</v>
      </c>
      <c r="B7" s="49" t="s">
        <v>47</v>
      </c>
      <c r="C7" s="20">
        <v>0</v>
      </c>
      <c r="D7" s="55">
        <v>94200</v>
      </c>
      <c r="E7" s="50" t="s">
        <v>24</v>
      </c>
      <c r="F7" s="51">
        <v>0</v>
      </c>
      <c r="G7" s="52">
        <v>5240558.28</v>
      </c>
      <c r="H7" s="57">
        <v>117076.302</v>
      </c>
      <c r="I7" s="52">
        <v>8.6999999999999993</v>
      </c>
      <c r="J7" s="53">
        <v>0</v>
      </c>
      <c r="K7" s="59">
        <v>7.2999999999999995E-2</v>
      </c>
      <c r="L7" s="53">
        <v>60</v>
      </c>
      <c r="M7" s="28" t="e">
        <v>#N/A</v>
      </c>
    </row>
    <row r="8" spans="1:13">
      <c r="A8" s="3" t="s">
        <v>11</v>
      </c>
      <c r="B8" s="49" t="s">
        <v>48</v>
      </c>
      <c r="C8" s="20">
        <v>0</v>
      </c>
      <c r="D8" s="20">
        <v>999999999999</v>
      </c>
      <c r="E8" s="50" t="s">
        <v>24</v>
      </c>
      <c r="F8" s="51">
        <v>0</v>
      </c>
      <c r="G8" s="58">
        <v>5648000</v>
      </c>
      <c r="H8" s="58">
        <v>0</v>
      </c>
      <c r="I8" s="58">
        <v>53.2</v>
      </c>
      <c r="J8" s="53">
        <v>0</v>
      </c>
      <c r="K8" s="59">
        <v>7.2999999999999995E-2</v>
      </c>
      <c r="L8" s="53">
        <v>25</v>
      </c>
      <c r="M8" s="28" t="e">
        <v>#N/A</v>
      </c>
    </row>
    <row r="9" spans="1:13">
      <c r="A9" s="3" t="s">
        <v>11</v>
      </c>
      <c r="B9" s="49" t="s">
        <v>91</v>
      </c>
      <c r="C9" s="20">
        <v>0</v>
      </c>
      <c r="D9" s="55">
        <v>0</v>
      </c>
      <c r="E9" s="50" t="s">
        <v>24</v>
      </c>
      <c r="F9" s="51">
        <v>0.5</v>
      </c>
      <c r="G9" s="53">
        <v>3177785.3400000003</v>
      </c>
      <c r="H9" s="53">
        <v>60099.168360000003</v>
      </c>
      <c r="I9" s="53">
        <v>6.22</v>
      </c>
      <c r="J9" s="56">
        <v>0</v>
      </c>
      <c r="K9" s="43">
        <v>7.0999999999999994E-2</v>
      </c>
      <c r="L9" s="53">
        <v>40</v>
      </c>
      <c r="M9" s="28" t="e">
        <v>#N/A</v>
      </c>
    </row>
    <row r="10" spans="1:13">
      <c r="A10" s="3" t="s">
        <v>11</v>
      </c>
      <c r="B10" s="49" t="s">
        <v>92</v>
      </c>
      <c r="C10" s="20">
        <v>0</v>
      </c>
      <c r="D10" s="55">
        <v>0</v>
      </c>
      <c r="E10" s="50" t="s">
        <v>24</v>
      </c>
      <c r="F10" s="51">
        <v>0.65</v>
      </c>
      <c r="G10" s="53">
        <v>3568039.68</v>
      </c>
      <c r="H10" s="53">
        <v>67569.751440000007</v>
      </c>
      <c r="I10" s="53">
        <v>4.5</v>
      </c>
      <c r="J10" s="56">
        <v>0</v>
      </c>
      <c r="K10" s="43">
        <v>7.0999999999999994E-2</v>
      </c>
      <c r="L10" s="53">
        <v>40</v>
      </c>
      <c r="M10" s="28" t="e">
        <v>#N/A</v>
      </c>
    </row>
    <row r="11" spans="1:13">
      <c r="A11" s="3" t="s">
        <v>11</v>
      </c>
      <c r="B11" s="49" t="s">
        <v>93</v>
      </c>
      <c r="C11" s="20">
        <v>0</v>
      </c>
      <c r="D11" s="55">
        <v>0</v>
      </c>
      <c r="E11" s="50" t="s">
        <v>24</v>
      </c>
      <c r="F11" s="51">
        <v>0.25</v>
      </c>
      <c r="G11" s="53">
        <v>1672518.6</v>
      </c>
      <c r="H11" s="53">
        <v>38244.9</v>
      </c>
      <c r="I11" s="53">
        <v>3.1</v>
      </c>
      <c r="J11" s="56">
        <v>0</v>
      </c>
      <c r="K11" s="43">
        <v>7.0999999999999994E-2</v>
      </c>
      <c r="L11" s="53">
        <v>25</v>
      </c>
      <c r="M11" s="28" t="e">
        <v>#N/A</v>
      </c>
    </row>
    <row r="12" spans="1:13">
      <c r="A12" s="3" t="s">
        <v>11</v>
      </c>
      <c r="B12" s="60" t="s">
        <v>96</v>
      </c>
      <c r="C12" s="20">
        <v>0</v>
      </c>
      <c r="D12" s="65">
        <v>999999</v>
      </c>
      <c r="E12" s="50" t="s">
        <v>24</v>
      </c>
      <c r="F12" s="51">
        <v>0.25</v>
      </c>
      <c r="G12" s="52">
        <v>735908.18400000012</v>
      </c>
      <c r="H12" s="52">
        <v>16725.186000000002</v>
      </c>
      <c r="I12" s="53">
        <v>2.6</v>
      </c>
      <c r="J12" s="56">
        <v>0</v>
      </c>
      <c r="K12" s="59">
        <v>7.2999999999999995E-2</v>
      </c>
      <c r="L12" s="53">
        <v>25</v>
      </c>
      <c r="M12" s="28" t="e">
        <v>#N/A</v>
      </c>
    </row>
  </sheetData>
  <autoFilter ref="A1:K1" xr:uid="{00000000-0009-0000-0000-000003000000}"/>
  <conditionalFormatting sqref="A4:C4 E4:F4">
    <cfRule type="expression" dxfId="13" priority="14">
      <formula>NOT(EXACT(INDIRECT("Z"&amp;ROW()-1&amp;"S1",FALSE()), INDIRECT("Z"&amp;ROW()&amp;"S1",FALSE())))</formula>
    </cfRule>
  </conditionalFormatting>
  <conditionalFormatting sqref="A2:F3 P2:XFD4 A2:A12 C2:C12">
    <cfRule type="expression" dxfId="12" priority="3">
      <formula>NOT(EXACT(INDIRECT("Z"&amp;ROW()-1&amp;"S1",FALSE()), INDIRECT("Z"&amp;ROW()&amp;"S1",FALSE())))</formula>
    </cfRule>
  </conditionalFormatting>
  <conditionalFormatting sqref="A1:XFD1 A13:XFD1048576">
    <cfRule type="expression" dxfId="11" priority="20">
      <formula>NOT(EXACT(INDIRECT("Z"&amp;ROW()-1&amp;"S1",FALSE()), INDIRECT("Z"&amp;ROW()&amp;"S1",FALSE())))</formula>
    </cfRule>
  </conditionalFormatting>
  <conditionalFormatting sqref="B5:B12">
    <cfRule type="expression" dxfId="10" priority="1">
      <formula>NOT(EXACT(INDIRECT("Z"&amp;ROW()-1&amp;"S1",FALSE()), INDIRECT("Z"&amp;ROW()&amp;"S1",FALSE())))</formula>
    </cfRule>
  </conditionalFormatting>
  <conditionalFormatting sqref="D8">
    <cfRule type="expression" dxfId="9" priority="9">
      <formula>NOT(EXACT(INDIRECT("Z"&amp;ROW()-1&amp;"S1",FALSE()), INDIRECT("Z"&amp;ROW()&amp;"S1",FALSE())))</formula>
    </cfRule>
  </conditionalFormatting>
  <conditionalFormatting sqref="G2:I2">
    <cfRule type="expression" dxfId="8" priority="8">
      <formula>NOT(EXACT(INDIRECT("Z"&amp;ROW()-1&amp;"S1",FALSE()), INDIRECT("Z"&amp;ROW()&amp;"S1",FALSE())))</formula>
    </cfRule>
  </conditionalFormatting>
  <conditionalFormatting sqref="N12:XFD12">
    <cfRule type="expression" dxfId="7" priority="4">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1"/>
  <sheetViews>
    <sheetView workbookViewId="0">
      <selection activeCell="B2" sqref="A2:XFD5"/>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6" width="11.44140625" style="3" customWidth="1"/>
    <col min="7" max="16384" width="11.44140625" style="3"/>
  </cols>
  <sheetData>
    <row r="1" spans="1:5">
      <c r="A1" t="s">
        <v>30</v>
      </c>
      <c r="B1" t="s">
        <v>13</v>
      </c>
      <c r="C1" t="s">
        <v>49</v>
      </c>
      <c r="D1" s="18" t="s">
        <v>50</v>
      </c>
      <c r="E1" s="18" t="s">
        <v>51</v>
      </c>
    </row>
    <row r="2" spans="1:5">
      <c r="A2" s="60" t="s">
        <v>45</v>
      </c>
      <c r="B2" s="4" t="s">
        <v>22</v>
      </c>
      <c r="C2" s="4" t="s">
        <v>52</v>
      </c>
      <c r="D2" s="24">
        <v>1</v>
      </c>
      <c r="E2" s="24">
        <v>2</v>
      </c>
    </row>
    <row r="3" spans="1:5">
      <c r="A3" s="60" t="s">
        <v>45</v>
      </c>
      <c r="B3" s="4" t="s">
        <v>20</v>
      </c>
      <c r="C3" s="4" t="s">
        <v>53</v>
      </c>
      <c r="D3" s="61">
        <v>0.44</v>
      </c>
      <c r="E3" s="24" t="e">
        <f>NA()</f>
        <v>#N/A</v>
      </c>
    </row>
    <row r="4" spans="1:5">
      <c r="A4" s="60" t="s">
        <v>45</v>
      </c>
      <c r="B4" s="4" t="s">
        <v>25</v>
      </c>
      <c r="C4" s="4" t="s">
        <v>53</v>
      </c>
      <c r="D4" s="24">
        <v>0.36299999999999999</v>
      </c>
      <c r="E4" s="24">
        <v>0.8</v>
      </c>
    </row>
    <row r="5" spans="1:5">
      <c r="A5" s="60" t="s">
        <v>46</v>
      </c>
      <c r="B5" s="4" t="s">
        <v>94</v>
      </c>
      <c r="C5" s="4" t="s">
        <v>52</v>
      </c>
      <c r="D5" s="24">
        <v>1</v>
      </c>
      <c r="E5" s="24">
        <v>1.2</v>
      </c>
    </row>
    <row r="6" spans="1:5">
      <c r="A6" s="60" t="s">
        <v>46</v>
      </c>
      <c r="B6" s="4" t="s">
        <v>20</v>
      </c>
      <c r="C6" s="4" t="s">
        <v>53</v>
      </c>
      <c r="D6" s="61">
        <v>0.63</v>
      </c>
      <c r="E6" s="24" t="e">
        <f>NA()</f>
        <v>#N/A</v>
      </c>
    </row>
    <row r="7" spans="1:5">
      <c r="A7" s="60" t="s">
        <v>46</v>
      </c>
      <c r="B7" s="4" t="s">
        <v>25</v>
      </c>
      <c r="C7" s="4" t="s">
        <v>53</v>
      </c>
      <c r="D7" s="48">
        <v>0.01</v>
      </c>
      <c r="E7" s="24">
        <f>D7*E5</f>
        <v>1.2E-2</v>
      </c>
    </row>
    <row r="8" spans="1:5">
      <c r="A8" s="60" t="s">
        <v>48</v>
      </c>
      <c r="B8" s="4" t="s">
        <v>27</v>
      </c>
      <c r="C8" s="4" t="s">
        <v>52</v>
      </c>
      <c r="D8" s="24">
        <v>1</v>
      </c>
      <c r="E8" s="24" t="e">
        <f>NA()</f>
        <v>#N/A</v>
      </c>
    </row>
    <row r="9" spans="1:5">
      <c r="A9" s="60" t="s">
        <v>48</v>
      </c>
      <c r="B9" s="4" t="s">
        <v>20</v>
      </c>
      <c r="C9" s="4" t="s">
        <v>53</v>
      </c>
      <c r="D9" s="24">
        <v>0.35</v>
      </c>
      <c r="E9" s="24" t="e">
        <f>NA()</f>
        <v>#N/A</v>
      </c>
    </row>
    <row r="10" spans="1:5">
      <c r="A10" s="60" t="s">
        <v>48</v>
      </c>
      <c r="B10" s="4" t="s">
        <v>25</v>
      </c>
      <c r="C10" s="4" t="s">
        <v>53</v>
      </c>
      <c r="D10" s="24">
        <v>0</v>
      </c>
      <c r="E10" s="24" t="e">
        <f>NA()</f>
        <v>#N/A</v>
      </c>
    </row>
    <row r="11" spans="1:5">
      <c r="A11" s="60" t="s">
        <v>47</v>
      </c>
      <c r="B11" s="4" t="s">
        <v>28</v>
      </c>
      <c r="C11" s="4" t="s">
        <v>52</v>
      </c>
      <c r="D11" s="24">
        <v>1</v>
      </c>
      <c r="E11" s="24" t="e">
        <f>NA()</f>
        <v>#N/A</v>
      </c>
    </row>
    <row r="12" spans="1:5">
      <c r="A12" s="60" t="s">
        <v>47</v>
      </c>
      <c r="B12" s="4" t="s">
        <v>20</v>
      </c>
      <c r="C12" s="4" t="s">
        <v>53</v>
      </c>
      <c r="D12" s="24">
        <v>0.38</v>
      </c>
      <c r="E12" s="24" t="e">
        <f>NA()</f>
        <v>#N/A</v>
      </c>
    </row>
    <row r="13" spans="1:5">
      <c r="A13" s="60" t="s">
        <v>44</v>
      </c>
      <c r="B13" s="4" t="s">
        <v>29</v>
      </c>
      <c r="C13" s="4" t="s">
        <v>52</v>
      </c>
      <c r="D13" s="24">
        <v>1</v>
      </c>
      <c r="E13" s="24">
        <v>1.4</v>
      </c>
    </row>
    <row r="14" spans="1:5">
      <c r="A14" s="60" t="s">
        <v>44</v>
      </c>
      <c r="B14" s="4" t="s">
        <v>20</v>
      </c>
      <c r="C14" s="4" t="s">
        <v>53</v>
      </c>
      <c r="D14" s="61">
        <v>0.47</v>
      </c>
      <c r="E14" s="24" t="e">
        <f>NA()</f>
        <v>#N/A</v>
      </c>
    </row>
    <row r="15" spans="1:5">
      <c r="A15" s="60" t="s">
        <v>44</v>
      </c>
      <c r="B15" s="4" t="s">
        <v>25</v>
      </c>
      <c r="C15" s="4" t="s">
        <v>53</v>
      </c>
      <c r="D15" s="24">
        <v>0.34179999999999999</v>
      </c>
      <c r="E15" s="24">
        <f>D15*E13</f>
        <v>0.47851999999999995</v>
      </c>
    </row>
    <row r="16" spans="1:5">
      <c r="A16" s="60" t="s">
        <v>42</v>
      </c>
      <c r="B16" s="4" t="s">
        <v>19</v>
      </c>
      <c r="C16" s="4" t="s">
        <v>52</v>
      </c>
      <c r="D16" s="24">
        <v>1</v>
      </c>
      <c r="E16" s="24" t="e">
        <f>NA()</f>
        <v>#N/A</v>
      </c>
    </row>
    <row r="17" spans="1:5">
      <c r="A17" s="60" t="s">
        <v>42</v>
      </c>
      <c r="B17" s="4" t="s">
        <v>20</v>
      </c>
      <c r="C17" s="4" t="s">
        <v>53</v>
      </c>
      <c r="D17" s="24">
        <v>1</v>
      </c>
      <c r="E17" s="24" t="e">
        <f>NA()</f>
        <v>#N/A</v>
      </c>
    </row>
    <row r="18" spans="1:5">
      <c r="A18" s="60" t="s">
        <v>43</v>
      </c>
      <c r="B18" s="4" t="s">
        <v>19</v>
      </c>
      <c r="C18" s="4" t="s">
        <v>52</v>
      </c>
      <c r="D18" s="24">
        <v>1</v>
      </c>
      <c r="E18" s="24" t="e">
        <f>NA()</f>
        <v>#N/A</v>
      </c>
    </row>
    <row r="19" spans="1:5">
      <c r="A19" s="60" t="s">
        <v>43</v>
      </c>
      <c r="B19" s="4" t="s">
        <v>20</v>
      </c>
      <c r="C19" s="4" t="s">
        <v>53</v>
      </c>
      <c r="D19" s="24">
        <v>1</v>
      </c>
      <c r="E19" s="24" t="e">
        <f>NA()</f>
        <v>#N/A</v>
      </c>
    </row>
    <row r="20" spans="1:5">
      <c r="A20" s="60" t="s">
        <v>91</v>
      </c>
      <c r="B20" s="4" t="s">
        <v>29</v>
      </c>
      <c r="C20" s="4" t="s">
        <v>52</v>
      </c>
      <c r="D20" s="24">
        <v>1</v>
      </c>
      <c r="E20" s="24" t="e">
        <f>NA()</f>
        <v>#N/A</v>
      </c>
    </row>
    <row r="21" spans="1:5">
      <c r="A21" s="60" t="s">
        <v>91</v>
      </c>
      <c r="B21" s="4" t="s">
        <v>20</v>
      </c>
      <c r="C21" s="4" t="s">
        <v>53</v>
      </c>
      <c r="D21" s="24">
        <v>0.39</v>
      </c>
      <c r="E21" s="24" t="e">
        <f>D21*E19</f>
        <v>#N/A</v>
      </c>
    </row>
    <row r="22" spans="1:5">
      <c r="A22" s="60" t="s">
        <v>91</v>
      </c>
      <c r="B22" s="4" t="s">
        <v>25</v>
      </c>
      <c r="C22" s="4" t="s">
        <v>53</v>
      </c>
      <c r="D22" s="24">
        <v>3.4180000000000002E-2</v>
      </c>
      <c r="E22" s="24" t="e">
        <f>D22*E20</f>
        <v>#N/A</v>
      </c>
    </row>
    <row r="23" spans="1:5">
      <c r="A23" s="60" t="s">
        <v>92</v>
      </c>
      <c r="B23" s="4" t="s">
        <v>29</v>
      </c>
      <c r="C23" s="4" t="s">
        <v>52</v>
      </c>
      <c r="D23" s="24">
        <v>1</v>
      </c>
      <c r="E23" s="24" t="e">
        <f>NA()</f>
        <v>#N/A</v>
      </c>
    </row>
    <row r="24" spans="1:5">
      <c r="A24" s="60" t="s">
        <v>92</v>
      </c>
      <c r="B24" s="4" t="s">
        <v>20</v>
      </c>
      <c r="C24" s="4" t="s">
        <v>53</v>
      </c>
      <c r="D24" s="24">
        <v>0.35</v>
      </c>
      <c r="E24" s="24" t="e">
        <f>D24*E21</f>
        <v>#N/A</v>
      </c>
    </row>
    <row r="25" spans="1:5">
      <c r="A25" s="60" t="s">
        <v>92</v>
      </c>
      <c r="B25" s="4" t="s">
        <v>25</v>
      </c>
      <c r="C25" s="4" t="s">
        <v>53</v>
      </c>
      <c r="D25" s="24">
        <v>3.6299999999999999E-2</v>
      </c>
      <c r="E25" s="24" t="e">
        <f>D25*E23</f>
        <v>#N/A</v>
      </c>
    </row>
    <row r="26" spans="1:5">
      <c r="A26" s="60" t="s">
        <v>93</v>
      </c>
      <c r="B26" s="4" t="s">
        <v>94</v>
      </c>
      <c r="C26" s="4" t="s">
        <v>52</v>
      </c>
      <c r="D26" s="24">
        <v>1</v>
      </c>
      <c r="E26" s="24">
        <v>1.2</v>
      </c>
    </row>
    <row r="27" spans="1:5">
      <c r="A27" s="60" t="s">
        <v>93</v>
      </c>
      <c r="B27" s="4" t="s">
        <v>20</v>
      </c>
      <c r="C27" s="4" t="s">
        <v>53</v>
      </c>
      <c r="D27" s="24">
        <v>0.5</v>
      </c>
      <c r="E27" s="24" t="e">
        <f>NA()</f>
        <v>#N/A</v>
      </c>
    </row>
    <row r="28" spans="1:5">
      <c r="A28" s="60" t="s">
        <v>93</v>
      </c>
      <c r="B28" s="4" t="s">
        <v>25</v>
      </c>
      <c r="C28" s="4" t="s">
        <v>53</v>
      </c>
      <c r="D28" s="24">
        <v>1E-3</v>
      </c>
      <c r="E28" s="24" t="e">
        <f>NA()</f>
        <v>#N/A</v>
      </c>
    </row>
    <row r="29" spans="1:5">
      <c r="A29" s="60" t="s">
        <v>96</v>
      </c>
      <c r="B29" s="4" t="s">
        <v>95</v>
      </c>
      <c r="C29" s="4" t="s">
        <v>52</v>
      </c>
      <c r="D29" s="24">
        <v>1</v>
      </c>
      <c r="E29" s="24">
        <v>1.2</v>
      </c>
    </row>
    <row r="30" spans="1:5">
      <c r="A30" s="60" t="s">
        <v>96</v>
      </c>
      <c r="B30" s="4" t="s">
        <v>20</v>
      </c>
      <c r="C30" s="4" t="s">
        <v>53</v>
      </c>
      <c r="D30" s="61">
        <v>0.63</v>
      </c>
      <c r="E30" s="24" t="e">
        <f>NA()</f>
        <v>#N/A</v>
      </c>
    </row>
    <row r="31" spans="1:5">
      <c r="A31" s="60" t="s">
        <v>96</v>
      </c>
      <c r="B31" s="4" t="s">
        <v>25</v>
      </c>
      <c r="C31" s="4" t="s">
        <v>53</v>
      </c>
      <c r="D31" s="48">
        <v>0.01</v>
      </c>
      <c r="E31" s="24">
        <f>D31*E29</f>
        <v>1.2E-2</v>
      </c>
    </row>
  </sheetData>
  <autoFilter ref="A1:E1" xr:uid="{00000000-0009-0000-0000-000004000000}"/>
  <conditionalFormatting sqref="A2:C19 E2:XFD19 A30:C31 E30:E31">
    <cfRule type="expression" dxfId="6" priority="5">
      <formula>NOT(EXACT(INDIRECT("Z"&amp;ROW()-1&amp;"S1",FALSE()), INDIRECT("Z"&amp;ROW()&amp;"S1",FALSE())))</formula>
    </cfRule>
  </conditionalFormatting>
  <conditionalFormatting sqref="A29:E29">
    <cfRule type="expression" dxfId="5" priority="1">
      <formula>NOT(EXACT(INDIRECT("Z"&amp;ROW()-1&amp;"S1",FALSE()), INDIRECT("Z"&amp;ROW()&amp;"S1",FALSE())))</formula>
    </cfRule>
  </conditionalFormatting>
  <conditionalFormatting sqref="A1:XFD1">
    <cfRule type="expression" dxfId="4" priority="20">
      <formula>NOT(EXACT(INDIRECT("Z"&amp;ROW()-1&amp;"S1",FALSE()), INDIRECT("Z"&amp;ROW()&amp;"S1",FALSE())))</formula>
    </cfRule>
  </conditionalFormatting>
  <conditionalFormatting sqref="A20:XFD25 A26 C26:XFD26 A27:XFD28 F29:XFD31 A32:XFD1048576">
    <cfRule type="expression" dxfId="3" priority="6">
      <formula>NOT(EXACT(INDIRECT("Z"&amp;ROW()-1&amp;"S1",FALSE()), INDIRECT("Z"&amp;ROW()&amp;"S1",FALSE())))</formula>
    </cfRule>
  </conditionalFormatting>
  <conditionalFormatting sqref="D2 D4:D5 D8:D13 D15:D19">
    <cfRule type="expression" dxfId="2" priority="13">
      <formula>NOT(EXACT(INDIRECT("Z"&amp;ROW()-1&amp;"S1",FALSE()), INDIRECT("Z"&amp;ROW()&amp;"S1",FALSE())))</formula>
    </cfRule>
  </conditionalFormatting>
  <conditionalFormatting sqref="D4">
    <cfRule type="dataBar" priority="15">
      <dataBar>
        <cfvo type="num" val="0"/>
        <cfvo type="num" val="2"/>
        <color rgb="FF638EC6"/>
      </dataBar>
    </cfRule>
  </conditionalFormatting>
  <conditionalFormatting sqref="D4:D5 D8:D13 D15:D19 D2">
    <cfRule type="dataBar" priority="19">
      <dataBar>
        <cfvo type="num" val="0"/>
        <cfvo type="num" val="2"/>
        <color rgb="FF638EC6"/>
      </dataBar>
    </cfRule>
  </conditionalFormatting>
  <conditionalFormatting sqref="D8:D10 D5 D2 E2:E7">
    <cfRule type="dataBar" priority="18">
      <dataBar>
        <cfvo type="num" val="0"/>
        <cfvo type="num" val="2"/>
        <color rgb="FF638EC6"/>
      </dataBar>
    </cfRule>
  </conditionalFormatting>
  <conditionalFormatting sqref="D15 D13">
    <cfRule type="dataBar" priority="14">
      <dataBar>
        <cfvo type="num" val="0"/>
        <cfvo type="num" val="2"/>
        <color rgb="FF638EC6"/>
      </dataBar>
    </cfRule>
  </conditionalFormatting>
  <conditionalFormatting sqref="D15">
    <cfRule type="dataBar" priority="12">
      <dataBar>
        <cfvo type="num" val="0"/>
        <cfvo type="num" val="2"/>
        <color rgb="FF638EC6"/>
      </dataBar>
    </cfRule>
  </conditionalFormatting>
  <conditionalFormatting sqref="D16:D17">
    <cfRule type="dataBar" priority="17">
      <dataBar>
        <cfvo type="num" val="0"/>
        <cfvo type="num" val="2"/>
        <color rgb="FF638EC6"/>
      </dataBar>
    </cfRule>
  </conditionalFormatting>
  <conditionalFormatting sqref="D18:D19">
    <cfRule type="dataBar" priority="16">
      <dataBar>
        <cfvo type="num" val="0"/>
        <cfvo type="num" val="2"/>
        <color rgb="FF638EC6"/>
      </dataBar>
    </cfRule>
  </conditionalFormatting>
  <conditionalFormatting sqref="D29">
    <cfRule type="dataBar" priority="4">
      <dataBar>
        <cfvo type="num" val="0"/>
        <cfvo type="num" val="2"/>
        <color rgb="FF638EC6"/>
      </dataBar>
      <extLst>
        <ext xmlns:x14="http://schemas.microsoft.com/office/spreadsheetml/2009/9/main" uri="{B025F937-C7B1-47D3-B67F-A62EFF666E3E}">
          <x14:id>{4A758992-EB2C-4F27-8777-FE76B0D877EB}</x14:id>
        </ext>
      </extLst>
    </cfRule>
  </conditionalFormatting>
  <conditionalFormatting sqref="D1:E1 D32:E1048576">
    <cfRule type="dataBar" priority="50">
      <dataBar>
        <cfvo type="num" val="0"/>
        <cfvo type="num" val="2"/>
        <color rgb="FF638EC6"/>
      </dataBar>
    </cfRule>
  </conditionalFormatting>
  <conditionalFormatting sqref="D20:E28">
    <cfRule type="dataBar" priority="7">
      <dataBar>
        <cfvo type="num" val="0"/>
        <cfvo type="num" val="2"/>
        <color rgb="FF638EC6"/>
      </dataBar>
    </cfRule>
    <cfRule type="dataBar" priority="8">
      <dataBar>
        <cfvo type="num" val="0"/>
        <cfvo type="num" val="2"/>
        <color rgb="FF638EC6"/>
      </dataBar>
    </cfRule>
  </conditionalFormatting>
  <conditionalFormatting sqref="D29:E29 E30:E31">
    <cfRule type="dataBar" priority="3">
      <dataBar>
        <cfvo type="num" val="0"/>
        <cfvo type="num" val="2"/>
        <color rgb="FF638EC6"/>
      </dataBar>
      <extLst>
        <ext xmlns:x14="http://schemas.microsoft.com/office/spreadsheetml/2009/9/main" uri="{B025F937-C7B1-47D3-B67F-A62EFF666E3E}">
          <x14:id>{AD1A05F7-3D3A-4C88-A34C-CD662DCF98F2}</x14:id>
        </ext>
      </extLst>
    </cfRule>
  </conditionalFormatting>
  <conditionalFormatting sqref="E8:E10">
    <cfRule type="dataBar" priority="25">
      <dataBar>
        <cfvo type="num" val="0"/>
        <cfvo type="num" val="2"/>
        <color rgb="FF638EC6"/>
      </dataBar>
    </cfRule>
  </conditionalFormatting>
  <conditionalFormatting sqref="E11:E12">
    <cfRule type="dataBar" priority="28">
      <dataBar>
        <cfvo type="num" val="0"/>
        <cfvo type="num" val="2"/>
        <color rgb="FF638EC6"/>
      </dataBar>
    </cfRule>
  </conditionalFormatting>
  <conditionalFormatting sqref="E13:E15">
    <cfRule type="dataBar" priority="23">
      <dataBar>
        <cfvo type="num" val="0"/>
        <cfvo type="num" val="2"/>
        <color rgb="FF638EC6"/>
      </dataBar>
    </cfRule>
  </conditionalFormatting>
  <conditionalFormatting sqref="E16:E17">
    <cfRule type="dataBar" priority="22">
      <dataBar>
        <cfvo type="num" val="0"/>
        <cfvo type="num" val="2"/>
        <color rgb="FF638EC6"/>
      </dataBar>
    </cfRule>
  </conditionalFormatting>
  <conditionalFormatting sqref="E18:E19">
    <cfRule type="dataBar" priority="21">
      <dataBar>
        <cfvo type="num" val="0"/>
        <cfvo type="num" val="2"/>
        <color rgb="FF638EC6"/>
      </dataBar>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4A758992-EB2C-4F27-8777-FE76B0D877EB}">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AD1A05F7-3D3A-4C88-A34C-CD662DCF98F2}">
            <x14:dataBar minLength="0" maxLength="100" gradient="0">
              <x14:cfvo type="num">
                <xm:f>0</xm:f>
              </x14:cfvo>
              <x14:cfvo type="num">
                <xm:f>2</xm:f>
              </x14:cfvo>
              <x14:negativeFillColor rgb="FFFF0000"/>
              <x14:axisColor rgb="FF000000"/>
            </x14:dataBar>
          </x14:cfRule>
          <xm:sqref>D29:E29 E30:E31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G2" sqref="A2:XFD7"/>
    </sheetView>
  </sheetViews>
  <sheetFormatPr baseColWidth="10" defaultColWidth="11.5546875" defaultRowHeight="14.4"/>
  <cols>
    <col min="1" max="2" width="10.6640625" customWidth="1"/>
    <col min="3" max="3" width="14.88671875" bestFit="1" customWidth="1"/>
    <col min="4" max="4" width="13.5546875" bestFit="1" customWidth="1"/>
    <col min="5" max="5" width="10.6640625" style="21" customWidth="1"/>
    <col min="6" max="6" width="11.6640625" style="20" bestFit="1" customWidth="1"/>
    <col min="7" max="7" width="10.6640625" style="20" customWidth="1"/>
    <col min="8" max="8" width="10.6640625" style="23" customWidth="1"/>
    <col min="9" max="11" width="10.6640625" style="20" customWidth="1"/>
    <col min="12" max="12" width="14.88671875" style="23" bestFit="1" customWidth="1"/>
    <col min="13" max="13" width="12.109375" bestFit="1" customWidth="1"/>
    <col min="14" max="14" width="10.88671875" bestFit="1" customWidth="1"/>
    <col min="15" max="15" width="15.44140625" bestFit="1" customWidth="1"/>
  </cols>
  <sheetData>
    <row r="1" spans="1:15">
      <c r="A1" t="s">
        <v>54</v>
      </c>
      <c r="B1" t="s">
        <v>55</v>
      </c>
      <c r="C1" t="s">
        <v>56</v>
      </c>
      <c r="D1" t="s">
        <v>13</v>
      </c>
      <c r="E1" s="18" t="s">
        <v>57</v>
      </c>
      <c r="F1" s="17" t="s">
        <v>35</v>
      </c>
      <c r="G1" s="17" t="s">
        <v>36</v>
      </c>
      <c r="H1" s="16" t="s">
        <v>37</v>
      </c>
      <c r="I1" s="17" t="s">
        <v>31</v>
      </c>
      <c r="J1" s="17" t="s">
        <v>32</v>
      </c>
      <c r="K1" s="16" t="s">
        <v>39</v>
      </c>
      <c r="L1" s="16" t="s">
        <v>40</v>
      </c>
      <c r="M1" s="16" t="s">
        <v>58</v>
      </c>
      <c r="N1" s="16" t="s">
        <v>59</v>
      </c>
      <c r="O1" s="16" t="s">
        <v>60</v>
      </c>
    </row>
  </sheetData>
  <autoFilter ref="A1:L1" xr:uid="{00000000-0009-0000-0000-000005000000}"/>
  <conditionalFormatting sqref="K1">
    <cfRule type="expression" dxfId="1"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4" sqref="A4"/>
    </sheetView>
  </sheetViews>
  <sheetFormatPr baseColWidth="10" defaultColWidth="11.44140625" defaultRowHeight="14.4"/>
  <cols>
    <col min="1" max="1" width="10.6640625" style="3" customWidth="1"/>
    <col min="2" max="2" width="13.109375" style="3" customWidth="1"/>
    <col min="3" max="3" width="13.5546875" style="3" bestFit="1" customWidth="1"/>
    <col min="4" max="4" width="10.5546875" style="20" bestFit="1" customWidth="1"/>
    <col min="5" max="5" width="11.109375" style="20" bestFit="1" customWidth="1"/>
    <col min="6" max="6" width="10.88671875" style="20" bestFit="1" customWidth="1"/>
    <col min="7" max="7" width="11.44140625" style="20" bestFit="1" customWidth="1"/>
    <col min="8" max="9" width="10.6640625" style="23" customWidth="1"/>
    <col min="10" max="10" width="12.44140625" style="20" bestFit="1" customWidth="1"/>
    <col min="11" max="11" width="12.109375" style="23" bestFit="1" customWidth="1"/>
    <col min="12" max="12" width="12" style="20" bestFit="1" customWidth="1"/>
    <col min="13" max="13" width="11.6640625" style="23" bestFit="1" customWidth="1"/>
    <col min="14" max="14" width="12.44140625" style="23" bestFit="1" customWidth="1"/>
    <col min="15" max="16" width="12.109375" style="23" customWidth="1"/>
    <col min="17" max="17" width="14.88671875" style="23" bestFit="1" customWidth="1"/>
    <col min="18" max="18" width="10.6640625" style="23" customWidth="1"/>
    <col min="19" max="19" width="12.109375" style="23" bestFit="1" customWidth="1"/>
    <col min="20" max="20" width="11.44140625" style="3" customWidth="1"/>
    <col min="21" max="16384" width="11.44140625" style="3"/>
  </cols>
  <sheetData>
    <row r="1" spans="1:20">
      <c r="A1" s="3" t="s">
        <v>12</v>
      </c>
      <c r="B1" s="3" t="s">
        <v>61</v>
      </c>
      <c r="C1" s="3" t="s">
        <v>13</v>
      </c>
      <c r="D1" s="17" t="s">
        <v>62</v>
      </c>
      <c r="E1" s="17" t="s">
        <v>63</v>
      </c>
      <c r="F1" s="17" t="s">
        <v>64</v>
      </c>
      <c r="G1" s="17" t="s">
        <v>65</v>
      </c>
      <c r="H1" s="16" t="s">
        <v>66</v>
      </c>
      <c r="I1" s="16" t="s">
        <v>67</v>
      </c>
      <c r="J1" s="17" t="s">
        <v>68</v>
      </c>
      <c r="K1" s="16" t="s">
        <v>69</v>
      </c>
      <c r="L1" s="17" t="s">
        <v>70</v>
      </c>
      <c r="M1" s="16" t="s">
        <v>71</v>
      </c>
      <c r="N1" s="16" t="s">
        <v>72</v>
      </c>
      <c r="O1" s="16" t="s">
        <v>73</v>
      </c>
      <c r="P1" s="16" t="s">
        <v>39</v>
      </c>
      <c r="Q1" s="16" t="s">
        <v>40</v>
      </c>
      <c r="R1" s="16" t="s">
        <v>74</v>
      </c>
      <c r="S1" s="16" t="s">
        <v>75</v>
      </c>
      <c r="T1" s="36" t="s">
        <v>76</v>
      </c>
    </row>
    <row r="2" spans="1:20">
      <c r="A2" s="39" t="s">
        <v>11</v>
      </c>
      <c r="B2" s="39" t="s">
        <v>77</v>
      </c>
      <c r="C2" s="39" t="s">
        <v>20</v>
      </c>
      <c r="D2" s="40">
        <v>0</v>
      </c>
      <c r="E2" s="40" t="s">
        <v>24</v>
      </c>
      <c r="F2" s="40">
        <v>0</v>
      </c>
      <c r="G2" s="40" t="s">
        <v>24</v>
      </c>
      <c r="H2" s="41">
        <v>0.69</v>
      </c>
      <c r="I2" s="42">
        <v>0.3</v>
      </c>
      <c r="J2" s="41">
        <v>366000</v>
      </c>
      <c r="K2" s="25">
        <v>0</v>
      </c>
      <c r="L2" s="41">
        <v>11000</v>
      </c>
      <c r="M2" s="25">
        <v>0</v>
      </c>
      <c r="N2" s="25">
        <v>0</v>
      </c>
      <c r="O2" s="25">
        <v>0</v>
      </c>
      <c r="P2" s="43">
        <v>7.2999999999999995E-2</v>
      </c>
      <c r="Q2" s="41">
        <v>25</v>
      </c>
      <c r="R2" s="25">
        <v>0.5</v>
      </c>
      <c r="S2" s="44">
        <v>3.4999999999999999E-6</v>
      </c>
      <c r="T2" s="25"/>
    </row>
    <row r="3" spans="1:20">
      <c r="A3" s="39" t="s">
        <v>11</v>
      </c>
      <c r="B3" s="39" t="s">
        <v>78</v>
      </c>
      <c r="C3" s="39" t="s">
        <v>20</v>
      </c>
      <c r="D3" s="40">
        <v>0</v>
      </c>
      <c r="E3" s="40" t="s">
        <v>24</v>
      </c>
      <c r="F3" s="40">
        <v>0</v>
      </c>
      <c r="G3" s="40" t="s">
        <v>24</v>
      </c>
      <c r="H3" s="45">
        <v>0.9</v>
      </c>
      <c r="I3" s="45">
        <v>0.9</v>
      </c>
      <c r="J3" s="41">
        <v>4412341</v>
      </c>
      <c r="K3" s="41">
        <v>0</v>
      </c>
      <c r="L3" s="41">
        <v>34383</v>
      </c>
      <c r="M3" s="41">
        <f>0.05*K3</f>
        <v>0</v>
      </c>
      <c r="N3" s="41">
        <v>8.1999999999999993</v>
      </c>
      <c r="O3" s="25">
        <v>0</v>
      </c>
      <c r="P3" s="43">
        <v>7.2999999999999995E-2</v>
      </c>
      <c r="Q3" s="41">
        <v>25</v>
      </c>
      <c r="R3" s="25">
        <v>0.5</v>
      </c>
      <c r="S3" s="46">
        <v>0</v>
      </c>
      <c r="T3" s="25"/>
    </row>
    <row r="4" spans="1:20">
      <c r="A4" s="39" t="s">
        <v>11</v>
      </c>
      <c r="B4" s="47" t="s">
        <v>79</v>
      </c>
      <c r="C4" s="39" t="s">
        <v>20</v>
      </c>
      <c r="D4" s="40">
        <v>0</v>
      </c>
      <c r="E4" s="40" t="s">
        <v>24</v>
      </c>
      <c r="F4" s="40">
        <v>0</v>
      </c>
      <c r="G4" s="40" t="s">
        <v>24</v>
      </c>
      <c r="H4" s="48">
        <v>0.86</v>
      </c>
      <c r="I4" s="48">
        <v>0.86</v>
      </c>
      <c r="J4" s="41">
        <v>0</v>
      </c>
      <c r="K4" s="41">
        <v>520000</v>
      </c>
      <c r="L4" s="41">
        <v>0</v>
      </c>
      <c r="M4" s="41">
        <v>5000</v>
      </c>
      <c r="N4" s="41">
        <v>0.4</v>
      </c>
      <c r="O4" s="41">
        <v>0</v>
      </c>
      <c r="P4" s="41">
        <v>7.2999999999999995E-2</v>
      </c>
      <c r="Q4" s="41">
        <v>25</v>
      </c>
      <c r="R4" s="41">
        <v>0.5</v>
      </c>
      <c r="S4" s="41">
        <v>0</v>
      </c>
      <c r="T4" s="25"/>
    </row>
    <row r="5" spans="1:20">
      <c r="E5" s="37"/>
    </row>
  </sheetData>
  <autoFilter ref="A1:R1" xr:uid="{00000000-0009-0000-0000-000006000000}"/>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2"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12</v>
      </c>
      <c r="B1" s="3" t="s">
        <v>13</v>
      </c>
      <c r="C1" s="17" t="s">
        <v>80</v>
      </c>
      <c r="D1" s="34" t="s">
        <v>57</v>
      </c>
      <c r="E1" s="17" t="s">
        <v>81</v>
      </c>
      <c r="F1" s="17" t="s">
        <v>82</v>
      </c>
      <c r="G1" s="17" t="s">
        <v>83</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D13" sqref="D13"/>
    </sheetView>
  </sheetViews>
  <sheetFormatPr baseColWidth="10" defaultColWidth="11.44140625" defaultRowHeight="14.4"/>
  <cols>
    <col min="1" max="1" width="11.44140625" style="2" customWidth="1"/>
    <col min="2" max="2" width="12.6640625" style="2" bestFit="1" customWidth="1"/>
    <col min="3" max="3" width="11.44140625" style="2" customWidth="1"/>
    <col min="4" max="16384" width="11.44140625" style="2"/>
  </cols>
  <sheetData>
    <row r="1" spans="1:2">
      <c r="A1" s="1" t="s">
        <v>84</v>
      </c>
      <c r="B1" s="6" t="s">
        <v>85</v>
      </c>
    </row>
    <row r="2" spans="1:2">
      <c r="A2" s="5">
        <v>0</v>
      </c>
      <c r="B2" s="26">
        <v>0</v>
      </c>
    </row>
    <row r="3" spans="1:2">
      <c r="A3" s="5">
        <v>1</v>
      </c>
      <c r="B3" s="64">
        <v>565916667</v>
      </c>
    </row>
    <row r="4" spans="1:2">
      <c r="A4" s="2">
        <v>2</v>
      </c>
      <c r="B4" s="64">
        <v>565916667</v>
      </c>
    </row>
    <row r="5" spans="1:2">
      <c r="A5" s="2">
        <v>3</v>
      </c>
      <c r="B5" s="64">
        <v>565916667</v>
      </c>
    </row>
    <row r="6" spans="1:2">
      <c r="A6" s="2">
        <v>4</v>
      </c>
      <c r="B6" s="64">
        <v>565916667</v>
      </c>
    </row>
    <row r="7" spans="1:2">
      <c r="A7" s="2">
        <v>5</v>
      </c>
      <c r="B7" s="64">
        <v>565916667</v>
      </c>
    </row>
    <row r="8" spans="1:2">
      <c r="A8" s="2">
        <v>6</v>
      </c>
      <c r="B8" s="64">
        <v>565916667</v>
      </c>
    </row>
    <row r="9" spans="1:2">
      <c r="A9" s="2">
        <v>7</v>
      </c>
      <c r="B9" s="64">
        <v>565916667</v>
      </c>
    </row>
    <row r="10" spans="1:2">
      <c r="A10" s="2">
        <v>8</v>
      </c>
      <c r="B10" s="64">
        <v>565916667</v>
      </c>
    </row>
    <row r="11" spans="1:2">
      <c r="A11" s="2">
        <v>9</v>
      </c>
      <c r="B11" s="64">
        <v>565916667</v>
      </c>
    </row>
    <row r="12" spans="1:2">
      <c r="A12" s="2">
        <v>10</v>
      </c>
      <c r="B12" s="64">
        <v>565916667</v>
      </c>
    </row>
    <row r="13" spans="1:2">
      <c r="A13" s="2">
        <v>11</v>
      </c>
      <c r="B13" s="64">
        <v>565916667</v>
      </c>
    </row>
    <row r="14" spans="1:2">
      <c r="A14" s="2">
        <v>12</v>
      </c>
      <c r="B14" s="64">
        <v>565916667</v>
      </c>
    </row>
  </sheetData>
  <dataValidations xWindow="149" yWindow="264"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E25" sqref="E25"/>
    </sheetView>
  </sheetViews>
  <sheetFormatPr baseColWidth="10" defaultColWidth="11.44140625" defaultRowHeight="14.4"/>
  <cols>
    <col min="1" max="1" width="11.44140625" style="2" customWidth="1"/>
    <col min="2" max="16384" width="11.44140625" style="2"/>
  </cols>
  <sheetData>
    <row r="1" spans="1:2" s="15" customFormat="1">
      <c r="A1" s="13" t="s">
        <v>84</v>
      </c>
      <c r="B1" s="14" t="s">
        <v>86</v>
      </c>
    </row>
    <row r="2" spans="1:2">
      <c r="A2" s="5">
        <v>0</v>
      </c>
      <c r="B2" s="27">
        <v>0</v>
      </c>
    </row>
    <row r="3" spans="1:2">
      <c r="A3" s="5">
        <v>1</v>
      </c>
      <c r="B3" s="62">
        <v>0.20699999999999999</v>
      </c>
    </row>
    <row r="4" spans="1:2">
      <c r="A4" s="5">
        <v>2</v>
      </c>
      <c r="B4" s="62">
        <v>0.20699999999999999</v>
      </c>
    </row>
    <row r="5" spans="1:2">
      <c r="A5" s="5">
        <v>3</v>
      </c>
      <c r="B5" s="62">
        <v>0.20699999999999999</v>
      </c>
    </row>
    <row r="6" spans="1:2">
      <c r="A6" s="5">
        <v>4</v>
      </c>
      <c r="B6" s="62">
        <v>0.20699999999999999</v>
      </c>
    </row>
    <row r="7" spans="1:2">
      <c r="A7" s="5">
        <v>5</v>
      </c>
      <c r="B7" s="62">
        <v>0.20699999999999999</v>
      </c>
    </row>
    <row r="8" spans="1:2">
      <c r="A8" s="5">
        <v>6</v>
      </c>
      <c r="B8" s="62">
        <v>0.20699999999999999</v>
      </c>
    </row>
    <row r="9" spans="1:2">
      <c r="A9" s="5">
        <v>7</v>
      </c>
      <c r="B9" s="62">
        <v>0.20699999999999999</v>
      </c>
    </row>
    <row r="10" spans="1:2">
      <c r="A10" s="5">
        <v>8</v>
      </c>
      <c r="B10" s="62">
        <v>0.20699999999999999</v>
      </c>
    </row>
    <row r="11" spans="1:2">
      <c r="A11" s="5">
        <v>9</v>
      </c>
      <c r="B11" s="62">
        <v>0.20699999999999999</v>
      </c>
    </row>
    <row r="12" spans="1:2">
      <c r="A12" s="5">
        <v>10</v>
      </c>
      <c r="B12" s="62">
        <v>0.20699999999999999</v>
      </c>
    </row>
    <row r="13" spans="1:2">
      <c r="A13" s="5">
        <v>11</v>
      </c>
      <c r="B13" s="62">
        <v>0.20699999999999999</v>
      </c>
    </row>
    <row r="14" spans="1:2">
      <c r="A14" s="5">
        <v>12</v>
      </c>
      <c r="B14" s="62">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 width="11.44140625" style="2" customWidth="1"/>
    <col min="2" max="16384" width="11.44140625" style="2"/>
  </cols>
  <sheetData>
    <row r="1" spans="1:3" s="15" customFormat="1">
      <c r="A1" s="15" t="s">
        <v>84</v>
      </c>
      <c r="B1" s="15" t="s">
        <v>87</v>
      </c>
      <c r="C1" s="15" t="s">
        <v>88</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G4" sqref="G4"/>
    </sheetView>
  </sheetViews>
  <sheetFormatPr baseColWidth="10" defaultColWidth="11.44140625" defaultRowHeight="14.4"/>
  <sheetData>
    <row r="1" spans="1:3">
      <c r="A1" s="1" t="s">
        <v>84</v>
      </c>
      <c r="B1" s="6" t="s">
        <v>89</v>
      </c>
      <c r="C1" s="6" t="s">
        <v>90</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2025-09-16T07:34:11Z</dcterms:modified>
</cp:coreProperties>
</file>