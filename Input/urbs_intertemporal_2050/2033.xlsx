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FDFC0BC5-86DD-4C7D-AFF5-DA12AC43DC90}" xr6:coauthVersionLast="47" xr6:coauthVersionMax="47" xr10:uidLastSave="{00000000-0000-0000-0000-000000000000}"/>
  <bookViews>
    <workbookView xWindow="28680" yWindow="-5445" windowWidth="38640" windowHeight="21120" activeTab="2"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F2" i="3"/>
  <c r="E2" i="3"/>
  <c r="D2" i="3"/>
  <c r="E34" i="5"/>
  <c r="E33" i="5"/>
  <c r="E31" i="5"/>
  <c r="E30" i="5"/>
  <c r="E32" i="5" s="1"/>
  <c r="E28" i="5"/>
  <c r="E27" i="5"/>
  <c r="E29" i="5" s="1"/>
  <c r="E23" i="5"/>
  <c r="E25" i="5" s="1"/>
  <c r="E20" i="5"/>
  <c r="E22" i="5" s="1"/>
  <c r="E19" i="5"/>
  <c r="E21" i="5" s="1"/>
  <c r="E24" i="5" s="1"/>
  <c r="E18" i="5"/>
  <c r="E17" i="5"/>
  <c r="E16" i="5"/>
  <c r="E15" i="5"/>
  <c r="E14" i="5"/>
  <c r="E12" i="5"/>
  <c r="E11" i="5"/>
  <c r="E10" i="5"/>
  <c r="E9" i="5"/>
  <c r="E8" i="5"/>
  <c r="E7" i="5"/>
  <c r="E6" i="5"/>
  <c r="E3" i="5"/>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<sst xmlns="http://schemas.openxmlformats.org/spreadsheetml/2006/main" count="282" uniqueCount="97">
  <si>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</si>
  <si>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</si>
  <si>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</si>
  <si>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</si>
  <si>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</si>
  <si>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</si>
  <si>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</si>
  <si>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</si>
  <si>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</si>
  <si>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</si>
  <si>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</si>
  <si>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</si>
  <si>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</si>
  <si>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</si>
  <si>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</si>
  <si>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</si>
  <si>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</si>
  <si>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</si>
  <si>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</si>
  <si>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</si>
  <si>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</si>
  <si>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</si>
  <si>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</si>
  <si>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</si>
  <si>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</si>
  <si>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</si>
  <si>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</si>
  <si>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</si>
  <si>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</si>
  <si>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</si>
  <si>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</si>
  <si>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</si>
  <si>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</si>
  <si>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</si>
  <si>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</si>
  <si>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</si>
  <si>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</si>
  <si>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</si>
  <si>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</si>
  <si>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</si>
  <si>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</si>
  <si>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</si>
  <si>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</si>
  <si>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</si>
  <si>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</si>
  <si>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</si>
  <si>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</si>
  <si>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</si>
  <si>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</si>
  <si>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</si>
  <si>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</si>
  <si>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</si>
  <si>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</si>
  <si>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</si>
  <si>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</si>
  <si>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</si>
  <si>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</si>
  <si>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</si>
  <si>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</si>
  <si>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</si>
  <si>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</si>
  <si>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</si>
  <si>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</si>
  <si>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</si>
  <si>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</si>
  <si>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</si>
  <si>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</si>
  <si>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</si>
  <si>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</si>
  <si>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</si>
  <si>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</si>
  <si>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</si>
  <si>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</si>
  <si>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</si>
  <si>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</si>
  <si>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</si>
  <si>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</si>
  <si>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</si>
  <si>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</si>
  <si>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</si>
  <si>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</si>
  <si>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</si>
  <si>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</si>
  <si>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</si>
  <si>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</si>
  <si>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</si>
  <si>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</si>
  <si>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</si>
  <si>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</si>
  <si>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</si>
  <si>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Gas</t>
  </si>
  <si>
    <t>Coal Plant CCUS</t>
  </si>
  <si>
    <t>Lignite Plant CCUS</t>
  </si>
  <si>
    <t>Other non-res</t>
  </si>
  <si>
    <t>Slack</t>
  </si>
  <si>
    <t>Oil Plant</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</si>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</sst>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2" fontId="0" fillId="9" borderId="0" xfId="0" applyNumberFormat="1" applyFill="1" applyAlignment="1">
      <alignment horizontal="right" indent="2"/>
    </xf>
    <xf numFmtId="2" fontId="0" fillId="0" borderId="0" xfId="0" applyNumberFormat="1" applyAlignment="1">
      <alignment horizontal="right" indent="2"/>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cellXfs>
  <cellStyles count="1">
    <cellStyle name="Standard" xfId="0" builtinId="0"/>
  </cellStyles>
  <dxfs count="50">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D13" sqref="D13"/>
    </sheetView>
  </sheetViews>
  <sheetFormatPr baseColWidth="10" defaultColWidth="9.109375" defaultRowHeight="14.4" x14ac:dyDescent="0.3"/>
  <sheetData>
    <row r="1" spans="1:3" x14ac:dyDescent="0.3">
      <c r="A1" s="1" t="s">
        <v>0</v>
      </c>
      <c r="B1" s="1" t="s">
        <v>1</v>
      </c>
      <c r="C1" s="1" t="s">
        <v>2</v>
      </c>
    </row>
    <row r="2" spans="1:3" x14ac:dyDescent="0.3">
      <c r="A2" t="s">
        <v>3</v>
      </c>
      <c r="B2">
        <v>2033</v>
      </c>
      <c r="C2" t="s">
        <v>4</v>
      </c>
    </row>
    <row r="3" spans="1:3" x14ac:dyDescent="0.3">
      <c r="A3" t="s">
        <v>5</v>
      </c>
      <c r="B3" s="8">
        <v>223120000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abSelected="1" workbookViewId="0">
      <selection activeCell="I19" sqref="I19"/>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90</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96</v>
      </c>
      <c r="C10" s="10" t="s">
        <v>21</v>
      </c>
      <c r="D10">
        <v>32.04</v>
      </c>
      <c r="E10" s="23" t="s">
        <v>22</v>
      </c>
      <c r="F10" s="24" t="s">
        <v>22</v>
      </c>
    </row>
    <row r="11" spans="1:6" x14ac:dyDescent="0.3">
      <c r="A11" s="10" t="s">
        <v>9</v>
      </c>
      <c r="B11" s="10" t="s">
        <v>94</v>
      </c>
      <c r="C11" s="10" t="s">
        <v>21</v>
      </c>
      <c r="D11">
        <v>32.04</v>
      </c>
      <c r="E11" s="23" t="s">
        <v>22</v>
      </c>
      <c r="F11" s="24" t="s">
        <v>22</v>
      </c>
    </row>
  </sheetData>
  <conditionalFormatting sqref="B8:B11">
    <cfRule type="expression" dxfId="1" priority="1">
      <formula>NOT(EXACT(INDIRECT("Z"&amp;ROW()-1&amp;"S1",FALSE()), INDIRECT("Z"&amp;ROW()&amp;"S1",FALSE())))</formula>
    </cfRule>
  </conditionalFormatting>
  <conditionalFormatting sqref="B2:B11">
    <cfRule type="duplicateValues" dxfId="0" priority="2"/>
  </conditionalFormatting>
  <dataValidations count="3">
    <dataValidation allowBlank="1" showInputMessage="1" showErrorMessage="1" promptTitle="Maximum commodity use per hour" prompt="For stock commodities, this value limits the energy use per hour (MW)._x000a_" sqref="F1" xr:uid="{3DCD227A-A13C-4EE4-9E08-2F4B60DD10F4}"/>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1DC5FE8E-B343-41B7-9A9D-DC2D52C9F14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188ADBF5-763D-4070-B067-92E7BF4C9FD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7" customWidth="1"/>
    <col min="10" max="10" width="16.109375" style="12" bestFit="1" customWidth="1"/>
    <col min="11" max="11" width="10.5546875" style="12" customWidth="1"/>
    <col min="12" max="12" width="14.88671875" style="38" bestFit="1" customWidth="1"/>
    <col min="13" max="13" width="14.88671875" style="12" bestFit="1" customWidth="1"/>
    <col min="14" max="16384" width="11.44140625" style="12"/>
  </cols>
  <sheetData>
    <row r="1" spans="1:13" x14ac:dyDescent="0.3">
      <c r="A1" t="s">
        <v>10</v>
      </c>
      <c r="B1" t="s">
        <v>28</v>
      </c>
      <c r="C1" s="30" t="s">
        <v>29</v>
      </c>
      <c r="D1" s="30" t="s">
        <v>30</v>
      </c>
      <c r="E1" s="30" t="s">
        <v>31</v>
      </c>
      <c r="F1" s="31" t="s">
        <v>32</v>
      </c>
      <c r="G1" s="30" t="s">
        <v>33</v>
      </c>
      <c r="H1" s="30" t="s">
        <v>34</v>
      </c>
      <c r="I1" s="32" t="s">
        <v>35</v>
      </c>
      <c r="J1" s="31" t="s">
        <v>36</v>
      </c>
      <c r="K1" s="33" t="s">
        <v>37</v>
      </c>
      <c r="L1" s="33" t="s">
        <v>38</v>
      </c>
      <c r="M1" s="33" t="s">
        <v>39</v>
      </c>
    </row>
    <row r="2" spans="1:13" x14ac:dyDescent="0.3">
      <c r="A2" s="12" t="s">
        <v>9</v>
      </c>
      <c r="B2" s="12" t="s">
        <v>42</v>
      </c>
      <c r="C2" s="20">
        <v>0</v>
      </c>
      <c r="D2" s="20">
        <v>56122</v>
      </c>
      <c r="E2" s="14" t="s">
        <v>22</v>
      </c>
      <c r="F2" s="15">
        <v>0.5</v>
      </c>
      <c r="G2" s="17">
        <v>1784013.3448000001</v>
      </c>
      <c r="H2" s="34">
        <v>28544.213516799999</v>
      </c>
      <c r="I2" s="26">
        <v>2.7</v>
      </c>
      <c r="J2" s="16">
        <v>0</v>
      </c>
      <c r="K2" s="27">
        <v>7.2999999999999995E-2</v>
      </c>
      <c r="L2" s="16">
        <v>40</v>
      </c>
      <c r="M2" s="19" t="e">
        <v>#N/A</v>
      </c>
    </row>
    <row r="3" spans="1:13" x14ac:dyDescent="0.3">
      <c r="A3" s="12" t="s">
        <v>9</v>
      </c>
      <c r="B3" s="12" t="s">
        <v>89</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5">
        <v>16725.186000000002</v>
      </c>
      <c r="I5">
        <v>2.6</v>
      </c>
      <c r="J5" s="17">
        <v>0</v>
      </c>
      <c r="K5" s="18">
        <v>7.0999999999999994E-2</v>
      </c>
      <c r="L5" s="16">
        <v>25</v>
      </c>
      <c r="M5" s="19" t="e">
        <v>#N/A</v>
      </c>
    </row>
    <row r="6" spans="1:13" x14ac:dyDescent="0.3">
      <c r="A6" s="12" t="s">
        <v>9</v>
      </c>
      <c r="B6" s="12" t="s">
        <v>95</v>
      </c>
      <c r="C6" s="20">
        <v>0</v>
      </c>
      <c r="D6" s="20">
        <v>14578</v>
      </c>
      <c r="E6" s="14" t="s">
        <v>22</v>
      </c>
      <c r="F6" s="12">
        <v>0</v>
      </c>
      <c r="G6">
        <v>5648000</v>
      </c>
      <c r="H6" s="35">
        <v>16725.186000000002</v>
      </c>
      <c r="I6">
        <v>2.6</v>
      </c>
      <c r="J6" s="17">
        <v>0</v>
      </c>
      <c r="K6" s="18">
        <v>7.0999999999999994E-2</v>
      </c>
      <c r="L6" s="16">
        <v>25</v>
      </c>
      <c r="M6" s="19" t="e">
        <v>#N/A</v>
      </c>
    </row>
    <row r="7" spans="1:13" x14ac:dyDescent="0.3">
      <c r="A7" s="12" t="s">
        <v>9</v>
      </c>
      <c r="B7" s="12" t="s">
        <v>91</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92</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4">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6">
        <v>5648000</v>
      </c>
      <c r="H13" s="36">
        <v>0</v>
      </c>
      <c r="I13" s="36">
        <v>53.2</v>
      </c>
      <c r="J13" s="16">
        <v>0</v>
      </c>
      <c r="K13" s="18">
        <v>7.0999999999999994E-2</v>
      </c>
      <c r="L13" s="16">
        <v>25</v>
      </c>
      <c r="M13" s="19" t="e">
        <v>#N/A</v>
      </c>
    </row>
  </sheetData>
  <conditionalFormatting sqref="P2:XFD4">
    <cfRule type="expression" dxfId="18" priority="15">
      <formula>NOT(EXACT(INDIRECT("Z"&amp;ROW()-1&amp;"S1",FALSE()), INDIRECT("Z"&amp;ROW()&amp;"S1",FALSE())))</formula>
    </cfRule>
  </conditionalFormatting>
  <conditionalFormatting sqref="A1:XFD1 A14:F14 L14:XFD14 A15:XFD1048576 N13:XFD13">
    <cfRule type="expression" dxfId="17" priority="17">
      <formula>NOT(EXACT(INDIRECT("Z"&amp;ROW()-1&amp;"S1",FALSE()), INDIRECT("Z"&amp;ROW()&amp;"S1",FALSE())))</formula>
    </cfRule>
  </conditionalFormatting>
  <conditionalFormatting sqref="N12:XFD12">
    <cfRule type="expression" dxfId="16" priority="16">
      <formula>NOT(EXACT(INDIRECT("Z"&amp;ROW()-1&amp;"S1",FALSE()), INDIRECT("Z"&amp;ROW()&amp;"S1",FALSE())))</formula>
    </cfRule>
  </conditionalFormatting>
  <conditionalFormatting sqref="C2:D13 F9:F13 F4:F6">
    <cfRule type="expression" dxfId="15" priority="14">
      <formula>NOT(EXACT(INDIRECT("Z"&amp;ROW()-1&amp;"S1",FALSE()), INDIRECT("Z"&amp;ROW()&amp;"S1",FALSE())))</formula>
    </cfRule>
  </conditionalFormatting>
  <conditionalFormatting sqref="E2:E4 E12:E13">
    <cfRule type="expression" dxfId="14" priority="13">
      <formula>NOT(EXACT(INDIRECT("Z"&amp;ROW()-1&amp;"S1",FALSE()), INDIRECT("Z"&amp;ROW()&amp;"S1",FALSE())))</formula>
    </cfRule>
  </conditionalFormatting>
  <conditionalFormatting sqref="F2">
    <cfRule type="expression" dxfId="13" priority="12">
      <formula>NOT(EXACT(INDIRECT("Z"&amp;ROW()-1&amp;"S1",FALSE()), INDIRECT("Z"&amp;ROW()&amp;"S1",FALSE())))</formula>
    </cfRule>
  </conditionalFormatting>
  <conditionalFormatting sqref="F7">
    <cfRule type="expression" dxfId="12" priority="11">
      <formula>NOT(EXACT(INDIRECT("Z"&amp;ROW()-1&amp;"S1",FALSE()), INDIRECT("Z"&amp;ROW()&amp;"S1",FALSE())))</formula>
    </cfRule>
  </conditionalFormatting>
  <conditionalFormatting sqref="B2:B9">
    <cfRule type="expression" dxfId="11" priority="10">
      <formula>NOT(EXACT(INDIRECT("Z"&amp;ROW()-1&amp;"S1",FALSE()), INDIRECT("Z"&amp;ROW()&amp;"S1",FALSE())))</formula>
    </cfRule>
  </conditionalFormatting>
  <conditionalFormatting sqref="A2:A4">
    <cfRule type="expression" dxfId="10" priority="9">
      <formula>NOT(EXACT(INDIRECT("Z"&amp;ROW()-1&amp;"S1",FALSE()), INDIRECT("Z"&amp;ROW()&amp;"S1",FALSE())))</formula>
    </cfRule>
  </conditionalFormatting>
  <conditionalFormatting sqref="A2:A13">
    <cfRule type="expression" dxfId="9" priority="8">
      <formula>NOT(EXACT(INDIRECT("Z"&amp;ROW()-1&amp;"S1",FALSE()), INDIRECT("Z"&amp;ROW()&amp;"S1",FALSE())))</formula>
    </cfRule>
  </conditionalFormatting>
  <conditionalFormatting sqref="B10">
    <cfRule type="expression" dxfId="8" priority="7">
      <formula>NOT(EXACT(INDIRECT("Z"&amp;ROW()-1&amp;"S1",FALSE()), INDIRECT("Z"&amp;ROW()&amp;"S1",FALSE())))</formula>
    </cfRule>
  </conditionalFormatting>
  <conditionalFormatting sqref="B11:B12">
    <cfRule type="expression" dxfId="7" priority="6">
      <formula>NOT(EXACT(INDIRECT("Z"&amp;ROW()-1&amp;"S1",FALSE()), INDIRECT("Z"&amp;ROW()&amp;"S1",FALSE())))</formula>
    </cfRule>
  </conditionalFormatting>
  <conditionalFormatting sqref="B11:B12">
    <cfRule type="expression" dxfId="6" priority="5">
      <formula>NOT(EXACT(INDIRECT("Z"&amp;ROW()-1&amp;"S1",FALSE()), INDIRECT("Z"&amp;ROW()&amp;"S1",FALSE())))</formula>
    </cfRule>
  </conditionalFormatting>
  <conditionalFormatting sqref="B13">
    <cfRule type="expression" dxfId="5" priority="4">
      <formula>NOT(EXACT(INDIRECT("Z"&amp;ROW()-1&amp;"S1",FALSE()), INDIRECT("Z"&amp;ROW()&amp;"S1",FALSE())))</formula>
    </cfRule>
  </conditionalFormatting>
  <conditionalFormatting sqref="M2">
    <cfRule type="expression" dxfId="4" priority="3">
      <formula>NOT(EXACT(INDIRECT("Z"&amp;ROW()-1&amp;"S1",FALSE()), INDIRECT("Z"&amp;ROW()&amp;"S1",FALSE())))</formula>
    </cfRule>
  </conditionalFormatting>
  <conditionalFormatting sqref="M11:M12">
    <cfRule type="expression" dxfId="3" priority="1">
      <formula>NOT(EXACT(INDIRECT("Z"&amp;ROW()-1&amp;"S1",FALSE()), INDIRECT("Z"&amp;ROW()&amp;"S1",FALSE())))</formula>
    </cfRule>
  </conditionalFormatting>
  <conditionalFormatting sqref="G11:I11">
    <cfRule type="expression" dxfId="2"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7B2FE660-25B9-410E-877C-B7BB48E54BDA}"/>
    <dataValidation allowBlank="1" showInputMessage="1" showErrorMessage="1" promptTitle="Weighted average cost of capital" prompt="Percentage (%) of costs for capital after taxes. Used to calculate annuity factor for investment costs." sqref="K1" xr:uid="{6D793435-FCF9-44AA-95B7-3F66BBD9FAFA}"/>
    <dataValidation allowBlank="1" showInputMessage="1" showErrorMessage="1" promptTitle="Area use per capacity (m^2/MW) " prompt="If a process requires area set value here. If no area use is to be considered set NV(). " sqref="M1" xr:uid="{A1568043-52E5-46F4-87E4-F544DC6CDC3C}"/>
    <dataValidation allowBlank="1" showInputMessage="1" showErrorMessage="1" promptTitle="Minimum load fraction" prompt="This value sets the minimum possible fraction of the process capacity which the process can run at." sqref="F1" xr:uid="{3BC785A3-5AE1-4458-ADD8-EF6CC72C5E28}"/>
    <dataValidation allowBlank="1" showInputMessage="1" showErrorMessage="1" promptTitle="Maximal power gradient (1/h)" prompt="Maximum allowed power gradient relative to power throughput capacity. Set value to inf or greater than 1/dt to disable it." sqref="E1" xr:uid="{EFD3B030-E059-4922-9820-3687F1508028}"/>
    <dataValidation allowBlank="1" showInputMessage="1" showErrorMessage="1" promptTitle="Depreciation period (a)" prompt="Economic lifetime (more conservative than technical lifetime) of a process investment in years (a). Used to calculate annuity factor for investment costs." sqref="L1" xr:uid="{4E635E98-0D27-4627-BA54-34DA103FA3B5}"/>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9AEC6C7F-0F15-4429-80E3-DE00149E87E5}"/>
    <dataValidation allowBlank="1" showInputMessage="1" showErrorMessage="1" promptTitle="Annual fix cost (€/MW/a)" prompt="Operation independent costs for existing and new capacities per MW throughput power." sqref="H1" xr:uid="{EFE77FED-219F-4855-9F71-AB14026247F6}"/>
    <dataValidation allowBlank="1" showInputMessage="1" showErrorMessage="1" promptTitle="Investment cost (€/MW)" prompt="Total investement cost for adding capacity. Is annualized in the model using the annuity factor derived from 'wacc' and 'depreciation'." sqref="G1" xr:uid="{CD743FDE-F796-482E-9A73-D011787B9B08}"/>
    <dataValidation allowBlank="1" showInputMessage="1" showErrorMessage="1" promptTitle="Maximum capacity (MW)" prompt="Maximum allowed power throughput capacity per process. Must be bigger than or equal to max('cap-lo', 'inst-cap')." sqref="D1" xr:uid="{08E9BAE9-581B-407F-B75F-529E4D0FB860}"/>
    <dataValidation allowBlank="1" showInputMessage="1" showErrorMessage="1" promptTitle="Minimum capacity (MW)" prompt="Minimum required power throughput capacity that is allowed per process. Must be smaller or equal to 'cap-up', but can be bigger than 'inst-cap' to force investment." sqref="C1" xr:uid="{02F6A4F9-C545-4104-B092-CD4DCCE7A422}"/>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election sqref="A1:XFD1048576"/>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29" customWidth="1"/>
    <col min="5" max="5" width="18.5546875" style="29" customWidth="1"/>
    <col min="6" max="16384" width="11.44140625" style="12"/>
  </cols>
  <sheetData>
    <row r="1" spans="1:5" x14ac:dyDescent="0.3">
      <c r="A1" t="s">
        <v>28</v>
      </c>
      <c r="B1" t="s">
        <v>11</v>
      </c>
      <c r="C1" t="s">
        <v>46</v>
      </c>
      <c r="D1" s="28" t="s">
        <v>47</v>
      </c>
      <c r="E1" s="28" t="s">
        <v>48</v>
      </c>
    </row>
    <row r="2" spans="1:5" x14ac:dyDescent="0.3">
      <c r="A2" s="12" t="s">
        <v>89</v>
      </c>
      <c r="B2" s="10" t="s">
        <v>20</v>
      </c>
      <c r="C2" s="10" t="s">
        <v>49</v>
      </c>
      <c r="D2" s="11">
        <v>1</v>
      </c>
      <c r="E2" s="11">
        <v>2</v>
      </c>
    </row>
    <row r="3" spans="1:5" x14ac:dyDescent="0.3">
      <c r="A3" s="12" t="s">
        <v>89</v>
      </c>
      <c r="B3" s="10" t="s">
        <v>18</v>
      </c>
      <c r="C3" s="10" t="s">
        <v>50</v>
      </c>
      <c r="D3" s="25">
        <v>0.42</v>
      </c>
      <c r="E3" s="11" t="e">
        <f>NA()</f>
        <v>#N/A</v>
      </c>
    </row>
    <row r="4" spans="1:5" x14ac:dyDescent="0.3">
      <c r="A4" s="12" t="s">
        <v>89</v>
      </c>
      <c r="B4" s="10" t="s">
        <v>23</v>
      </c>
      <c r="C4" s="10" t="s">
        <v>50</v>
      </c>
      <c r="D4" s="11">
        <v>0.36299999999999999</v>
      </c>
      <c r="E4" s="11">
        <v>0.8</v>
      </c>
    </row>
    <row r="5" spans="1:5" x14ac:dyDescent="0.3">
      <c r="A5" s="9" t="s">
        <v>43</v>
      </c>
      <c r="B5" s="10" t="s">
        <v>90</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91</v>
      </c>
      <c r="B20" s="10" t="s">
        <v>27</v>
      </c>
      <c r="C20" s="10" t="s">
        <v>49</v>
      </c>
      <c r="D20" s="11">
        <v>1</v>
      </c>
      <c r="E20" s="11" t="e">
        <f>NA()</f>
        <v>#N/A</v>
      </c>
    </row>
    <row r="21" spans="1:5" x14ac:dyDescent="0.3">
      <c r="A21" s="12" t="s">
        <v>91</v>
      </c>
      <c r="B21" s="10" t="s">
        <v>18</v>
      </c>
      <c r="C21" s="10" t="s">
        <v>50</v>
      </c>
      <c r="D21" s="11">
        <v>3.6999999999999998E-2</v>
      </c>
      <c r="E21" s="11" t="e">
        <f>D21*E19</f>
        <v>#N/A</v>
      </c>
    </row>
    <row r="22" spans="1:5" x14ac:dyDescent="0.3">
      <c r="A22" s="12" t="s">
        <v>91</v>
      </c>
      <c r="B22" s="10" t="s">
        <v>23</v>
      </c>
      <c r="C22" s="10" t="s">
        <v>50</v>
      </c>
      <c r="D22" s="11">
        <v>3.4180000000000002E-2</v>
      </c>
      <c r="E22" s="11" t="e">
        <f>D22*E20</f>
        <v>#N/A</v>
      </c>
    </row>
    <row r="23" spans="1:5" x14ac:dyDescent="0.3">
      <c r="A23" s="12" t="s">
        <v>92</v>
      </c>
      <c r="B23" s="10" t="s">
        <v>27</v>
      </c>
      <c r="C23" s="10" t="s">
        <v>49</v>
      </c>
      <c r="D23" s="11">
        <v>1</v>
      </c>
      <c r="E23" s="11" t="e">
        <f>NA()</f>
        <v>#N/A</v>
      </c>
    </row>
    <row r="24" spans="1:5" x14ac:dyDescent="0.3">
      <c r="A24" s="12" t="s">
        <v>92</v>
      </c>
      <c r="B24" s="10" t="s">
        <v>18</v>
      </c>
      <c r="C24" s="10" t="s">
        <v>50</v>
      </c>
      <c r="D24" s="11">
        <v>0.33</v>
      </c>
      <c r="E24" s="11" t="e">
        <f>D24*E21</f>
        <v>#N/A</v>
      </c>
    </row>
    <row r="25" spans="1:5" x14ac:dyDescent="0.3">
      <c r="A25" s="12" t="s">
        <v>92</v>
      </c>
      <c r="B25" s="10" t="s">
        <v>23</v>
      </c>
      <c r="C25" s="10" t="s">
        <v>50</v>
      </c>
      <c r="D25" s="11">
        <v>3.6299999999999999E-2</v>
      </c>
      <c r="E25" s="11" t="e">
        <f>D25*E23</f>
        <v>#N/A</v>
      </c>
    </row>
    <row r="26" spans="1:5" x14ac:dyDescent="0.3">
      <c r="A26" s="9" t="s">
        <v>88</v>
      </c>
      <c r="B26" s="10" t="s">
        <v>90</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94</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95</v>
      </c>
      <c r="B32" s="10" t="s">
        <v>96</v>
      </c>
      <c r="C32" s="10" t="s">
        <v>49</v>
      </c>
      <c r="D32" s="11">
        <v>1</v>
      </c>
      <c r="E32" s="11" t="e">
        <f>D32*E30</f>
        <v>#N/A</v>
      </c>
    </row>
    <row r="33" spans="1:5" x14ac:dyDescent="0.3">
      <c r="A33" s="12" t="s">
        <v>95</v>
      </c>
      <c r="B33" s="10" t="s">
        <v>18</v>
      </c>
      <c r="C33" s="10" t="s">
        <v>50</v>
      </c>
      <c r="D33" s="11">
        <v>0.4</v>
      </c>
      <c r="E33" s="11" t="e">
        <f>NA()</f>
        <v>#N/A</v>
      </c>
    </row>
    <row r="34" spans="1:5" x14ac:dyDescent="0.3">
      <c r="A34" s="12" t="s">
        <v>95</v>
      </c>
      <c r="B34" s="10" t="s">
        <v>23</v>
      </c>
      <c r="C34" s="10" t="s">
        <v>50</v>
      </c>
      <c r="D34" s="11">
        <v>0.26700000000000002</v>
      </c>
      <c r="E34" s="11" t="e">
        <f>NA()</f>
        <v>#N/A</v>
      </c>
    </row>
  </sheetData>
  <conditionalFormatting sqref="F2:XFD19">
    <cfRule type="expression" dxfId="44" priority="49">
      <formula>NOT(EXACT(INDIRECT("Z"&amp;ROW()-1&amp;"S1",FALSE()), INDIRECT("Z"&amp;ROW()&amp;"S1",FALSE())))</formula>
    </cfRule>
  </conditionalFormatting>
  <conditionalFormatting sqref="A1:XFD1">
    <cfRule type="expression" dxfId="43" priority="51">
      <formula>NOT(EXACT(INDIRECT("Z"&amp;ROW()-1&amp;"S1",FALSE()), INDIRECT("Z"&amp;ROW()&amp;"S1",FALSE())))</formula>
    </cfRule>
  </conditionalFormatting>
  <conditionalFormatting sqref="A20:XFD25 F26:XFD26 A27:XFD28 F29:XFD31 A32:XFD32 A66:XFD1048576 F33:XFD65">
    <cfRule type="expression" dxfId="42"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41" priority="43">
      <formula>NOT(EXACT(INDIRECT("Z"&amp;ROW()-1&amp;"S1",FALSE()), INDIRECT("Z"&amp;ROW()&amp;"S1",FALSE())))</formula>
    </cfRule>
  </conditionalFormatting>
  <conditionalFormatting sqref="B21:C25 C26 B27:C27">
    <cfRule type="expression" dxfId="40" priority="40">
      <formula>NOT(EXACT(INDIRECT("Z"&amp;ROW()-1&amp;"S1",FALSE()), INDIRECT("Z"&amp;ROW()&amp;"S1",FALSE())))</formula>
    </cfRule>
  </conditionalFormatting>
  <conditionalFormatting sqref="B20:C20 A26:A28">
    <cfRule type="expression" dxfId="39" priority="41">
      <formula>NOT(EXACT(INDIRECT("Z"&amp;ROW()-1&amp;"S1",FALSE()), INDIRECT("Z"&amp;ROW()&amp;"S1",FALSE())))</formula>
    </cfRule>
  </conditionalFormatting>
  <conditionalFormatting sqref="C5">
    <cfRule type="expression" dxfId="38"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{10E5F641-9000-49D7-9535-EFDA878B88B4}</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{1605EA0E-3A77-42A9-AFF6-CFA822AC0081}</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{712E8E01-426B-4C54-9DAE-F2FCC0D6C4B4}</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{BC41EFB8-34AF-4F39-B2D1-60759C4506AB}</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{4AD5CE95-2F49-446C-95B2-C13EA5696232}</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{4EF63131-4144-4F2B-9ECB-5FA44DD55BC0}</x14:id>
        </ext>
      </extLst>
    </cfRule>
  </conditionalFormatting>
  <conditionalFormatting sqref="E29:E34">
    <cfRule type="expression" dxfId="37" priority="37">
      <formula>NOT(EXACT(INDIRECT("Z"&amp;ROW()-1&amp;"S1",FALSE()), INDIRECT("Z"&amp;ROW()&amp;"S1",FALSE())))</formula>
    </cfRule>
  </conditionalFormatting>
  <conditionalFormatting sqref="B28:C28">
    <cfRule type="expression" dxfId="36" priority="39">
      <formula>NOT(EXACT(INDIRECT("Z"&amp;ROW()-1&amp;"S1",FALSE()), INDIRECT("Z"&amp;ROW()&amp;"S1",FALSE())))</formula>
    </cfRule>
  </conditionalFormatting>
  <conditionalFormatting sqref="A2:A4">
    <cfRule type="expression" dxfId="35" priority="36">
      <formula>NOT(EXACT(INDIRECT("Z"&amp;ROW()-1&amp;"S1",FALSE()), INDIRECT("Z"&amp;ROW()&amp;"S1",FALSE())))</formula>
    </cfRule>
  </conditionalFormatting>
  <conditionalFormatting sqref="A29:A31">
    <cfRule type="expression" dxfId="34" priority="35">
      <formula>NOT(EXACT(INDIRECT("Z"&amp;ROW()-1&amp;"S1",FALSE()), INDIRECT("Z"&amp;ROW()&amp;"S1",FALSE())))</formula>
    </cfRule>
  </conditionalFormatting>
  <conditionalFormatting sqref="A32:A34">
    <cfRule type="expression" dxfId="33" priority="34">
      <formula>NOT(EXACT(INDIRECT("Z"&amp;ROW()-1&amp;"S1",FALSE()), INDIRECT("Z"&amp;ROW()&amp;"S1",FALSE())))</formula>
    </cfRule>
  </conditionalFormatting>
  <conditionalFormatting sqref="C29 B30:C30">
    <cfRule type="expression" dxfId="32"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{5CE00D81-6B62-4DF3-9280-103ED6D2BE63}</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{B0877184-1A62-4BCF-A705-A8F158069F12}</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{F8757D0F-F109-4ABB-91AA-576C0ADE00E6}</x14:id>
        </ext>
      </extLst>
    </cfRule>
  </conditionalFormatting>
  <conditionalFormatting sqref="B31:C31">
    <cfRule type="expression" dxfId="31" priority="29">
      <formula>NOT(EXACT(INDIRECT("Z"&amp;ROW()-1&amp;"S1",FALSE()), INDIRECT("Z"&amp;ROW()&amp;"S1",FALSE())))</formula>
    </cfRule>
  </conditionalFormatting>
  <conditionalFormatting sqref="C32 B33:C33">
    <cfRule type="expression" dxfId="30"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{4D4392A7-F3EA-4316-8BDB-47D0FB7146AE}</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{CCB055D4-51F5-485F-891E-8C419F57EDF9}</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{13DE1501-FC01-4069-B087-3B022E7185D1}</x14:id>
        </ext>
      </extLst>
    </cfRule>
  </conditionalFormatting>
  <conditionalFormatting sqref="B34:C34">
    <cfRule type="expression" dxfId="29" priority="24">
      <formula>NOT(EXACT(INDIRECT("Z"&amp;ROW()-1&amp;"S1",FALSE()), INDIRECT("Z"&amp;ROW()&amp;"S1",FALSE())))</formula>
    </cfRule>
  </conditionalFormatting>
  <conditionalFormatting sqref="A20:A22">
    <cfRule type="expression" dxfId="28" priority="23">
      <formula>NOT(EXACT(INDIRECT("Z"&amp;ROW()-1&amp;"S1",FALSE()), INDIRECT("Z"&amp;ROW()&amp;"S1",FALSE())))</formula>
    </cfRule>
  </conditionalFormatting>
  <conditionalFormatting sqref="A23:A25">
    <cfRule type="expression" dxfId="27" priority="22">
      <formula>NOT(EXACT(INDIRECT("Z"&amp;ROW()-1&amp;"S1",FALSE()), INDIRECT("Z"&amp;ROW()&amp;"S1",FALSE())))</formula>
    </cfRule>
  </conditionalFormatting>
  <conditionalFormatting sqref="D29:D34">
    <cfRule type="expression" dxfId="26"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{499F8D63-1617-49C9-9873-C499CB9EC607}</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{20F4BC0B-D89E-4061-BA45-7FACD6289C0B}</x14:id>
        </ext>
      </extLst>
    </cfRule>
  </conditionalFormatting>
  <conditionalFormatting sqref="E2:E4">
    <cfRule type="expression" dxfId="25" priority="14">
      <formula>NOT(EXACT(INDIRECT("Z"&amp;ROW()-1&amp;"S1",FALSE()), INDIRECT("Z"&amp;ROW()&amp;"S1",FALSE())))</formula>
    </cfRule>
  </conditionalFormatting>
  <conditionalFormatting sqref="D2 D4">
    <cfRule type="expression" dxfId="24"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23" priority="10">
      <formula>NOT(EXACT(INDIRECT("Z"&amp;ROW()-1&amp;"S1",FALSE()), INDIRECT("Z"&amp;ROW()&amp;"S1",FALSE())))</formula>
    </cfRule>
  </conditionalFormatting>
  <conditionalFormatting sqref="D5">
    <cfRule type="expression" dxfId="22"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1" priority="4">
      <formula>NOT(EXACT(INDIRECT("Z"&amp;ROW()-1&amp;"S1",FALSE()), INDIRECT("Z"&amp;ROW()&amp;"S1",FALSE())))</formula>
    </cfRule>
  </conditionalFormatting>
  <conditionalFormatting sqref="D13 D15">
    <cfRule type="expression" dxfId="20"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19"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6BA6214B-F655-4A8E-9D9F-401A105F06D1}"/>
    <dataValidation allowBlank="1" showInputMessage="1" showErrorMessage="1" promptTitle="Ratio at minimum operation point" prompt="Input/Output ratio at point of minimum operation (min-fract in 'Process' sheet)._x000a__x000a_All values have to be larger/equal to ratio!" sqref="E1" xr:uid="{FC097FFC-74D4-4131-BB26-BB7D0D990E7E}"/>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0E5F641-9000-49D7-9535-EFDA878B88B4}">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1605EA0E-3A77-42A9-AFF6-CFA822AC0081}">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712E8E01-426B-4C54-9DAE-F2FCC0D6C4B4}">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BC41EFB8-34AF-4F39-B2D1-60759C4506AB}">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4AD5CE95-2F49-446C-95B2-C13EA5696232}">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4EF63131-4144-4F2B-9ECB-5FA44DD55BC0}">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5CE00D81-6B62-4DF3-9280-103ED6D2BE63}">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B0877184-1A62-4BCF-A705-A8F158069F12}">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F8757D0F-F109-4ABB-91AA-576C0ADE00E6}">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4D4392A7-F3EA-4316-8BDB-47D0FB7146AE}">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CCB055D4-51F5-485F-891E-8C419F57EDF9}">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13DE1501-FC01-4069-B087-3B022E7185D1}">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499F8D63-1617-49C9-9873-C499CB9EC607}">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20F4BC0B-D89E-4061-BA45-7FACD6289C0B}">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B3" sqref="B3:B14"/>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v>345838542</v>
      </c>
    </row>
    <row r="4" spans="1:2" x14ac:dyDescent="0.3">
      <c r="A4">
        <v>2</v>
      </c>
      <c r="B4">
        <v>345838542</v>
      </c>
    </row>
    <row r="5" spans="1:2" x14ac:dyDescent="0.3">
      <c r="A5">
        <v>3</v>
      </c>
      <c r="B5">
        <v>345838542</v>
      </c>
    </row>
    <row r="6" spans="1:2" x14ac:dyDescent="0.3">
      <c r="A6">
        <v>4</v>
      </c>
      <c r="B6">
        <v>345838542</v>
      </c>
    </row>
    <row r="7" spans="1:2" x14ac:dyDescent="0.3">
      <c r="A7">
        <v>5</v>
      </c>
      <c r="B7">
        <v>345838542</v>
      </c>
    </row>
    <row r="8" spans="1:2" x14ac:dyDescent="0.3">
      <c r="A8">
        <v>6</v>
      </c>
      <c r="B8">
        <v>345838542</v>
      </c>
    </row>
    <row r="9" spans="1:2" x14ac:dyDescent="0.3">
      <c r="A9">
        <v>7</v>
      </c>
      <c r="B9">
        <v>345838542</v>
      </c>
    </row>
    <row r="10" spans="1:2" x14ac:dyDescent="0.3">
      <c r="A10">
        <v>8</v>
      </c>
      <c r="B10">
        <v>345838542</v>
      </c>
    </row>
    <row r="11" spans="1:2" x14ac:dyDescent="0.3">
      <c r="A11">
        <v>9</v>
      </c>
      <c r="B11">
        <v>345838542</v>
      </c>
    </row>
    <row r="12" spans="1:2" x14ac:dyDescent="0.3">
      <c r="A12">
        <v>10</v>
      </c>
      <c r="B12">
        <v>345838542</v>
      </c>
    </row>
    <row r="13" spans="1:2" x14ac:dyDescent="0.3">
      <c r="A13">
        <v>11</v>
      </c>
      <c r="B13">
        <v>345838542</v>
      </c>
    </row>
    <row r="14" spans="1:2" x14ac:dyDescent="0.3">
      <c r="A14">
        <v>12</v>
      </c>
      <c r="B14">
        <v>345838542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R10" sqref="R10"/>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2024-11-06T10:08:33Z</dcterms:created>
  <dcterms:modified xsi:type="dcterms:W3CDTF">2025-09-16T09:08:40Z</dcterms:modified>
</cp:coreProperties>
</file>